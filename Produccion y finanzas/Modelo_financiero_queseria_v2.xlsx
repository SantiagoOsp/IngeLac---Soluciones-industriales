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Quesería" sheetId="2" state="visible" r:id="rId4"/>
    <sheet name="Entorno" sheetId="3" state="visible" r:id="rId5"/>
    <sheet name="Beneficios y costos" sheetId="4" state="visible" r:id="rId6"/>
    <sheet name="Cotizaciones" sheetId="5" state="visible" r:id="rId7"/>
    <sheet name="Escenarios" sheetId="6" state="visible" r:id="rId8"/>
    <sheet name="Riesgo" sheetId="7" state="visible" r:id="rId9"/>
    <sheet name="Herramientas" sheetId="8" state="visible" r:id="rId10"/>
    <sheet name="Empresa" sheetId="9" state="visible" r:id="rId11"/>
    <sheet name="IntegraMotion" sheetId="10" state="visible" r:id="rId12"/>
    <sheet name="APU" sheetId="11" state="visible" r:id="rId13"/>
    <sheet name="Chequeo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<sst xmlns="http://schemas.openxmlformats.org/spreadsheetml/2006/main" count="2580" uniqueCount="1159">
  <si>
    <t xml:space="preserve">Modelo financiero de la quesería</t>
  </si>
  <si>
    <t xml:space="preserve">Lácteos Fúquene · Oferta de IntegraMotion S.A.S.</t>
  </si>
  <si>
    <t xml:space="preserve">Documento</t>
  </si>
  <si>
    <t xml:space="preserve">Elaboró</t>
  </si>
  <si>
    <t xml:space="preserve">IntegraMotion S.A.S. · Producción y evaluación económica</t>
  </si>
  <si>
    <t xml:space="preserve">Curso</t>
  </si>
  <si>
    <t xml:space="preserve">Automatización de Procesos de Manufactura · 2026-2S · Universidad Nacional de Colombia</t>
  </si>
  <si>
    <t xml:space="preserve">Unidades</t>
  </si>
  <si>
    <t xml:space="preserve">Millones de pesos constantes de 2026, salvo donde se indique</t>
  </si>
  <si>
    <t xml:space="preserve">Estado de los chequeos</t>
  </si>
  <si>
    <t xml:space="preserve">Chequeos en OK</t>
  </si>
  <si>
    <t xml:space="preserve">Resultados de la oferta</t>
  </si>
  <si>
    <t xml:space="preserve">Costo de capital del proyecto</t>
  </si>
  <si>
    <t xml:space="preserve">Crédito de fomento más garantía, después de impuestos, y capital propio al 25 %.</t>
  </si>
  <si>
    <t xml:space="preserve">TIR del proyecto en pesos corrientes</t>
  </si>
  <si>
    <t xml:space="preserve">Se compara con el costo de capital.</t>
  </si>
  <si>
    <t xml:space="preserve">TIR del proyecto en pesos constantes</t>
  </si>
  <si>
    <t xml:space="preserve">Se compara con la tasa real equivalente.</t>
  </si>
  <si>
    <t xml:space="preserve">Tasa real equivalente</t>
  </si>
  <si>
    <t xml:space="preserve">Costo de capital sin la inflación promedio de 2027 a 2037 (hoja Entorno).</t>
  </si>
  <si>
    <t xml:space="preserve">VPN a 10 años al costo de capital ($ M de 2026)</t>
  </si>
  <si>
    <t xml:space="preserve">Valor que crea el proyecto después de pagar el capital.</t>
  </si>
  <si>
    <t xml:space="preserve">Recuperación simple (años)</t>
  </si>
  <si>
    <t xml:space="preserve">Años hasta recuperar la inversión con los flujos sin descontar.</t>
  </si>
  <si>
    <t xml:space="preserve">Recuperación descontada (años)</t>
  </si>
  <si>
    <t xml:space="preserve">Lo mismo, con los flujos descontados al costo de capital.</t>
  </si>
  <si>
    <t xml:space="preserve">TIR del inversionista en pesos corrientes</t>
  </si>
  <si>
    <t xml:space="preserve">Se compara con el 25 % que exige el socio.</t>
  </si>
  <si>
    <t xml:space="preserve">Cobertura mínima del servicio de la deuda</t>
  </si>
  <si>
    <t xml:space="preserve">Del proyecto solo; la empresa completa en la hoja Empresa.</t>
  </si>
  <si>
    <t xml:space="preserve">VPN si no se obtiene el crédito fiscal por innovación ($ M)</t>
  </si>
  <si>
    <t xml:space="preserve">La oferta incluye la gestión del crédito; sin la certificación el proyecto sigue creando valor.</t>
  </si>
  <si>
    <t xml:space="preserve">VPN si la primera compuerta no se supera: solo la etapa 0 ($ M)</t>
  </si>
  <si>
    <t xml:space="preserve">Con los ahorros conservadores supuestos. Sensibilidad en la hoja Herramientas.</t>
  </si>
  <si>
    <t xml:space="preserve">Deuda total / EBITDA más alta de la empresa</t>
  </si>
  <si>
    <t xml:space="preserve">Con el crédito del proyecto.</t>
  </si>
  <si>
    <t xml:space="preserve">Inversión total ($ M de 2026)</t>
  </si>
  <si>
    <t xml:space="preserve">Con imprevistos, sin IVA.</t>
  </si>
  <si>
    <t xml:space="preserve">Beneficio anual pleno ($ M de 2026)</t>
  </si>
  <si>
    <t xml:space="preserve">A salarios de 2026; los ahorros de mano de obra crecen con el salario mínimo real.</t>
  </si>
  <si>
    <t xml:space="preserve">Contenido</t>
  </si>
  <si>
    <t xml:space="preserve">Quesería</t>
  </si>
  <si>
    <t xml:space="preserve">Supuestos, inversión, beneficios, flujo de caja, crédito y resultados de la oferta.</t>
  </si>
  <si>
    <t xml:space="preserve">Entorno</t>
  </si>
  <si>
    <t xml:space="preserve">Inflación y salario mínimo de 2027 a 2037 y lectura política y económica, con fuentes.</t>
  </si>
  <si>
    <t xml:space="preserve">Beneficios y costos</t>
  </si>
  <si>
    <t xml:space="preserve">Balance de masa de los quesos, cálculo de cada beneficio y costos operativos nuevos (energía, vapor y calibración).</t>
  </si>
  <si>
    <t xml:space="preserve">Cotizaciones</t>
  </si>
  <si>
    <t xml:space="preserve">Precios de referencia de los equipos y tasas de cambio.</t>
  </si>
  <si>
    <t xml:space="preserve">Escenarios</t>
  </si>
  <si>
    <t xml:space="preserve">La evaluación completa con los supuestos que más mueven el resultado.</t>
  </si>
  <si>
    <t xml:space="preserve">Riesgo</t>
  </si>
  <si>
    <t xml:space="preserve">Punto de equilibrio, gráfico de tornado, escenarios clave y respuesta a cada riesgo.</t>
  </si>
  <si>
    <t xml:space="preserve">Herramientas</t>
  </si>
  <si>
    <t xml:space="preserve">Herramientas económicas una sobre otra, valor de cada etapa y protecciones en los contratos.</t>
  </si>
  <si>
    <t xml:space="preserve">Empresa</t>
  </si>
  <si>
    <t xml:space="preserve">Efecto en el estado de resultados y el endeudamiento de Lácteos Fúquene.</t>
  </si>
  <si>
    <t xml:space="preserve">IntegraMotion</t>
  </si>
  <si>
    <t xml:space="preserve">Precio de los dos contratos, gastos de funcionamiento, entregables y plan de negocio.</t>
  </si>
  <si>
    <t xml:space="preserve">APU</t>
  </si>
  <si>
    <t xml:space="preserve">Análisis de precios unitarios de la ingeniería.</t>
  </si>
  <si>
    <t xml:space="preserve">Chequeos</t>
  </si>
  <si>
    <t xml:space="preserve">Diferencias que deben dar cero.</t>
  </si>
  <si>
    <t xml:space="preserve">Cómo se lee</t>
  </si>
  <si>
    <t xml:space="preserve">Texto azul</t>
  </si>
  <si>
    <t xml:space="preserve">Dato de entrada: se puede cambiar.</t>
  </si>
  <si>
    <t xml:space="preserve">Texto negro</t>
  </si>
  <si>
    <t xml:space="preserve">Fórmula: no se escribe encima.</t>
  </si>
  <si>
    <t xml:space="preserve">Fondo amarillo</t>
  </si>
  <si>
    <t xml:space="preserve">Cifra clave o supuesto que más mueve el resultado.</t>
  </si>
  <si>
    <t xml:space="preserve">Modelo financiero de la quesería — Lácteos Fúquene</t>
  </si>
  <si>
    <t xml:space="preserve">Oferta de IntegraMotion S.A.S. Millones de pesos constantes de 2026. Texto azul: datos de entrada; negro: fórmulas; fondo amarillo: cifras clave.</t>
  </si>
  <si>
    <t xml:space="preserve">Supuestos</t>
  </si>
  <si>
    <t xml:space="preserve">Supuesto</t>
  </si>
  <si>
    <t xml:space="preserve">Valor</t>
  </si>
  <si>
    <t xml:space="preserve">Unidad</t>
  </si>
  <si>
    <t xml:space="preserve">Fuente o criterio</t>
  </si>
  <si>
    <t xml:space="preserve">Ruta de inflación (1 base, 2 consenso de los analistas, 3 persistente)</t>
  </si>
  <si>
    <t xml:space="preserve">ruta</t>
  </si>
  <si>
    <t xml:space="preserve">Hoja Entorno: inflación de cada año de 2027 a 2037.</t>
  </si>
  <si>
    <t xml:space="preserve">Costo de capital de la empresa con su deuda actual</t>
  </si>
  <si>
    <t xml:space="preserve">%</t>
  </si>
  <si>
    <t xml:space="preserve">70 % deuda al 18 % (intereses / deuda de 2026: 252 / 1.400) y 30 % capital propio al 25 %. Es la referencia de la primera entrega.</t>
  </si>
  <si>
    <t xml:space="preserve">Costo de capital del proyecto en pesos corrientes</t>
  </si>
  <si>
    <t xml:space="preserve">Con la deuda que de verdad financia el proyecto: crédito de fomento más la comisión de la garantía, después de impuestos (70 %), y capital propio al 25 % (30 %). Con él se descuentan los flujos.</t>
  </si>
  <si>
    <t xml:space="preserve">El costo de capital sin la inflación promedio de la ruta; con ella se compara la TIR en pesos constantes.</t>
  </si>
  <si>
    <t xml:space="preserve">Impuesto de renta</t>
  </si>
  <si>
    <t xml:space="preserve">Tarifa general de personas jurídicas.</t>
  </si>
  <si>
    <t xml:space="preserve">Vida fiscal de maquinaria y equipo</t>
  </si>
  <si>
    <t xml:space="preserve">años</t>
  </si>
  <si>
    <t xml:space="preserve">Línea recta, 10 % anual (art. 137 ET). La de cada rubro está en la tabla de inversión.</t>
  </si>
  <si>
    <t xml:space="preserve">Beneficio del primer año de cada etapa</t>
  </si>
  <si>
    <t xml:space="preserve">% del pleno</t>
  </si>
  <si>
    <t xml:space="preserve">Arranque, ajuste de recetas y formación.</t>
  </si>
  <si>
    <t xml:space="preserve">Meses de operación de la etapa 1 en 2027</t>
  </si>
  <si>
    <t xml:space="preserve">meses</t>
  </si>
  <si>
    <t xml:space="preserve">El contrato 1 dura 4 meses: la etapa 1 arranca a mitad de 2027. Se cuentan 4 meses con el beneficio de arranque; la compuerta de diciembre usa esos datos medidos.</t>
  </si>
  <si>
    <t xml:space="preserve">Costo de reemplazar a un operario con alguien de afuera</t>
  </si>
  <si>
    <t xml:space="preserve">% del costo anual</t>
  </si>
  <si>
    <t xml:space="preserve">Reclutamiento, vacante y curva de aprendizaje: 30 a 50 % del salario anual (Semana, febrero de 2026). Se evita al cubrir las vacantes con personal ya formado.</t>
  </si>
  <si>
    <t xml:space="preserve">Parte del contrato 1 que es diagnóstico, medidas organizacionales y gestión</t>
  </si>
  <si>
    <t xml:space="preserve">Dos de los seis integrantes (procesos y finanzas). Se deduce como gasto y su IVA va en la declaración de IVA.</t>
  </si>
  <si>
    <t xml:space="preserve">Caso conservador: beneficio contratado</t>
  </si>
  <si>
    <t xml:space="preserve">% del beneficio</t>
  </si>
  <si>
    <t xml:space="preserve">Respaldo 1. El suero: el contrato firmado es condición de la compuerta.</t>
  </si>
  <si>
    <t xml:space="preserve">Caso conservador: beneficio medido en la planta</t>
  </si>
  <si>
    <t xml:space="preserve">Respaldo 2. Medido en la etapa 0 con el protocolo de medida y verificación.</t>
  </si>
  <si>
    <t xml:space="preserve">Caso conservador: beneficio técnicamente justificado</t>
  </si>
  <si>
    <t xml:space="preserve">Respaldo 3. Balance de masa, VSM, literatura o datos de la planta.</t>
  </si>
  <si>
    <t xml:space="preserve">Caso conservador: beneficio por medir en la etapa 0</t>
  </si>
  <si>
    <t xml:space="preserve">Respaldo 4. Supuesto razonable que todavía no tiene medición.</t>
  </si>
  <si>
    <t xml:space="preserve">Caso conservador: beneficio hipotético</t>
  </si>
  <si>
    <t xml:space="preserve">Respaldo 5.</t>
  </si>
  <si>
    <t xml:space="preserve">Mantenimiento de equipos nuevos</t>
  </si>
  <si>
    <t xml:space="preserve">% equipos/año</t>
  </si>
  <si>
    <t xml:space="preserve">Práctica de la industria para equipos de proceso.</t>
  </si>
  <si>
    <t xml:space="preserve">Suscripciones de software del SCADA de la quesería</t>
  </si>
  <si>
    <t xml:space="preserve">$ M/año</t>
  </si>
  <si>
    <t xml:space="preserve">Licencias de SCADA, historiador y analítica dimensionadas para una línea.</t>
  </si>
  <si>
    <t xml:space="preserve">Días de cartera sobre las ventas adicionales</t>
  </si>
  <si>
    <t xml:space="preserve">días</t>
  </si>
  <si>
    <t xml:space="preserve">Política comercial de la planta. El capital de trabajo suma cartera e inventario al costo y resta las cuentas por pagar; se recupera al final del horizonte.</t>
  </si>
  <si>
    <t xml:space="preserve">Días de inventario del queso adicional</t>
  </si>
  <si>
    <t xml:space="preserve">Queso fresco: se despacha en la semana. Se valora al costo, no al precio.</t>
  </si>
  <si>
    <t xml:space="preserve">Costo de ventas sobre ventas</t>
  </si>
  <si>
    <t xml:space="preserve">Estado de resultados del caso: leche, insumos, nómina, energía y mantenimiento sobre las ventas.</t>
  </si>
  <si>
    <t xml:space="preserve">Días de cuentas por pagar sobre los costos operativos nuevos</t>
  </si>
  <si>
    <t xml:space="preserve">Balance del caso: cuentas por pagar de 1.206 sobre compras de leche e insumos.</t>
  </si>
  <si>
    <t xml:space="preserve">Leche de la quesería</t>
  </si>
  <si>
    <t xml:space="preserve">L/día</t>
  </si>
  <si>
    <t xml:space="preserve">Reparto de la leche de la planta.</t>
  </si>
  <si>
    <t xml:space="preserve">Leche de la planta</t>
  </si>
  <si>
    <t xml:space="preserve">Caso de estudio.</t>
  </si>
  <si>
    <t xml:space="preserve">Parte de la quesería en la leche</t>
  </si>
  <si>
    <t xml:space="preserve">Reparte la grasa en línea, el mantenimiento y la etapa 0.</t>
  </si>
  <si>
    <t xml:space="preserve">Ventas de la quesería</t>
  </si>
  <si>
    <t xml:space="preserve">Caso de estudio (294 días de operación).</t>
  </si>
  <si>
    <t xml:space="preserve">Ventas de la planta</t>
  </si>
  <si>
    <t xml:space="preserve">Parte de la quesería en las ventas</t>
  </si>
  <si>
    <t xml:space="preserve">Reparte la reducción de merma.</t>
  </si>
  <si>
    <t xml:space="preserve">Costo anual de un operario</t>
  </si>
  <si>
    <t xml:space="preserve">Salario, prestaciones y aportes.</t>
  </si>
  <si>
    <t xml:space="preserve">Meses de traslape mientras se forman los operarios de la hiladora</t>
  </si>
  <si>
    <t xml:space="preserve">Los 2 operarios que pasan a cubrir vacantes siguen en el hilado hasta que la hiladora opera sola; esas vacantes se cubren mientras tanto.</t>
  </si>
  <si>
    <t xml:space="preserve">Descuento tributario por inversión ambiental (art. 255 ET)</t>
  </si>
  <si>
    <t xml:space="preserve">% inversión</t>
  </si>
  <si>
    <t xml:space="preserve">Sobre el enfriador y el tanque del suero, que dejan de verterlo. Requiere certificado de la CAR; IntegraMotion lo tramita.</t>
  </si>
  <si>
    <t xml:space="preserve">IVA de equipos y contratos de integración</t>
  </si>
  <si>
    <t xml:space="preserve">Se paga al comprar y se recupera como descuento en la declaración de renta del año, que se presenta al año siguiente (art. 258-1 ET: activos fijos productivos y servicios para ponerlos en uso). El IVA del diagnóstico y del aval se descuenta en la declaración de IVA. Los valores de la inversión van sin IVA.</t>
  </si>
  <si>
    <t xml:space="preserve">Reposición del hardware del SCADA en el año 5</t>
  </si>
  <si>
    <t xml:space="preserve">% del rubro SCADA</t>
  </si>
  <si>
    <t xml:space="preserve">Servidor, red y estaciones (vida fiscal de 5 años); las licencias siguen en las suscripciones.</t>
  </si>
  <si>
    <t xml:space="preserve">Reposición parcial de instrumentación en el año 6</t>
  </si>
  <si>
    <t xml:space="preserve">% de los equipos de la etapa 1</t>
  </si>
  <si>
    <t xml:space="preserve">Sensores, celdas de carga y sondas en ambiente húmedo y con lavados.</t>
  </si>
  <si>
    <t xml:space="preserve">Valor de los equipos al año 10</t>
  </si>
  <si>
    <t xml:space="preserve">% de su costo</t>
  </si>
  <si>
    <t xml:space="preserve">Se vende o se toma como parte de pago; se grava completo.</t>
  </si>
  <si>
    <t xml:space="preserve">Parte de la inversión financiada con crédito</t>
  </si>
  <si>
    <t xml:space="preserve">Líneas Bancóldex Impulso a la Productividad y Transformación Digital, a través del banco de la empresa.</t>
  </si>
  <si>
    <t xml:space="preserve">Tasa del crédito de fomento (efectiva anual, pesos corrientes)</t>
  </si>
  <si>
    <t xml:space="preserve">Superfinanciera, datos abiertos: créditos con recursos de redescuento a medianas empresas, 3 a 5 años, mayo a julio de 2026. El crédito se pacta en pesos corrientes; cada pago se pasa a pesos constantes con el factor del flujo.</t>
  </si>
  <si>
    <t xml:space="preserve">Plazo del crédito, incluida la gracia</t>
  </si>
  <si>
    <t xml:space="preserve">Bancóldex Impulso a la Productividad: hasta 7 años con 12 meses de gracia.</t>
  </si>
  <si>
    <t xml:space="preserve">Gracia a capital</t>
  </si>
  <si>
    <t xml:space="preserve">Se pagan solo intereses.</t>
  </si>
  <si>
    <t xml:space="preserve">Comisión de la garantía del Fondo Nacional de Garantías</t>
  </si>
  <si>
    <t xml:space="preserve">% anual del saldo</t>
  </si>
  <si>
    <t xml:space="preserve">Garantía Preferente del FNG, 1,99 % anual (La República), con IVA, sobre el saldo. La oferta la reemplaza por prenda sobre los equipos; se usa en el escenario Garantía del FNG.</t>
  </si>
  <si>
    <t xml:space="preserve">Gravamen a los movimientos financieros (cuatro por mil)</t>
  </si>
  <si>
    <t xml:space="preserve">% de cada pago</t>
  </si>
  <si>
    <t xml:space="preserve">Se aplica a los pagos del proyecto y del crédito; la mitad es deducible de renta (art. 115 ET).</t>
  </si>
  <si>
    <t xml:space="preserve">Rentabilidad que exige el inversionista en pesos corrientes</t>
  </si>
  <si>
    <t xml:space="preserve">Lo que espera ganar el socio por arriesgar su capital.</t>
  </si>
  <si>
    <t xml:space="preserve">Rentabilidad exigida real equivalente</t>
  </si>
  <si>
    <t xml:space="preserve">Misma conversión de la tasa de descuento.</t>
  </si>
  <si>
    <t xml:space="preserve">Garantía del crédito (0 = prenda sobre los equipos; 1 = FNG)</t>
  </si>
  <si>
    <t xml:space="preserve">0 / 1</t>
  </si>
  <si>
    <t xml:space="preserve">IntegraMotion negocia la prenda con el banco.</t>
  </si>
  <si>
    <t xml:space="preserve">Crédito fiscal por innovación en la oferta (1 = se incluye; 0 = no)</t>
  </si>
  <si>
    <t xml:space="preserve">Gestión que IntegraMotion se compromete a hacer: postular el proyecto ante Minciencias. Queda condicionado a la certificación del CNBT; el escenario Sin crédito fiscal muestra el resultado sin él.</t>
  </si>
  <si>
    <t xml:space="preserve">Tope del descuento del art. 255 sobre el impuesto de la empresa</t>
  </si>
  <si>
    <t xml:space="preserve">% del impuesto</t>
  </si>
  <si>
    <t xml:space="preserve">Art. 258 ET.</t>
  </si>
  <si>
    <t xml:space="preserve">Impuesto de renta a cargo de la empresa</t>
  </si>
  <si>
    <t xml:space="preserve">Estado de resultados del caso (2026).</t>
  </si>
  <si>
    <t xml:space="preserve">Crédito fiscal por inversión en innovación (art. 256-1 ET)</t>
  </si>
  <si>
    <t xml:space="preserve">Para micro, pequeñas y medianas empresas: Lácteos Fúquene es mediana. IntegraMotion postula el proyecto ante Minciencias con el aval de un actor reconocido; el CNBT certifica la inversión y el crédito se compensa con impuestos nacionales en los dos años siguientes. La inversión se sigue depreciando (DIAN, concepto 012495 de 2026).</t>
  </si>
  <si>
    <t xml:space="preserve">Avalúo y registro de la garantía mobiliaria (prenda)</t>
  </si>
  <si>
    <t xml:space="preserve">$ M</t>
  </si>
  <si>
    <t xml:space="preserve">Ley 1676 de 2013: avalúo de los equipos e inscripción en el registro de garantías mobiliarias de Confecámaras. Supuesto; se cotiza.</t>
  </si>
  <si>
    <t xml:space="preserve">Póliza todo riesgo de los equipos nuevos</t>
  </si>
  <si>
    <t xml:space="preserve">El banco la pide endosada a su favor. Supuesto; se cotiza.</t>
  </si>
  <si>
    <t xml:space="preserve">Imprevistos: precio cerrado (contratos y SENA)</t>
  </si>
  <si>
    <t xml:space="preserve">% del rubro</t>
  </si>
  <si>
    <t xml:space="preserve">Clasificación de estimados AACE 18R-97: la contingencia baja a medida que el precio madura. Solo cubre cambios de alcance.</t>
  </si>
  <si>
    <t xml:space="preserve">Imprevistos: precio publicado de catálogo</t>
  </si>
  <si>
    <t xml:space="preserve">Falta la cotización formal y el flete real.</t>
  </si>
  <si>
    <t xml:space="preserve">Imprevistos: estimado con referencias de mercado</t>
  </si>
  <si>
    <t xml:space="preserve">Equipos con precios de referencia de máquinas parecidas (hoja Cotizaciones).</t>
  </si>
  <si>
    <t xml:space="preserve">Imprevistos: estimado sin cotización</t>
  </si>
  <si>
    <t xml:space="preserve">Estimado de orden de magnitud (clase 4 a 5 de AACE).</t>
  </si>
  <si>
    <t xml:space="preserve">Inversión</t>
  </si>
  <si>
    <t xml:space="preserve">Componente</t>
  </si>
  <si>
    <t xml:space="preserve">Etapa</t>
  </si>
  <si>
    <t xml:space="preserve">Año</t>
  </si>
  <si>
    <t xml:space="preserve">Planta</t>
  </si>
  <si>
    <t xml:space="preserve">Reparto</t>
  </si>
  <si>
    <t xml:space="preserve">¿Equipo?</t>
  </si>
  <si>
    <t xml:space="preserve">Madurez del precio (1 a 4)</t>
  </si>
  <si>
    <t xml:space="preserve">% imprevistos</t>
  </si>
  <si>
    <t xml:space="preserve">Vida fiscal (años; 0 = gasto)</t>
  </si>
  <si>
    <t xml:space="preserve">Innovación (1 = sí)</t>
  </si>
  <si>
    <t xml:space="preserve">Diagnóstico de la planta, plan de mantenimiento y orden de la operación</t>
  </si>
  <si>
    <t xml:space="preserve">Automatización de 2 tinas: liras con variador, sensor de coagulación, dosificación</t>
  </si>
  <si>
    <t xml:space="preserve">Tina del doble crema: medición y mando básicos (caudal, nivel, temperatura, válvula y bomba)</t>
  </si>
  <si>
    <t xml:space="preserve">Controladora de peso y detector de metales en la salida del empaque</t>
  </si>
  <si>
    <t xml:space="preserve">Medidor de grasa en línea en la estandarización</t>
  </si>
  <si>
    <t xml:space="preserve">SCADA, historiador y MES ligero de la quesería (red, servidor, licencias e instrumentación)</t>
  </si>
  <si>
    <t xml:space="preserve">Contrato 1 con IntegraMotion: ingeniería e integración de la etapa 1</t>
  </si>
  <si>
    <t xml:space="preserve">Contrato 1 con IntegraMotion: diagnóstico, medidas organizacionales y gestión (etapa 0)</t>
  </si>
  <si>
    <t xml:space="preserve">Formación de los operarios con el SENA</t>
  </si>
  <si>
    <t xml:space="preserve">Aval y seguimiento del proyecto de innovación por un actor reconocido por Minciencias</t>
  </si>
  <si>
    <t xml:space="preserve">Imprevistos de las etapas 0 y 1</t>
  </si>
  <si>
    <t xml:space="preserve">Hiladora-moldeadora continua para doble crema y mozzarella</t>
  </si>
  <si>
    <t xml:space="preserve">CIP automático del circuito de quesos</t>
  </si>
  <si>
    <t xml:space="preserve">Enfriador de placas y tanque pulmón para el suero</t>
  </si>
  <si>
    <t xml:space="preserve">Contrato 2 con IntegraMotion: integración de la etapa 2</t>
  </si>
  <si>
    <t xml:space="preserve">Imprevistos de la etapa 2</t>
  </si>
  <si>
    <t xml:space="preserve">Todo se dimensiona para la quesería. SCADA, CIP y formación: un tercio del costo estimado para toda la planta. Contratos con IntegraMotion: hoja IntegraMotion, sin IVA, reajustados con el salario mínimo real del año en que se ejecutan (hoja Entorno). Diagnóstico y grasa en línea están en la recepción común: se carga la parte de la leche de quesos. La tina del doble crema lleva solo medición y mando básicos porque no usa sensor de coagulación. Controladora de peso y detector de metales (estación E18 del diseño): precio publicado en la hoja Cotizaciones; el resto, estimados con referencias en esa hoja.</t>
  </si>
  <si>
    <t xml:space="preserve">Madurez del precio: 1 precio cerrado, 2 precio publicado, 3 estimado con referencias, 4 estimado sin cotización. Los imprevistos de cada etapa suman cada rubro por su porcentaje (supuestos de arriba). Vida fiscal: art. 137 ET (maquinaria 10 años; equipo de cómputo y redes 5 años); el diagnóstico, la formación y el aval son gastos deducibles del año. Los imprevistos se deducen y llevan IVA según el rubro al que pertenecen. Innovación: rubros del proyecto que se postula ante Minciencias (control del corte por coagulación, SCADA y MES, la ingeniería que los desarrolla y el aval); la compra de equipos estándar no califica.</t>
  </si>
  <si>
    <t xml:space="preserve">Inversión del año 0 (etapas 0 y 1)</t>
  </si>
  <si>
    <t xml:space="preserve">Inversión del año 1 (etapa 2)</t>
  </si>
  <si>
    <t xml:space="preserve">Equipos del año 0</t>
  </si>
  <si>
    <t xml:space="preserve">Equipos del año 1</t>
  </si>
  <si>
    <t xml:space="preserve">Imprevistos sobre la inversión sin imprevistos</t>
  </si>
  <si>
    <t xml:space="preserve">Inversión total</t>
  </si>
  <si>
    <t xml:space="preserve">Inversión del proyecto de innovación (base del crédito fiscal)</t>
  </si>
  <si>
    <t xml:space="preserve">Reposición del año 5 (hardware del SCADA)</t>
  </si>
  <si>
    <t xml:space="preserve">Reposición del año 6 (instrumentación)</t>
  </si>
  <si>
    <t xml:space="preserve">Beneficios anuales en régimen</t>
  </si>
  <si>
    <t xml:space="preserve">Medida</t>
  </si>
  <si>
    <t xml:space="preserve">Δ ventas planta</t>
  </si>
  <si>
    <t xml:space="preserve">Δ ventas quesería</t>
  </si>
  <si>
    <t xml:space="preserve">Respaldo (1 a 5)</t>
  </si>
  <si>
    <t xml:space="preserve">Factor conservador</t>
  </si>
  <si>
    <t xml:space="preserve">Quesería, caso conservador</t>
  </si>
  <si>
    <t xml:space="preserve">Horas extra del hilado evitadas con el orden del hilado (0,5 h/día)</t>
  </si>
  <si>
    <t xml:space="preserve">Mayor rendimiento del campesino y la mozzarella (sensor de coagulación)</t>
  </si>
  <si>
    <t xml:space="preserve">Estandarización de grasa en línea</t>
  </si>
  <si>
    <t xml:space="preserve">Menor merma (de 2,0 a 1,5 % de las ventas)</t>
  </si>
  <si>
    <t xml:space="preserve">Mantenimiento preventivo (20 % menos gasto)</t>
  </si>
  <si>
    <t xml:space="preserve">Menor sobrepeso de los tres quesos (de 1,0 a 0,5 %)</t>
  </si>
  <si>
    <t xml:space="preserve">Hiladora-moldeadora: más doble crema y mozzarella</t>
  </si>
  <si>
    <t xml:space="preserve">Horas extra restantes que elimina la hiladora (0,5 h/día)</t>
  </si>
  <si>
    <t xml:space="preserve">Limpieza CIP automática del circuito de quesos</t>
  </si>
  <si>
    <t xml:space="preserve">Contrato de venta del suero enfriado</t>
  </si>
  <si>
    <t xml:space="preserve">Relevo natural: 2 contrataciones que se evitan porque los operarios liberados cubren vacantes</t>
  </si>
  <si>
    <t xml:space="preserve">Respaldo: 1 contratado, 2 medido en la planta, 3 técnicamente justificado, 4 por medir en la etapa 0, 5 hipotético. El caso conservador toma cada beneficio por su factor. Relevo: no reduce la nómina actual; evita 2 contrataciones. Con unas 100 personas y una rotación de 15 % o más habría unas 15 vacantes al año, pero que sean compatibles se confirma en la segunda compuerta con el plan de reasignación; por eso va como «por medir». El costo de selección evitado se cuenta aparte, una sola vez.</t>
  </si>
  <si>
    <t xml:space="preserve">Cada beneficio se calcula en la hoja Beneficios y costos, a partir del balance de masa y de los precios. Nadie sale de la empresa: los 2 operarios cubren vacantes que la planta tendría que contratar.</t>
  </si>
  <si>
    <t xml:space="preserve">Beneficio de las etapas 0 y 1</t>
  </si>
  <si>
    <t xml:space="preserve">Beneficio de la etapa 2</t>
  </si>
  <si>
    <t xml:space="preserve">Ventas adicionales de las etapas 0 y 1</t>
  </si>
  <si>
    <t xml:space="preserve">Ventas adicionales de la etapa 2</t>
  </si>
  <si>
    <t xml:space="preserve">Beneficio de las etapas 0 y 1, caso conservador</t>
  </si>
  <si>
    <t xml:space="preserve">Beneficio de la etapa 2, caso conservador</t>
  </si>
  <si>
    <t xml:space="preserve">Beneficio anual pleno</t>
  </si>
  <si>
    <t xml:space="preserve">Costos operativos nuevos en régimen (mantenimiento, póliza, suscripciones, energía, vapor y calibración)</t>
  </si>
  <si>
    <t xml:space="preserve">Flujo de caja de la oferta (años 0 a 10 = 2027 a 2037; $ M constantes de 2026)</t>
  </si>
  <si>
    <t xml:space="preserve">Año 0</t>
  </si>
  <si>
    <t xml:space="preserve">Año 1</t>
  </si>
  <si>
    <t xml:space="preserve">Año 2</t>
  </si>
  <si>
    <t xml:space="preserve">Año 3</t>
  </si>
  <si>
    <t xml:space="preserve">Año 4</t>
  </si>
  <si>
    <t xml:space="preserve">Año 5</t>
  </si>
  <si>
    <t xml:space="preserve">Año 6</t>
  </si>
  <si>
    <t xml:space="preserve">Año 7</t>
  </si>
  <si>
    <t xml:space="preserve">Año 8</t>
  </si>
  <si>
    <t xml:space="preserve">Año 9</t>
  </si>
  <si>
    <t xml:space="preserve">Año 10</t>
  </si>
  <si>
    <t xml:space="preserve">Año (número)</t>
  </si>
  <si>
    <t xml:space="preserve">Inflación del año</t>
  </si>
  <si>
    <t xml:space="preserve">Índice de precios (2026 = 1)</t>
  </si>
  <si>
    <t xml:space="preserve">Salario mínimo real (2026 = 1)</t>
  </si>
  <si>
    <t xml:space="preserve">Factor de pesos constantes</t>
  </si>
  <si>
    <t xml:space="preserve">Reposición de equipos</t>
  </si>
  <si>
    <t xml:space="preserve">IVA de equipos y contratos</t>
  </si>
  <si>
    <t xml:space="preserve">Beneficio total</t>
  </si>
  <si>
    <t xml:space="preserve">Costos operativos nuevos</t>
  </si>
  <si>
    <t xml:space="preserve">Costo de la transición del personal</t>
  </si>
  <si>
    <t xml:space="preserve">GMF de los pagos del proyecto</t>
  </si>
  <si>
    <t xml:space="preserve">Depreciación fiscal en pesos constantes</t>
  </si>
  <si>
    <t xml:space="preserve">Descuento tributario (art. 255)</t>
  </si>
  <si>
    <t xml:space="preserve">Crédito fiscal por innovación (art. 256-1)</t>
  </si>
  <si>
    <t xml:space="preserve">IVA recuperado como descuento de renta (art. 258-1)</t>
  </si>
  <si>
    <t xml:space="preserve">Ventas adicionales</t>
  </si>
  <si>
    <t xml:space="preserve">Inversión en capital de trabajo</t>
  </si>
  <si>
    <t xml:space="preserve">Valor de los equipos al año 10, después de impuestos</t>
  </si>
  <si>
    <t xml:space="preserve">Flujo de caja libre del proyecto</t>
  </si>
  <si>
    <t xml:space="preserve">Flujo de caja libre en pesos corrientes</t>
  </si>
  <si>
    <t xml:space="preserve">Flujo acumulado</t>
  </si>
  <si>
    <t xml:space="preserve">Recuperación (auxiliar)</t>
  </si>
  <si>
    <t xml:space="preserve">Factor de descuento del proyecto</t>
  </si>
  <si>
    <t xml:space="preserve">Flujo descontado</t>
  </si>
  <si>
    <t xml:space="preserve">Flujo descontado acumulado</t>
  </si>
  <si>
    <t xml:space="preserve">Recuperación descontada (auxiliar)</t>
  </si>
  <si>
    <t xml:space="preserve">Saldo del crédito al cierre del año, pesos corrientes</t>
  </si>
  <si>
    <t xml:space="preserve">Desembolso del crédito</t>
  </si>
  <si>
    <t xml:space="preserve">Intereses</t>
  </si>
  <si>
    <t xml:space="preserve">Abono a capital</t>
  </si>
  <si>
    <t xml:space="preserve">Garantía del crédito</t>
  </si>
  <si>
    <t xml:space="preserve">GMF del servicio de la deuda</t>
  </si>
  <si>
    <t xml:space="preserve">Ahorro de impuesto por los gastos financieros</t>
  </si>
  <si>
    <t xml:space="preserve">Flujo del inversionista</t>
  </si>
  <si>
    <t xml:space="preserve">Flujo del inversionista en pesos corrientes</t>
  </si>
  <si>
    <t xml:space="preserve">Factor de descuento del inversionista</t>
  </si>
  <si>
    <t xml:space="preserve">Flujo de la operación disponible para la deuda</t>
  </si>
  <si>
    <t xml:space="preserve">Cobertura del servicio de la deuda (veces)</t>
  </si>
  <si>
    <t xml:space="preserve">El crédito cubre el 70 % de cada desembolso y se pacta en pesos corrientes: durante la gracia se pagan solo intereses y después abonos iguales. Los pagos del crédito, la depreciación fiscal, la cartera y el IVA recuperado se pasan a pesos constantes con el índice de precios de la ruta. Los ahorros de mano de obra crecen con el salario mínimo real. La cobertura compara el flujo de la operación con intereses, abonos y comisión.</t>
  </si>
  <si>
    <t xml:space="preserve">TIR del proyecto en pesos corrientes (se compara con el costo de capital)</t>
  </si>
  <si>
    <t xml:space="preserve">Tasa real equivalente (costo de capital sin la inflación promedio)</t>
  </si>
  <si>
    <t xml:space="preserve">Recuperación (años desde el año 0)</t>
  </si>
  <si>
    <t xml:space="preserve">Recuperación descontada (años desde el año 0)</t>
  </si>
  <si>
    <t xml:space="preserve">ROI a 10 años (flujo libre acumulado / inversión; no es anual ni descontado)</t>
  </si>
  <si>
    <t xml:space="preserve">TIR del inversionista con el crédito, en pesos corrientes (se compara con el 25 %)</t>
  </si>
  <si>
    <t xml:space="preserve">TIR del inversionista en pesos constantes</t>
  </si>
  <si>
    <t xml:space="preserve">VPN del inversionista al 25 % ($ M de 2026)</t>
  </si>
  <si>
    <t xml:space="preserve">Cobertura mínima del servicio de la deuda (años 2 a 8; los bancos piden 1,2 o más)</t>
  </si>
  <si>
    <t xml:space="preserve">Aporte propio neto en los años 0 y 1 ($ M)</t>
  </si>
  <si>
    <t xml:space="preserve">Inversión total ($ M)</t>
  </si>
  <si>
    <t xml:space="preserve">Beneficio anual pleno, a salarios de 2026 ($ M)</t>
  </si>
  <si>
    <t xml:space="preserve">Costos operativos nuevos en régimen ($ M/año)</t>
  </si>
  <si>
    <t xml:space="preserve">Cómo leerlo</t>
  </si>
  <si>
    <t xml:space="preserve">• Los flujos están en pesos constantes de 2026 y se descuentan al costo de capital del proyecto en pesos corrientes, con la inflación de cada año (hoja Entorno). La TIR en pesos corrientes se compara con ese costo; la de pesos constantes, con la tasa real equivalente.</t>
  </si>
  <si>
    <t xml:space="preserve">• La etapa 1 se invierte en 2027 (año 0) y rinde desde 2028; la etapa 2 (hiladora, CIP y suero) se invierte en 2028 y rinde desde 2029.</t>
  </si>
  <si>
    <t xml:space="preserve">• Lo compartido con yogur y UHT se reparte según la leche, las ventas o un circuito de tres.</t>
  </si>
  <si>
    <t xml:space="preserve">• La TIR del proyecto no depende de cómo se pague la inversión; la del inversionista mide lo que gana el dinero propio cuando el 70 % es crédito.</t>
  </si>
  <si>
    <t xml:space="preserve">• El SCADA, el historiador y el MES ligero se dimensionan para la quesería; extenderlos a yogur y UHT o integrarlos con el ERP no hace parte de esta oferta.</t>
  </si>
  <si>
    <t xml:space="preserve">• ROI: lo que deja el proyecto en 10 años, después de recuperar la inversión, por cada peso invertido.</t>
  </si>
  <si>
    <t xml:space="preserve">• Las hojas Escenarios y Riesgo repiten la evaluación con los supuestos que más mueven el resultado; la hoja Empresa muestra el efecto en Lácteos Fúquene.</t>
  </si>
  <si>
    <t xml:space="preserve">Entorno económico y político del proyecto</t>
  </si>
  <si>
    <t xml:space="preserve">La quesería se ejecuta en 2027 y 2028 y opera hasta 2037. Precios en pesos de 2026; esta hoja dice cuánto cambian año por año la inflación y el salario mínimo.</t>
  </si>
  <si>
    <t xml:space="preserve">Inflación y salario mínimo, año por año</t>
  </si>
  <si>
    <t xml:space="preserve">Promedio</t>
  </si>
  <si>
    <t xml:space="preserve">Año calendario</t>
  </si>
  <si>
    <t xml:space="preserve">Ruta 1 · base: inflación de cada año</t>
  </si>
  <si>
    <t xml:space="preserve">Ruta 2 · consenso de los analistas</t>
  </si>
  <si>
    <t xml:space="preserve">Ruta 3 · inflación persistente</t>
  </si>
  <si>
    <t xml:space="preserve">Promedio geométrico de 2027 a 2037. La ruta que usa el modelo se elige en los supuestos de la hoja Quesería.</t>
  </si>
  <si>
    <t xml:space="preserve">Incremento del salario mínimo para 2027</t>
  </si>
  <si>
    <t xml:space="preserve">Davivienda: inflación de 2026 (6,91 %) − productividad (0,32 %) + «sorpresa política» (1,91 %). Gremios: 8 % a 9,5 %; Credicorp: 9 % a 10 %.</t>
  </si>
  <si>
    <t xml:space="preserve">Aumento real del salario mínimo desde 2028</t>
  </si>
  <si>
    <t xml:space="preserve">El Gobierno plantea volver a ajustarlo por inflación y productividad; la productividad del trabajo ha estado cerca de cero.</t>
  </si>
  <si>
    <t xml:space="preserve">Salario mínimo real de 2027 con la ruta base (2026 = 1)</t>
  </si>
  <si>
    <t xml:space="preserve">Cuánto sube por encima de la inflación.</t>
  </si>
  <si>
    <t xml:space="preserve">Salario mínimo real de 2028 con la ruta base (2026 = 1)</t>
  </si>
  <si>
    <t xml:space="preserve">Reajusta los contratos de IntegraMotion: la etapa 2 se ejecuta en 2028.</t>
  </si>
  <si>
    <t xml:space="preserve">Salario mínimo de 2027 en pesos</t>
  </si>
  <si>
    <t xml:space="preserve">Decreto de 2026: $1.750.905.</t>
  </si>
  <si>
    <t xml:space="preserve">Afecta lo que depende del salario: horas extra y relevo de operarios (beneficios), traslape del personal y honorarios de IntegraMotion.</t>
  </si>
  <si>
    <t xml:space="preserve">Cómo se armaron las rutas</t>
  </si>
  <si>
    <t xml:space="preserve">• Encuesta de analistas del Banco de la República (septiembre de 2026): 6,8 % al cierre de 2026, 5,1 % al cierre de 2027, 4,0 % en agosto de 2028 y 3,4 % a cinco años. Los analistas han subido su pronóstico casi todos los meses de 2026.</t>
  </si>
  <si>
    <t xml:space="preserve">• Inflación de septiembre de 2026: 6,29 % anual (DANE), la más alta desde julio de 2024. Tasa del Banco de la República: 12,25 % desde el 1 de octubre, con una subida de 25 puntos básicos y la junta dividida.</t>
  </si>
  <si>
    <t xml:space="preserve">• Rutas en promedio de cada año. Consenso: de 6,8 % en diciembre de 2026 a 5,1 % en diciembre de 2027 da 5,9 % para 2027; luego 4,5 %, 3,7 % y 3,4 %. Ruta base: por encima del consenso cada año, con más margen desde 2028, y 4 % desde 2030, el techo del rango de la meta (2 % a 4 %). Ruta persistente: la inflación se queda cerca del dato de septiembre todo el horizonte.</t>
  </si>
  <si>
    <t xml:space="preserve">Lectura política y económica (octubre de 2026)</t>
  </si>
  <si>
    <t xml:space="preserve">• Salario mínimo: en 2026 subió 23,7 %, muy por encima de la inflación. El Gobierno de Abelardo de la Espriella y su ministro de Hacienda piden volver a un ajuste técnico (inflación más productividad); los analistas esperan 8 % a 10 % para 2027 por una prima política. La decisión se toma a más tardar el 30 de diciembre.</t>
  </si>
  <si>
    <t xml:space="preserve">• Presupuesto General de 2027: el Congreso lo aprobó el 20 de octubre por $634,9 billones, pero quedó en vilo por un presunto vicio de trámite en el artículo 65 (Senado y Cámara habrían aprobado textos distintos); si se confirma, el Gobierno lo expide por decreto. Suma incertidumbre fiscal: hace menos probable que las tasas de interés bajen rápido.</t>
  </si>
  <si>
    <t xml:space="preserve">• Política monetaria: el Banco de la República volvió a subir la tasa en septiembre. Davivienda espera bajadas graduales hasta 11 % al cierre de 2027. El crédito de fomento se pacta sobre la IBR más un margen, así que sigue esa tendencia.</t>
  </si>
  <si>
    <t xml:space="preserve">• Impuestos: el Gobierno anunció una reforma para bajar la carga de las empresas, sin tarifa definida todavía. El modelo deja la renta en 35 % y prueba 30 % en la hoja Escenarios.</t>
  </si>
  <si>
    <t xml:space="preserve">• Energía: el gas para la industria depende cada vez más de importaciones y El Niño presiona las tarifas. La hoja Escenarios prueba costos operativos 30 % más altos.</t>
  </si>
  <si>
    <t xml:space="preserve">Cómo entra al modelo</t>
  </si>
  <si>
    <t xml:space="preserve">• Los flujos siguen en pesos constantes de 2026. Lo que se pacta en pesos corrientes (el crédito, la depreciación fiscal, la cartera y el IVA que se recupera) se convierte con el índice de precios de la ruta.</t>
  </si>
  <si>
    <t xml:space="preserve">• El VPN descuenta los flujos al costo de capital del proyecto en pesos corrientes. La TIR en pesos corrientes se compara con ese costo; la TIR en pesos constantes, con la tasa real equivalente.</t>
  </si>
  <si>
    <t xml:space="preserve">• Más inflación no crea valor por sí sola: solo cambia el valor real de lo que se pactó en pesos (sobre todo la deuda). Lo que sí cambia el resultado es lo que sube más o menos que la inflación, como el salario mínimo.</t>
  </si>
  <si>
    <t xml:space="preserve">• Los contratos de IntegraMotion se reajustan con el salario mínimo del año en que se ejecutan; así la integradora no pierde valor si el mínimo sube más que la inflación.</t>
  </si>
  <si>
    <t xml:space="preserve">Fuentes</t>
  </si>
  <si>
    <t xml:space="preserve">• Encuesta de analistas del Banco de la República, septiembre de 2026: infobae.com/colombia/2026/09/17/el-banco-de-la-republica-elevo-la-expectativa-de-inflacion-para-diciembre-de-2026-seria-casi-del-7/</t>
  </si>
  <si>
    <t xml:space="preserve">• Decisión de la junta del Banco de la República, septiembre de 2026: banrep.gov.co/en/news/board-directors/september-2026</t>
  </si>
  <si>
    <t xml:space="preserve">• Inflación de septiembre de 2026 (DANE, vía INCP): incp.org.co/?p=136856</t>
  </si>
  <si>
    <t xml:space="preserve">• Salario mínimo 2027, Davivienda: portafolio.co/economia/empleo/salario-minimo-subiria-148-827-en-2027-segun-expertos-de-davivienda-inflacion-seria-clave-en-el-calculo-503911</t>
  </si>
  <si>
    <t xml:space="preserve">• Salario mínimo 2027, gremios y BDO: elcolombiano.com/negocios/salario-minimo-2027-pulso-ajuste-inflacion-productividad-LD42142845</t>
  </si>
  <si>
    <t xml:space="preserve">• Presupuesto de 2027 aprobado y en vilo: portafolio.co/economia/gobierno/presupuesto-de-2027-recien-aprobado-en-vilo-por-inminente-hundimiento-por-vicio-de-tramite-en-el-congreso-504829</t>
  </si>
  <si>
    <t xml:space="preserve">Beneficios y costos operativos de la quesería</t>
  </si>
  <si>
    <t xml:space="preserve">Cada beneficio sale del balance de masa, de los precios y de la mejora que se espera; cada costo nuevo, del consumo de los equipos. $ M constantes de 2026. Las cifras en azul se miden en la etapa 0.</t>
  </si>
  <si>
    <t xml:space="preserve">Datos de la operación</t>
  </si>
  <si>
    <t xml:space="preserve">Dato</t>
  </si>
  <si>
    <t xml:space="preserve">Días de operación al año</t>
  </si>
  <si>
    <t xml:space="preserve">Caso: lunes a sábado menos festivos.</t>
  </si>
  <si>
    <t xml:space="preserve">Densidad de la leche</t>
  </si>
  <si>
    <t xml:space="preserve">kg/L</t>
  </si>
  <si>
    <t xml:space="preserve">Valor típico.</t>
  </si>
  <si>
    <t xml:space="preserve">Grasa de la leche cruda</t>
  </si>
  <si>
    <t xml:space="preserve">% m/m</t>
  </si>
  <si>
    <t xml:space="preserve">Hato Holstein de la sabana de Ubaté.</t>
  </si>
  <si>
    <t xml:space="preserve">Grasa de la crema</t>
  </si>
  <si>
    <t xml:space="preserve">Descremadora centrífuga.</t>
  </si>
  <si>
    <t xml:space="preserve">Grasa de más que se deja hoy al estandarizar a mano</t>
  </si>
  <si>
    <t xml:space="preserve">puntos</t>
  </si>
  <si>
    <t xml:space="preserve">Cuadro de Pearson y muestreo: el operario deja margen para no quedar por debajo del mínimo.</t>
  </si>
  <si>
    <t xml:space="preserve">Grasa de más con el medidor en línea</t>
  </si>
  <si>
    <t xml:space="preserve">Medidor de grasa y densidad con válvula de remezcla.</t>
  </si>
  <si>
    <t xml:space="preserve">Crema añadida al fundido del doble crema</t>
  </si>
  <si>
    <t xml:space="preserve">kg/día</t>
  </si>
  <si>
    <t xml:space="preserve">Sale de la crema de la estandarización.</t>
  </si>
  <si>
    <t xml:space="preserve">Agua de lavado del grano del campesino</t>
  </si>
  <si>
    <t xml:space="preserve">kg/kg leche</t>
  </si>
  <si>
    <t xml:space="preserve">Sale con el suero.</t>
  </si>
  <si>
    <t xml:space="preserve">Queso adicional por el corte con sensor de coagulación</t>
  </si>
  <si>
    <t xml:space="preserve">Menos finos al suero en el campesino y la mozzarella (0,15 puntos de rendimiento).</t>
  </si>
  <si>
    <t xml:space="preserve">Queso adicional con la hiladora-moldeadora</t>
  </si>
  <si>
    <t xml:space="preserve">% del queso hilado</t>
  </si>
  <si>
    <t xml:space="preserve">Menos grasa y finos al agua de hilado que en la marmita a mano.</t>
  </si>
  <si>
    <t xml:space="preserve">Sobrepeso de los quesos hoy</t>
  </si>
  <si>
    <t xml:space="preserve">% del peso</t>
  </si>
  <si>
    <t xml:space="preserve">Igual al de las bolsas UHT del caso.</t>
  </si>
  <si>
    <t xml:space="preserve">Sobrepeso con la controladora de peso</t>
  </si>
  <si>
    <t xml:space="preserve">La controladora rechaza y ajusta el corte.</t>
  </si>
  <si>
    <t xml:space="preserve">Empaque del producto que deja de regalarse</t>
  </si>
  <si>
    <t xml:space="preserve">% del precio</t>
  </si>
  <si>
    <t xml:space="preserve">El queso recuperado se vende, pero lleva su empaque.</t>
  </si>
  <si>
    <t xml:space="preserve">Merma y devoluciones hoy</t>
  </si>
  <si>
    <t xml:space="preserve">% ventas</t>
  </si>
  <si>
    <t xml:space="preserve">Estado de resultados del caso.</t>
  </si>
  <si>
    <t xml:space="preserve">Merma con trazabilidad y registros electrónicos</t>
  </si>
  <si>
    <t xml:space="preserve">Control de temperatura, lotes y vida útil.</t>
  </si>
  <si>
    <t xml:space="preserve">Gasto de mantenimiento de la planta</t>
  </si>
  <si>
    <t xml:space="preserve">Ahorro neto del mantenimiento preventivo</t>
  </si>
  <si>
    <t xml:space="preserve">% del gasto</t>
  </si>
  <si>
    <t xml:space="preserve">Hipótesis: el correctivo que se evita menos el preventivo que se agrega. Hoy el preventivo es menos del 20 % de las horas (EDT de la producción); según PNNL/DOE el preventivo cuesta 12–18 % menos que el correctivo y el predictivo otro 8–12 % menos. Se mide en la etapa 0 con órdenes de trabajo, repuestos y horas de parada.</t>
  </si>
  <si>
    <t xml:space="preserve">Gasto de la planta en energía, agua, gas y químicos</t>
  </si>
  <si>
    <t xml:space="preserve">Ahorro con limpieza CIP automática</t>
  </si>
  <si>
    <t xml:space="preserve">% de ese gasto</t>
  </si>
  <si>
    <t xml:space="preserve">Recuperación de soluciones y ciclos medidos en lugar de lavado a mano.</t>
  </si>
  <si>
    <t xml:space="preserve">Parte del circuito de quesos en la limpieza</t>
  </si>
  <si>
    <t xml:space="preserve">Uno de los tres circuitos (quesos, yogur y UHT).</t>
  </si>
  <si>
    <t xml:space="preserve">Horas extra diarias del hilado que se evitan en cada etapa</t>
  </si>
  <si>
    <t xml:space="preserve">h/día</t>
  </si>
  <si>
    <t xml:space="preserve">VSM: el hilado a mano necesita 8,4 h en una ventana de 7,4 h.</t>
  </si>
  <si>
    <t xml:space="preserve">Operarios del hilado</t>
  </si>
  <si>
    <t xml:space="preserve">personas</t>
  </si>
  <si>
    <t xml:space="preserve">Dos parejas.</t>
  </si>
  <si>
    <t xml:space="preserve">Costo de la hora extra</t>
  </si>
  <si>
    <t xml:space="preserve">$/h</t>
  </si>
  <si>
    <t xml:space="preserve">Costo de la hora de un salario mínimo más el recargo de 25 %.</t>
  </si>
  <si>
    <t xml:space="preserve">Precio de la crema vendida</t>
  </si>
  <si>
    <t xml:space="preserve">$/kg</t>
  </si>
  <si>
    <t xml:space="preserve">Crema al 40 % a granel.</t>
  </si>
  <si>
    <t xml:space="preserve">Precio de la leche entera UHT</t>
  </si>
  <si>
    <t xml:space="preserve">$/L</t>
  </si>
  <si>
    <t xml:space="preserve">Precio a distribuidor del caso.</t>
  </si>
  <si>
    <t xml:space="preserve">Precio del suero hoy, sin enfriar</t>
  </si>
  <si>
    <t xml:space="preserve">Precio del suero enfriado con contrato</t>
  </si>
  <si>
    <t xml:space="preserve">Contrato anual con una fábrica de alimento balanceado; se valida en la etapa 0 con dos cotizaciones.</t>
  </si>
  <si>
    <t xml:space="preserve">Operarios que libera la hiladora y cubren vacantes</t>
  </si>
  <si>
    <t xml:space="preserve">Nadie sale de la empresa: cubren vacantes que la planta tendría que contratar.</t>
  </si>
  <si>
    <t xml:space="preserve">Quesos</t>
  </si>
  <si>
    <t xml:space="preserve">Referencia</t>
  </si>
  <si>
    <t xml:space="preserve">Leche (L/día)</t>
  </si>
  <si>
    <t xml:space="preserve">Grasa objetivo</t>
  </si>
  <si>
    <t xml:space="preserve">Rendimiento (kg/kg)</t>
  </si>
  <si>
    <t xml:space="preserve">Precio ($/kg)</t>
  </si>
  <si>
    <t xml:space="preserve">Insumos y empaque ($/kg)</t>
  </si>
  <si>
    <t xml:space="preserve">Q1 campesino</t>
  </si>
  <si>
    <t xml:space="preserve">Q2 doble crema (leche entera, sin estandarizar)</t>
  </si>
  <si>
    <t xml:space="preserve">Q3 mozzarella</t>
  </si>
  <si>
    <t xml:space="preserve">Rendimiento del campesino y la mozzarella sobre leche estandarizada; el del doble crema, sobre leche entera e incluye la crema del fundido. Precios: Corabastos y mercado mayorista, 2026.</t>
  </si>
  <si>
    <t xml:space="preserve">Estandarización de grasa de toda la recepción (kg/día)</t>
  </si>
  <si>
    <t xml:space="preserve">Crema retirada hoy</t>
  </si>
  <si>
    <t xml:space="preserve">Crema con medidor</t>
  </si>
  <si>
    <t xml:space="preserve">Crema adicional</t>
  </si>
  <si>
    <t xml:space="preserve">L1 leche entera UHT</t>
  </si>
  <si>
    <t xml:space="preserve">L2 deslactosada</t>
  </si>
  <si>
    <t xml:space="preserve">L3 bebida láctea</t>
  </si>
  <si>
    <t xml:space="preserve">Y1 yogur natural</t>
  </si>
  <si>
    <t xml:space="preserve">Y2 yogur de fresa</t>
  </si>
  <si>
    <t xml:space="preserve">Y3 yogur de mora</t>
  </si>
  <si>
    <t xml:space="preserve">Total</t>
  </si>
  <si>
    <t xml:space="preserve">Balance de grasa: crema = leche × (grasa de la leche − grasa objetivo) / (grasa de la crema − grasa objetivo). Hoy el objetivo lleva la grasa de más del ajuste manual. El doble crema usa leche entera y no se estandariza.</t>
  </si>
  <si>
    <t xml:space="preserve">Balance de masa de los quesos (kg/día)</t>
  </si>
  <si>
    <t xml:space="preserve">Corriente</t>
  </si>
  <si>
    <t xml:space="preserve">Q2 doble crema</t>
  </si>
  <si>
    <t xml:space="preserve">Leche</t>
  </si>
  <si>
    <t xml:space="preserve">Crema retirada en la estandarización</t>
  </si>
  <si>
    <t xml:space="preserve">Crema añadida al fundido</t>
  </si>
  <si>
    <t xml:space="preserve">Leche para quesería</t>
  </si>
  <si>
    <t xml:space="preserve">Agua de lavado del grano</t>
  </si>
  <si>
    <t xml:space="preserve">Queso hoy</t>
  </si>
  <si>
    <t xml:space="preserve">Suero</t>
  </si>
  <si>
    <t xml:space="preserve">Cierre: entradas − salidas (debe ser 0)</t>
  </si>
  <si>
    <t xml:space="preserve">Queso adicional por el sensor de coagulación (etapa 1)</t>
  </si>
  <si>
    <t xml:space="preserve">Queso adicional por la hiladora (etapa 2)</t>
  </si>
  <si>
    <t xml:space="preserve">Queso que pasa por el hilado con la hiladora</t>
  </si>
  <si>
    <t xml:space="preserve">Queso adicional frente a la producción actual</t>
  </si>
  <si>
    <t xml:space="preserve">Se vende a los mismos clientes: es menos del 2 % del queso que ya se despacha.</t>
  </si>
  <si>
    <t xml:space="preserve">El suero total coincide con los 8.188 kg/día del caso. El queso adicional usa la misma leche: no se compra más.</t>
  </si>
  <si>
    <t xml:space="preserve">Beneficio planta ($ M/año)</t>
  </si>
  <si>
    <t xml:space="preserve">Δ ventas planta ($ M/año)</t>
  </si>
  <si>
    <t xml:space="preserve">Cálculo</t>
  </si>
  <si>
    <t xml:space="preserve">Horas extra del hilado evitadas con el orden del hilado</t>
  </si>
  <si>
    <t xml:space="preserve">Horas × operarios × días × costo de la hora extra.</t>
  </si>
  <si>
    <t xml:space="preserve">Mayor rendimiento del campesino y la mozzarella</t>
  </si>
  <si>
    <t xml:space="preserve">Queso adicional × (precio − insumos) × días.</t>
  </si>
  <si>
    <t xml:space="preserve">Estandarización de grasa en línea (toda la recepción)</t>
  </si>
  <si>
    <t xml:space="preserve">Crema adicional × (precio de la crema − leche UHT que deja de venderse) × días.</t>
  </si>
  <si>
    <t xml:space="preserve">Menor merma y devoluciones (toda la planta)</t>
  </si>
  <si>
    <t xml:space="preserve">Reducción de la merma × ventas de la planta.</t>
  </si>
  <si>
    <t xml:space="preserve">Mantenimiento preventivo (toda la planta)</t>
  </si>
  <si>
    <t xml:space="preserve">Ahorro × gasto de mantenimiento.</t>
  </si>
  <si>
    <t xml:space="preserve">Menor sobrepeso de los tres quesos</t>
  </si>
  <si>
    <t xml:space="preserve">Sobrepeso evitado × ventas de quesos, menos el empaque.</t>
  </si>
  <si>
    <t xml:space="preserve">Horas extra restantes que elimina la hiladora</t>
  </si>
  <si>
    <t xml:space="preserve">Igual que en la etapa 1.</t>
  </si>
  <si>
    <t xml:space="preserve">Limpieza CIP automática (las tres líneas)</t>
  </si>
  <si>
    <t xml:space="preserve">Ahorro × gasto de energía, agua, gas y químicos; la quesería toma su circuito.</t>
  </si>
  <si>
    <t xml:space="preserve">Suero × días × (precio con contrato − precio actual). La energía del enfriamiento va en los costos.</t>
  </si>
  <si>
    <t xml:space="preserve">Relevo natural: operarios liberados por la hiladora cubren vacantes</t>
  </si>
  <si>
    <t xml:space="preserve">Operarios × costo anual de un operario.</t>
  </si>
  <si>
    <t xml:space="preserve">Tarifa de energía eléctrica</t>
  </si>
  <si>
    <t xml:space="preserve">$/kWh</t>
  </si>
  <si>
    <t xml:space="preserve">Enel Colombia, tarifa comercial e industrial, agosto de 2026.</t>
  </si>
  <si>
    <t xml:space="preserve">Precio del gas natural para la industria</t>
  </si>
  <si>
    <t xml:space="preserve">US$/MBTU</t>
  </si>
  <si>
    <t xml:space="preserve">Precio esperado para la industria en 2026 con gas importado (Vanti, en Portafolio).</t>
  </si>
  <si>
    <t xml:space="preserve">Tasa de cambio</t>
  </si>
  <si>
    <t xml:space="preserve">$/US$</t>
  </si>
  <si>
    <t xml:space="preserve">Hoja Cotizaciones.</t>
  </si>
  <si>
    <t xml:space="preserve">Energía útil de un kg de vapor</t>
  </si>
  <si>
    <t xml:space="preserve">MJ/kg</t>
  </si>
  <si>
    <t xml:space="preserve">Vapor saturado de baja presión.</t>
  </si>
  <si>
    <t xml:space="preserve">Eficiencia de la caldera</t>
  </si>
  <si>
    <t xml:space="preserve">Caldera de gas en buen estado.</t>
  </si>
  <si>
    <t xml:space="preserve">Costo del vapor</t>
  </si>
  <si>
    <t xml:space="preserve">1 MBTU = 1.055 MJ.</t>
  </si>
  <si>
    <t xml:space="preserve">Vapor de la hiladora</t>
  </si>
  <si>
    <t xml:space="preserve">kg/kg de queso hilado</t>
  </si>
  <si>
    <t xml:space="preserve">Hiladora con inyección de vapor; se cuenta todo como adicional aunque reemplaza el agua caliente de las marmitas.</t>
  </si>
  <si>
    <t xml:space="preserve">Calor específico del suero</t>
  </si>
  <si>
    <t xml:space="preserve">kJ/kg·K</t>
  </si>
  <si>
    <t xml:space="preserve">Enfriamiento con agua helada</t>
  </si>
  <si>
    <t xml:space="preserve">°C</t>
  </si>
  <si>
    <t xml:space="preserve">De 20 a 4 °C; el primer tramo, de 38 a 20 °C, se hace con agua de torre.</t>
  </si>
  <si>
    <t xml:space="preserve">Rendimiento del equipo de agua helada</t>
  </si>
  <si>
    <t xml:space="preserve">kWh frío/kWh eléctrico</t>
  </si>
  <si>
    <t xml:space="preserve">Valor típico de un enfriador de agua.</t>
  </si>
  <si>
    <t xml:space="preserve">Consumo eléctrico</t>
  </si>
  <si>
    <t xml:space="preserve">kW</t>
  </si>
  <si>
    <t xml:space="preserve">kWh/día</t>
  </si>
  <si>
    <t xml:space="preserve">Días/año</t>
  </si>
  <si>
    <t xml:space="preserve">kWh/año</t>
  </si>
  <si>
    <t xml:space="preserve">Quesería ($ M/año)</t>
  </si>
  <si>
    <t xml:space="preserve">Controladora de peso y detector de metales</t>
  </si>
  <si>
    <t xml:space="preserve">Medidor de grasa en línea (recepción común)</t>
  </si>
  <si>
    <t xml:space="preserve">SCADA: servidor, red y estaciones</t>
  </si>
  <si>
    <t xml:space="preserve">Hiladora-moldeadora: motores y bombas</t>
  </si>
  <si>
    <t xml:space="preserve">CIP: bombas de impulsión y retorno</t>
  </si>
  <si>
    <t xml:space="preserve">Enfriamiento del suero: agua helada y bombas</t>
  </si>
  <si>
    <t xml:space="preserve">kg de vapor/día</t>
  </si>
  <si>
    <t xml:space="preserve">Las liras con variador reemplazan motores que ya existen: no suman consumo.</t>
  </si>
  <si>
    <t xml:space="preserve">Costo del enfriamiento por kg de suero</t>
  </si>
  <si>
    <t xml:space="preserve">Antes se suponían $5/kg; el cálculo de energía da esta cifra.</t>
  </si>
  <si>
    <t xml:space="preserve">Calibración y verificación</t>
  </si>
  <si>
    <t xml:space="preserve">$ M/año (planta)</t>
  </si>
  <si>
    <t xml:space="preserve">Controladora de peso: calibración con pesas patrón</t>
  </si>
  <si>
    <t xml:space="preserve">Detector de metales: probetas de prueba y verificación</t>
  </si>
  <si>
    <t xml:space="preserve">Medidor de grasa: contraste con el laboratorio y recalibración</t>
  </si>
  <si>
    <t xml:space="preserve">Sensores de coagulación, temperatura y caudal de las tinas</t>
  </si>
  <si>
    <t xml:space="preserve">Conductivímetros y temperatura del CIP</t>
  </si>
  <si>
    <t xml:space="preserve">Laboratorio acreditado por el ONAC; se cotiza en la etapa 0.</t>
  </si>
  <si>
    <t xml:space="preserve">Costos nuevos de la quesería ($ M/año)</t>
  </si>
  <si>
    <t xml:space="preserve">Etapa 1</t>
  </si>
  <si>
    <t xml:space="preserve">Etapa 2</t>
  </si>
  <si>
    <t xml:space="preserve">Energía, vapor y calibración</t>
  </si>
  <si>
    <t xml:space="preserve">Se suman al mantenimiento de los equipos nuevos (3 % de su costo al año) y a las suscripciones del SCADA de la hoja Quesería.</t>
  </si>
  <si>
    <t xml:space="preserve">Cotizaciones y precios de referencia de los equipos</t>
  </si>
  <si>
    <t xml:space="preserve">Precios publicados en octubre de 2026, convertidos a pesos con la TRM y el euro del día. Sin cotización formal todavía: las cifras en azul se reemplazan cuando lleguen las de los proveedores.</t>
  </si>
  <si>
    <t xml:space="preserve">Tasas de cambio y factores</t>
  </si>
  <si>
    <t xml:space="preserve">Concepto</t>
  </si>
  <si>
    <t xml:space="preserve">Fuente</t>
  </si>
  <si>
    <t xml:space="preserve">Tasa representativa del mercado (16 de octubre de 2026)</t>
  </si>
  <si>
    <t xml:space="preserve">Superintendencia Financiera, citada por Noticias Caracol, 16-oct-2026.</t>
  </si>
  <si>
    <t xml:space="preserve">Euro en pesos (15 de octubre de 2026)</t>
  </si>
  <si>
    <t xml:space="preserve">$/€</t>
  </si>
  <si>
    <t xml:space="preserve">Investing.com, citado por Portafolio, 15-oct-2026.</t>
  </si>
  <si>
    <t xml:space="preserve">Flete, seguro, arancel y nacionalización de un equipo importado</t>
  </si>
  <si>
    <t xml:space="preserve">Supuesto: flete marítimo e internación desde Asia o Europa; confirmar con el agente de aduanas.</t>
  </si>
  <si>
    <t xml:space="preserve">Instalación, integración y puesta en marcha</t>
  </si>
  <si>
    <t xml:space="preserve">Supuesto: montaje, cableado al PLC y pruebas en sitio.</t>
  </si>
  <si>
    <t xml:space="preserve">Equipos de la inversión</t>
  </si>
  <si>
    <t xml:space="preserve">Equipo</t>
  </si>
  <si>
    <t xml:space="preserve">Precio de referencia</t>
  </si>
  <si>
    <t xml:space="preserve">Moneda</t>
  </si>
  <si>
    <t xml:space="preserve">Precio en $ M</t>
  </si>
  <si>
    <t xml:space="preserve">Con nacionalización e instalación ($ M)</t>
  </si>
  <si>
    <t xml:space="preserve">Valor en el modelo ($ M)</t>
  </si>
  <si>
    <t xml:space="preserve">Estado</t>
  </si>
  <si>
    <t xml:space="preserve">Lectura</t>
  </si>
  <si>
    <t xml:space="preserve">Controladora de peso y detector de metales (estación E18)</t>
  </si>
  <si>
    <t xml:space="preserve">US$</t>
  </si>
  <si>
    <t xml:space="preserve">Precio publicado</t>
  </si>
  <si>
    <t xml:space="preserve">Made-in-China, catálogo de controladoras de peso: equipo combinado con detector de metales, US$6.500–7.000 por unidad (oct-2026).</t>
  </si>
  <si>
    <t xml:space="preserve">Equipo de origen chino. Una marca europea puede costar 3 a 4 veces más; se recomienda pedir las dos cotizaciones.</t>
  </si>
  <si>
    <t xml:space="preserve">Hiladora-moldeadora continua de 300 kg/h</t>
  </si>
  <si>
    <t xml:space="preserve">€</t>
  </si>
  <si>
    <t xml:space="preserve">Estimado con referencias</t>
  </si>
  <si>
    <t xml:space="preserve">Werktuigen: DIMA 100 Compact usada (2023), 100 kg/h, €39.000. Ullmer's: cocedora-hiladora DIMA usada, US$35.000. Made-in-China: cocedora-hiladora por lotes, US$12.500–18.500.</t>
  </si>
  <si>
    <t xml:space="preserve">Las referencias son de máquinas usadas de 100 kg/h o de equipos por lotes. Una continua nueva de 300 kg/h (Milkylab, CMT, Dima) es de precio a solicitud; el estimado equivale a unos US$102.000.</t>
  </si>
  <si>
    <t xml:space="preserve">Accio: sistemas CIP automáticos de US$4.000–10.000 (estaciones pequeñas) hasta US$80.000 (línea completa de leche).</t>
  </si>
  <si>
    <t xml:space="preserve">El estimado (un tercio de una estación de tres circuitos) está dentro del rango publicado.</t>
  </si>
  <si>
    <t xml:space="preserve">SCADA, historiador y MES ligero (licencias Ignition)</t>
  </si>
  <si>
    <t xml:space="preserve">Industrial Monitor Direct (jul-2026): Ignition Vision ilimitado US$6.500; paquete «The Works» US$9.500.</t>
  </si>
  <si>
    <t xml:space="preserve">Las licencias son una parte; el valor del modelo incluye servidor, red e instrumentación de la quesería.</t>
  </si>
  <si>
    <t xml:space="preserve">Controlador de las tinas (CompactLogix 1769-L33ER)</t>
  </si>
  <si>
    <t xml:space="preserve">NJT Automation: 1769-L33ER nuevo, caja abierta, US$2.199,99.</t>
  </si>
  <si>
    <t xml:space="preserve">Componente incluido en la automatización de las tinas; se muestra como referencia del costo del control.</t>
  </si>
  <si>
    <t xml:space="preserve">Automatización de 2 tinas (liras con variador, sensor de coagulación, dosificación)</t>
  </si>
  <si>
    <t xml:space="preserve">Estimado</t>
  </si>
  <si>
    <t xml:space="preserve">Pendiente: sensor de coagulación y liras motorizadas son de precio a solicitud.</t>
  </si>
  <si>
    <t xml:space="preserve">Tina del doble crema: medición y mando básicos</t>
  </si>
  <si>
    <t xml:space="preserve">Pendiente de cotización.</t>
  </si>
  <si>
    <t xml:space="preserve">Medidor de grasa en línea (planta)</t>
  </si>
  <si>
    <t xml:space="preserve">FOSS, Anton Paar y Maselli: precio a solicitud.</t>
  </si>
  <si>
    <t xml:space="preserve">Enfriador de placas y tanque pulmón del suero</t>
  </si>
  <si>
    <t xml:space="preserve">Siguiente paso: solicitud formal de cotización a proveedores en Colombia (equipos de proceso lácteo, instrumentación y control) para la hiladora, las tinas, el medidor de grasa, el CIP y la estación E18.</t>
  </si>
  <si>
    <t xml:space="preserve">Escenarios de la oferta</t>
  </si>
  <si>
    <t xml:space="preserve">La misma evaluación de la hoja Quesería con los supuestos que más mueven el resultado. La columna Oferta reproduce la hoja Quesería.</t>
  </si>
  <si>
    <t xml:space="preserve">Qué cambia en cada escenario</t>
  </si>
  <si>
    <t xml:space="preserve">Oferta</t>
  </si>
  <si>
    <t xml:space="preserve">Conservador</t>
  </si>
  <si>
    <t xml:space="preserve">Conservador con compuerta</t>
  </si>
  <si>
    <t xml:space="preserve">Sin arranque en 2027</t>
  </si>
  <si>
    <t xml:space="preserve">Sin relevo natural</t>
  </si>
  <si>
    <t xml:space="preserve">Beneficios −20 %</t>
  </si>
  <si>
    <t xml:space="preserve">Beneficios +20 %</t>
  </si>
  <si>
    <t xml:space="preserve">Inversión +20 %</t>
  </si>
  <si>
    <t xml:space="preserve">Inversión −20 %</t>
  </si>
  <si>
    <t xml:space="preserve">Costos operativos +30 %</t>
  </si>
  <si>
    <t xml:space="preserve">Costos operativos −30 %</t>
  </si>
  <si>
    <t xml:space="preserve">Inflación del consenso</t>
  </si>
  <si>
    <t xml:space="preserve">Inflación persistente</t>
  </si>
  <si>
    <t xml:space="preserve">Salario mínimo 2027: 7 %</t>
  </si>
  <si>
    <t xml:space="preserve">Salario mínimo 2027: 10 %</t>
  </si>
  <si>
    <t xml:space="preserve">Renta 30 %</t>
  </si>
  <si>
    <t xml:space="preserve">Crédito ordinario</t>
  </si>
  <si>
    <t xml:space="preserve">Garantía del FNG</t>
  </si>
  <si>
    <t xml:space="preserve">Sin crédito fiscal por innovación</t>
  </si>
  <si>
    <t xml:space="preserve">Sin las dos gestiones</t>
  </si>
  <si>
    <t xml:space="preserve">Adverso combinado</t>
  </si>
  <si>
    <t xml:space="preserve">Sin herramientas</t>
  </si>
  <si>
    <t xml:space="preserve">Con el costo de capital del proyecto</t>
  </si>
  <si>
    <t xml:space="preserve">Solo etapas 0 y 1</t>
  </si>
  <si>
    <t xml:space="preserve">Horas extra restantes que elimina la hiladora (1 = se cuentan)</t>
  </si>
  <si>
    <t xml:space="preserve">Descuento tributario del suero (1 = se toma)</t>
  </si>
  <si>
    <t xml:space="preserve">Valor de los equipos al año 10 (1 = se cuenta)</t>
  </si>
  <si>
    <t xml:space="preserve">Relevo natural de 2 operarios (1 = se cuenta)</t>
  </si>
  <si>
    <t xml:space="preserve">Factor de beneficios</t>
  </si>
  <si>
    <t xml:space="preserve">Factor de inversión</t>
  </si>
  <si>
    <t xml:space="preserve">Factor de costos operativos nuevos</t>
  </si>
  <si>
    <t xml:space="preserve">Tasa del crédito</t>
  </si>
  <si>
    <t xml:space="preserve">Ruta de inflación (1 base, 2 consenso, 3 persistente)</t>
  </si>
  <si>
    <t xml:space="preserve">Incremento del salario mínimo de 2027</t>
  </si>
  <si>
    <t xml:space="preserve">Costo de capital (1 = del proyecto; 0 = 16 % de la empresa)</t>
  </si>
  <si>
    <t xml:space="preserve">Depreciación fiscal por tipo de activo (1 = sí; 0 = todo a 10 años)</t>
  </si>
  <si>
    <t xml:space="preserve">Crédito fiscal por innovación, art. 256-1 (1 = certificado)</t>
  </si>
  <si>
    <t xml:space="preserve">Etapa 2 (1 = se hace)</t>
  </si>
  <si>
    <t xml:space="preserve">Beneficios según su respaldo (1 = caso conservador)</t>
  </si>
  <si>
    <t xml:space="preserve">Arranque de la etapa 1 en 2027 (1 = se cuenta)</t>
  </si>
  <si>
    <t xml:space="preserve">Ajuste de las tasas nominales por la inflación de la ruta (Fisher)</t>
  </si>
  <si>
    <t xml:space="preserve">Conservador: cada beneficio según su respaldo (contratado y medido 100 %, técnicamente justificado 75 %, por medir 50 %, hipotético 0 %), sin descuento ambiental ni crédito fiscal, con garantía del FNG y sin valor final de los equipos. Conservador con compuerta: lo mismo, pero la etapa 2 no se hace porque sus condiciones no se cumplen. Las rutas de inflación mueven las tasas nominales en la misma proporción (Fisher). Crédito ordinario: 15,7 %, tasa de los créditos empresariales a medianas empresas a 3–5 años en la misma fuente. Garantía del FNG: si el banco no acepta la prenda. Sin crédito fiscal: si el CNBT no certifica la inversión. Renta 30 %: si prospera la reducción anunciada por el Gobierno. Adverso combinado: beneficios −20 %, inversión +20 % y costos +30 % a la vez. Los escenarios de herramientas se explican en la hoja Herramientas.</t>
  </si>
  <si>
    <t xml:space="preserve">Resultados por escenario</t>
  </si>
  <si>
    <t xml:space="preserve">TIR del proyecto en pesos corrientes (frente al costo de capital)</t>
  </si>
  <si>
    <t xml:space="preserve">VPN al costo de capital ($ M de 2026)</t>
  </si>
  <si>
    <t xml:space="preserve">Recuperación (años)</t>
  </si>
  <si>
    <t xml:space="preserve">ROI a 10 años</t>
  </si>
  <si>
    <t xml:space="preserve">TIR del inversionista en pesos corrientes (frente al 25 %)</t>
  </si>
  <si>
    <t xml:space="preserve">Flujos de cada escenario (años 0 a 10)</t>
  </si>
  <si>
    <t xml:space="preserve">Análisis de riesgo de la oferta</t>
  </si>
  <si>
    <t xml:space="preserve">Cuánto puede empeorar cada supuesto antes de que el proyecto deje de valer la pena, y qué supuestos pesan más. Se calcula con la hoja Escenarios.</t>
  </si>
  <si>
    <t xml:space="preserve">Punto de equilibrio: variación que deja el VPN en cero</t>
  </si>
  <si>
    <t xml:space="preserve">Variación de equilibrio</t>
  </si>
  <si>
    <t xml:space="preserve">Valor de equilibrio</t>
  </si>
  <si>
    <t xml:space="preserve">Valor de la oferta</t>
  </si>
  <si>
    <t xml:space="preserve">Beneficios</t>
  </si>
  <si>
    <t xml:space="preserve">Los beneficios pueden caer esta fracción y el proyecto todavía devuelve su costo de capital.</t>
  </si>
  <si>
    <t xml:space="preserve">La inversión puede subir esta fracción, además de los imprevistos que ya incluye.</t>
  </si>
  <si>
    <t xml:space="preserve">Los costos nuevos pueden subir esta fracción.</t>
  </si>
  <si>
    <t xml:space="preserve">El VPN cambia en línea recta con cada factor; por eso basta un escenario para hallar el punto donde se hace cero. En ese punto la TIR en pesos corrientes iguala el costo de capital.</t>
  </si>
  <si>
    <t xml:space="preserve">Sensibilidad del VPN (gráfico de tornado)</t>
  </si>
  <si>
    <t xml:space="preserve">VPN con el valor desfavorable</t>
  </si>
  <si>
    <t xml:space="preserve">VPN con el valor favorable</t>
  </si>
  <si>
    <t xml:space="preserve">Cambio desfavorable</t>
  </si>
  <si>
    <t xml:space="preserve">Cambio favorable</t>
  </si>
  <si>
    <t xml:space="preserve">Valores probados</t>
  </si>
  <si>
    <t xml:space="preserve">−20 % / +20 %</t>
  </si>
  <si>
    <t xml:space="preserve">Relevo natural</t>
  </si>
  <si>
    <t xml:space="preserve">Sin relevo / con relevo</t>
  </si>
  <si>
    <t xml:space="preserve">+20 % / −20 %</t>
  </si>
  <si>
    <t xml:space="preserve">+30 % / −30 %</t>
  </si>
  <si>
    <t xml:space="preserve">Supuestos del escenario conservador</t>
  </si>
  <si>
    <t xml:space="preserve">Beneficios según su respaldo / oferta</t>
  </si>
  <si>
    <t xml:space="preserve">Inflación</t>
  </si>
  <si>
    <t xml:space="preserve">Consenso de analistas / persistente</t>
  </si>
  <si>
    <t xml:space="preserve">Salario mínimo de 2027</t>
  </si>
  <si>
    <t xml:space="preserve">7 % / 10 %</t>
  </si>
  <si>
    <t xml:space="preserve">Gestiones de IntegraMotion (prenda y crédito fiscal)</t>
  </si>
  <si>
    <t xml:space="preserve">Sin ellas / con ellas</t>
  </si>
  <si>
    <t xml:space="preserve">VPN de la oferta ($ M)</t>
  </si>
  <si>
    <t xml:space="preserve">Inflación: las tasas nominales se mueven con la inflación de cada ruta, así que el cambio de VPN viene solo de lo pactado en pesos corrientes (deuda, depreciación fiscal, IVA y cartera). Salario mínimo: si sube más, valen más las horas extra y el relevo que se ahorran.</t>
  </si>
  <si>
    <t xml:space="preserve">Escenario</t>
  </si>
  <si>
    <t xml:space="preserve">TIR en pesos corrientes</t>
  </si>
  <si>
    <t xml:space="preserve">VPN ($ M)</t>
  </si>
  <si>
    <t xml:space="preserve">TIR del inversionista</t>
  </si>
  <si>
    <t xml:space="preserve">Cobertura mínima</t>
  </si>
  <si>
    <t xml:space="preserve">Beneficios según su respaldo, haciendo la etapa 2 de todos modos.</t>
  </si>
  <si>
    <t xml:space="preserve">Beneficios según su respaldo; la compuerta detiene la etapa 2.</t>
  </si>
  <si>
    <t xml:space="preserve">Tres supuestos malos a la vez: es la prueba más dura.</t>
  </si>
  <si>
    <t xml:space="preserve">La inflación se queda cerca del 6,5 % hasta 2037.</t>
  </si>
  <si>
    <t xml:space="preserve">Si prospera la reducción de impuestos anunciada.</t>
  </si>
  <si>
    <t xml:space="preserve">Sin la línea de fomento.</t>
  </si>
  <si>
    <t xml:space="preserve">Si el banco no acepta la prenda.</t>
  </si>
  <si>
    <t xml:space="preserve">Si el CNBT no certifica la inversión.</t>
  </si>
  <si>
    <t xml:space="preserve">Ninguna de las dos gestiones sale.</t>
  </si>
  <si>
    <t xml:space="preserve">Primera compuerta no superada: solo la etapa 0</t>
  </si>
  <si>
    <t xml:space="preserve">La etapa 0 es organizacional, no compra equipos ni usa crédito. Positiva con los ahorros conservadores supuestos; su sensibilidad está en la hoja Herramientas.</t>
  </si>
  <si>
    <t xml:space="preserve">Riesgos principales y respuesta</t>
  </si>
  <si>
    <t xml:space="preserve">Dónde pega en el modelo</t>
  </si>
  <si>
    <t xml:space="preserve">Respuesta</t>
  </si>
  <si>
    <t xml:space="preserve">El rendimiento o la grasa no mejoran lo esperado</t>
  </si>
  <si>
    <t xml:space="preserve">Beneficios de la etapa 1</t>
  </si>
  <si>
    <t xml:space="preserve">La etapa 0 mide la línea base antes de comprar; la etapa 2 solo se aprueba si la etapa 1 cumple (compuerta).</t>
  </si>
  <si>
    <t xml:space="preserve">La hiladora cuesta más que el estimado</t>
  </si>
  <si>
    <t xml:space="preserve">Inversión del año 1</t>
  </si>
  <si>
    <t xml:space="preserve">Cotización formal antes de la compuerta; los imprevistos de 15 % cubren parte; la etapa 2 se puede aplazar sin perder la etapa 1.</t>
  </si>
  <si>
    <t xml:space="preserve">Nadie compra el suero a $45/kg</t>
  </si>
  <si>
    <t xml:space="preserve">Beneficio del suero</t>
  </si>
  <si>
    <t xml:space="preserve">Dos cotizaciones de fábricas de alimento en la etapa 0; si no hay contrato, el enfriador no se compra.</t>
  </si>
  <si>
    <t xml:space="preserve">No se dan las vacantes del relevo natural</t>
  </si>
  <si>
    <t xml:space="preserve">Los operarios se forman y se reubican en yogur o UHT; el escenario Sin relevo natural muestra el efecto.</t>
  </si>
  <si>
    <t xml:space="preserve">Sube el gas o la energía (importaciones de gas, El Niño)</t>
  </si>
  <si>
    <t xml:space="preserve">El escenario Costos operativos +30 % y el punto de equilibrio muestran cuánto aguanta el proyecto.</t>
  </si>
  <si>
    <t xml:space="preserve">La inflación no baja y las tasas siguen altas</t>
  </si>
  <si>
    <t xml:space="preserve">Tasa del crédito y tasa real</t>
  </si>
  <si>
    <t xml:space="preserve">El crédito de fomento sigue la IBR; el escenario Crédito ordinario muestra 1,6 puntos más de tasa y el de inflación persistente, el otro lado.</t>
  </si>
  <si>
    <t xml:space="preserve">El salario mínimo de 2027 sube más de lo técnico</t>
  </si>
  <si>
    <t xml:space="preserve">Beneficios de mano de obra y precio de los contratos</t>
  </si>
  <si>
    <t xml:space="preserve">Sube el ahorro en horas extra y relevo; el contrato de IntegraMotion se reajusta con el salario mínimo, así que la integradora no pierde.</t>
  </si>
  <si>
    <t xml:space="preserve">Incertidumbre fiscal: presupuesto de 2027 por decreto</t>
  </si>
  <si>
    <t xml:space="preserve">Tasas de interés</t>
  </si>
  <si>
    <t xml:space="preserve">No toca la quesería directamente; se refleja en tasas que bajan más lento (ruta base por encima del consenso).</t>
  </si>
  <si>
    <t xml:space="preserve">El banco exige la garantía del FNG</t>
  </si>
  <si>
    <t xml:space="preserve">IntegraMotion negocia la prenda con el avalúo de los equipos y el balance de la empresa ($6.500 M en activos fijos, deuda de 0,8 veces el EBITDA); el escenario Garantía del FNG muestra el efecto.</t>
  </si>
  <si>
    <t xml:space="preserve">El CNBT no certifica la inversión en innovación</t>
  </si>
  <si>
    <t xml:space="preserve">Crédito fiscal por innovación</t>
  </si>
  <si>
    <t xml:space="preserve">Se postula antes de ejecutar, con el aval de un actor reconocido y solo con la parte de desarrollo; el escenario Sin crédito fiscal muestra el efecto y la etapa 2 no depende de él.</t>
  </si>
  <si>
    <t xml:space="preserve">Herramientas económicas de la oferta</t>
  </si>
  <si>
    <t xml:space="preserve">Lo que se hace con ingeniería económica, sin comprar equipos ni cambiar líneas, para que el valor de la propuesta no dependa de supuestos mal analizados. Se calcula con la hoja Escenarios.</t>
  </si>
  <si>
    <t xml:space="preserve">Herramientas, una sobre otra</t>
  </si>
  <si>
    <t xml:space="preserve">Paso</t>
  </si>
  <si>
    <t xml:space="preserve">Costo de capital</t>
  </si>
  <si>
    <t xml:space="preserve">VPN ($ M de 2026)</t>
  </si>
  <si>
    <t xml:space="preserve">Estado y base</t>
  </si>
  <si>
    <t xml:space="preserve">Punto de partida: costo de capital de 16 %, todo depreciado a 10 años, garantía del FNG</t>
  </si>
  <si>
    <t xml:space="preserve">Referencia.</t>
  </si>
  <si>
    <t xml:space="preserve">+ Costo de capital con la deuda que financia el proyecto</t>
  </si>
  <si>
    <t xml:space="preserve">El 16 % usaba el 18 % de la deuda actual de la empresa; el proyecto se financia con Bancóldex al 14,1 % más la garantía.</t>
  </si>
  <si>
    <t xml:space="preserve">+ Depreciación por tipo de activo y gastos deducibles en el año</t>
  </si>
  <si>
    <t xml:space="preserve">Art. 137 ET: equipo de cómputo y redes al 20 % anual; el diagnóstico, la formación y el aval son gastos del año.</t>
  </si>
  <si>
    <t xml:space="preserve">+ Prenda sobre los equipos en lugar de la garantía del FNG</t>
  </si>
  <si>
    <t xml:space="preserve">Gestión de IntegraMotion ante el banco (Ley 1676 de 2013).</t>
  </si>
  <si>
    <t xml:space="preserve">+ Crédito fiscal por innovación (art. 256-1 ET)</t>
  </si>
  <si>
    <t xml:space="preserve">Gestión de IntegraMotion ante Minciencias y el CNBT: 50 % de la parte de desarrollo de la etapa 1.</t>
  </si>
  <si>
    <t xml:space="preserve">Cada fila suma la herramienta a las de arriba; todas están en la oferta. Las dos primeras corrigen el análisis; las dos últimas son gestiones que IntegraMotion hace por el cliente.</t>
  </si>
  <si>
    <t xml:space="preserve">Cómo se consiguen las dos gestiones</t>
  </si>
  <si>
    <t xml:space="preserve">• Prenda sobre los equipos: avalúo de los equipos financiados, contrato de garantía mobiliaria inscrito en el registro de Confecámaras (Ley 1676 de 2013) y póliza todo riesgo endosada al banco. Argumento ante el banco: $6.500 M en activos fijos y deuda de 0,8 veces el EBITDA. Costo: avalúo y registro, y la póliza dentro de los costos operativos.</t>
  </si>
  <si>
    <t xml:space="preserve">• Crédito fiscal por innovación (art. 256-1): Lácteos Fúquene es mediana empresa. Se formula el proyecto de innovación (corte del cuajo con sensor de coagulación y modelo de control, estandarización de grasa por balance de masa en línea y MES) y se postula en la convocatoria de beneficios tributarios de Minciencias antes de ejecutarlo, con el aval de un actor reconocido. El CNBT certifica la inversión y el crédito se compensa con impuestos nacionales en los dos años siguientes (o en títulos TIDIS si supera 1.000 UVT).</t>
  </si>
  <si>
    <t xml:space="preserve">• Base del crédito: solo la parte de desarrollo; la compra de equipos estándar (controladora de peso, medidor de grasa, tina básica) no califica. Responsable: ingeniero de gestión y finanzas, como entregable del contrato 1.</t>
  </si>
  <si>
    <t xml:space="preserve">Propuestas operativas y organizacionales que aseguran los beneficios</t>
  </si>
  <si>
    <t xml:space="preserve">Propuesta</t>
  </si>
  <si>
    <t xml:space="preserve">Efecto en el VPN ($ M)</t>
  </si>
  <si>
    <t xml:space="preserve">Qué asegura</t>
  </si>
  <si>
    <t xml:space="preserve">Arranque de la etapa 1 a mitad de 2027</t>
  </si>
  <si>
    <t xml:space="preserve">El contrato 1 dura 4 meses. Se ganan 4 meses de beneficio y la compuerta de diciembre se decide con datos medidos, no con promesas.</t>
  </si>
  <si>
    <t xml:space="preserve">Línea base medida con un protocolo de medida y verificación (etapa 0)</t>
  </si>
  <si>
    <t xml:space="preserve">Responsable: jefe de quesería con el ingeniero de procesos. Indicadores normalizados para que no se confundan con cambios de volumen o de mezcla: horas extra por tonelada, mantenimiento por hora de operación, merma y sobrepeso por producto y lote, rendimiento por litro y por receta; registro diario en el MES y revisión mensual.</t>
  </si>
  <si>
    <t xml:space="preserve">Relevo con la rotación normal de la planta</t>
  </si>
  <si>
    <t xml:space="preserve">Con unas 100 personas y 15 % o más de rotación hay unas 15 vacantes al año. Cubrir 2 con operarios ya formados ahorra además el costo de reemplazo (valor del año 2 en la columna).</t>
  </si>
  <si>
    <t xml:space="preserve">Contrato del suero antes de comprar el enfriador</t>
  </si>
  <si>
    <t xml:space="preserve">El beneficio del suero pasa a "contratado"; si no hay comprador, no se compra el equipo.</t>
  </si>
  <si>
    <t xml:space="preserve">Utilidad de IntegraMotion atada a los resultados</t>
  </si>
  <si>
    <t xml:space="preserve">Propuesta de contrato: la utilidad del AIU (unos $8 M del contrato 1) queda contingente. Se paga completa si el beneficio verificado a 12 meses llega al 80 % de la meta, en proporción entre 50 % y 80 %, y nada por debajo de 50 %. No está en el VPN de la quesería, que la paga completa.</t>
  </si>
  <si>
    <t xml:space="preserve">Bonificación del equipo de la quesería por metas</t>
  </si>
  <si>
    <t xml:space="preserve">Se paga solo de ahorro ya verificado en merma, sobrepeso y rendimiento; su monto se fija en la etapa 0. No está en el VPN: al definirlo se resta del beneficio.</t>
  </si>
  <si>
    <t xml:space="preserve">Caso conservador con la compuerta de la etapa 2</t>
  </si>
  <si>
    <t xml:space="preserve">Si solo se cuenta lo respaldado y aun así se compra la etapa 1: por eso hace falta la primera compuerta.</t>
  </si>
  <si>
    <t xml:space="preserve">Caso conservador haciendo la etapa 2 de todos modos</t>
  </si>
  <si>
    <t xml:space="preserve">Sin ninguna compuerta.</t>
  </si>
  <si>
    <t xml:space="preserve">Si la primera compuerta no se supera: solo la etapa 0</t>
  </si>
  <si>
    <t xml:space="preserve">Si la línea base medida en la etapa 0 solo respalda el caso conservador, la etapa 1 no se compra. Queda la etapa 0, que es organizacional y no compra equipos: diagnóstico, orden del hilado, plan de mantenimiento preventivo y mantenimiento autónomo.</t>
  </si>
  <si>
    <t xml:space="preserve">$ M de 2026</t>
  </si>
  <si>
    <t xml:space="preserve">Costo de la etapa 0 con imprevistos (diagnóstico y parte organizacional del contrato 1)</t>
  </si>
  <si>
    <t xml:space="preserve">Ahorros, caso conservador (horas extra por el orden del hilado y mantenimiento preventivo)</t>
  </si>
  <si>
    <t xml:space="preserve">Impuesto de renta, pagado al año siguiente (el costo es gasto deducible; el del año 10 se cierra en el año 10)</t>
  </si>
  <si>
    <t xml:space="preserve">Flujo de caja libre de la etapa 0</t>
  </si>
  <si>
    <t xml:space="preserve">VPN de la etapa 0 sola ($ M de 2026)</t>
  </si>
  <si>
    <t xml:space="preserve">Descontado al costo de capital del caso conservador (con FNG). Con los ahorros conservadores y la deducción supuestos, la etapa 0 se paga sola; las filas de abajo prueban qué pasa si no.</t>
  </si>
  <si>
    <t xml:space="preserve">TIR de la etapa 0 sola, en pesos constantes</t>
  </si>
  <si>
    <t xml:space="preserve">Si no se da el ahorro de mantenimiento</t>
  </si>
  <si>
    <t xml:space="preserve">El mantenimiento es cerca de tres cuartos del ahorro de la etapa 0: es lo primero que se mide.</t>
  </si>
  <si>
    <t xml:space="preserve">Si el ahorro neto de mantenimiento es 10 % del gasto y no 20 %</t>
  </si>
  <si>
    <t xml:space="preserve">Si ambos ahorros son la mitad del caso conservador</t>
  </si>
  <si>
    <t xml:space="preserve">Ahorro mínimo que deja el VPN en cero (% del caso conservador)</t>
  </si>
  <si>
    <t xml:space="preserve">Con menos de esta fracción del ahorro conservador, la etapa 0 no se paga.</t>
  </si>
  <si>
    <t xml:space="preserve">Si el costo de la etapa 0 no fuera deducible</t>
  </si>
  <si>
    <t xml:space="preserve">El diagnóstico y la parte organizacional son servicios del año con relación de causalidad (art. 107 ET).</t>
  </si>
  <si>
    <t xml:space="preserve">Valor de cada etapa (análisis incremental)</t>
  </si>
  <si>
    <t xml:space="preserve">Lo que vale el proyecto si se queda en la etapa 1.</t>
  </si>
  <si>
    <t xml:space="preserve">Etapa 2, incremental</t>
  </si>
  <si>
    <t xml:space="preserve">Lo que agrega la hiladora, el CIP y el suero sobre la etapa 1.</t>
  </si>
  <si>
    <t xml:space="preserve">Proyecto completo (oferta)</t>
  </si>
  <si>
    <t xml:space="preserve">Flujo incremental de la etapa 2 en pesos corrientes ($ M)</t>
  </si>
  <si>
    <t xml:space="preserve">Oferta − solo etapas 0 y 1</t>
  </si>
  <si>
    <t xml:space="preserve">Primera compuerta, para comprar la etapa 1 (al cerrar la etapa 0): decide si la pérdida que se quiere atacar existe y es del tamaño supuesto.</t>
  </si>
  <si>
    <t xml:space="preserve">• Las pérdidas actuales están medidas con los registros históricos de la planta y un mes de medición: rendimiento por producto, variabilidad de grasa, merma, sobrepeso, horas extra y gasto de mantenimiento.</t>
  </si>
  <si>
    <t xml:space="preserve">• Con esas pérdidas medidas, el beneficio potencial recalculado deja la etapa 1 con VPN positivo en el caso conservador.</t>
  </si>
  <si>
    <t xml:space="preserve">• Prueba del sensor de coagulación en una tina con equipo de demostración del proveedor, antes de comprar los de las tres tinas.</t>
  </si>
  <si>
    <t xml:space="preserve">• El orden del hilado y el plan de mantenimiento ya están en marcha y muestran su ahorro.</t>
  </si>
  <si>
    <t xml:space="preserve">• El proyecto de innovación está postulado ante Minciencias y el banco aprobó el crédito con su garantía.</t>
  </si>
  <si>
    <t xml:space="preserve">Segunda compuerta, para aprobar la etapa 2 (diciembre de 2027): verifica que la automatización ya instalada logró la mejora, con al menos 4 meses de operación.</t>
  </si>
  <si>
    <t xml:space="preserve">• La etapa 1 cumple sus indicadores medidos contra la línea base de la etapa 0 (rendimiento, grasa, sobrepeso y merma).</t>
  </si>
  <si>
    <t xml:space="preserve">• Contrato de compra del suero firmado a $45/kg o más, con precio reajustado cada año por el IPC.</t>
  </si>
  <si>
    <t xml:space="preserve">• Plan de reasignación aprobado: los puestos de yogur o UHT que reciben a los 2 operarios, las competencias que piden, la formación y las fechas; así se confirma que esas 2 contrataciones se evitan.</t>
  </si>
  <si>
    <t xml:space="preserve">• Cotización formal de la hiladora dentro del presupuesto con sus imprevistos.</t>
  </si>
  <si>
    <t xml:space="preserve">Si alguna no se cumple, la empresa se queda en la etapa 1, que crea valor por sí sola, y no pierde lo ganado.</t>
  </si>
  <si>
    <t xml:space="preserve">Protecciones en los contratos</t>
  </si>
  <si>
    <t xml:space="preserve">• Contratos de IntegraMotion reajustados con el salario mínimo del año en que se ejecutan (hoja Entorno): la integradora no pierde valor si el mínimo sube más que la inflación.</t>
  </si>
  <si>
    <t xml:space="preserve">• Contrato de venta del suero con precio reajustado cada año por el IPC: así el beneficio del suero se mantiene en pesos constantes, como lo supone el modelo.</t>
  </si>
  <si>
    <t xml:space="preserve">• Hiladora cotizada en euros: fijar el precio en pesos al firmar la compra o cubrirlo con un contrato a plazo (forward) con el banco.</t>
  </si>
  <si>
    <t xml:space="preserve">• Pagos a IntegraMotion por hitos (30/40/30 y 50/50): la quesería paga a medida que recibe.</t>
  </si>
  <si>
    <t xml:space="preserve">• Crédito de fomento atado a la IBR: si el Banco de la República baja la tasa en 2027, como espera el mercado, bajan los intereses. El modelo no cuenta esa baja.</t>
  </si>
  <si>
    <t xml:space="preserve">• Por evaluar: leasing financiero de fomento para los equipos de la etapa 2, que financia el 100 % y el IVA. Falta la tasa del leasing para compararlo con el crédito.</t>
  </si>
  <si>
    <t xml:space="preserve">Efecto del proyecto en Lácteos Fúquene</t>
  </si>
  <si>
    <t xml:space="preserve">Estado de resultados y endeudamiento de la empresa con el proyecto. Sin el proyecto la empresa se mantiene igual a 2026, en pesos constantes (supuesto didáctico). $ M constantes de 2026.</t>
  </si>
  <si>
    <t xml:space="preserve">La empresa en 2026 (caso de estudio)</t>
  </si>
  <si>
    <t xml:space="preserve">Rubro</t>
  </si>
  <si>
    <t xml:space="preserve">Ventas</t>
  </si>
  <si>
    <t xml:space="preserve">Estado de resultados y balance del caso.</t>
  </si>
  <si>
    <t xml:space="preserve">EBITDA</t>
  </si>
  <si>
    <t xml:space="preserve">Depreciación</t>
  </si>
  <si>
    <t xml:space="preserve">Utilidad neta</t>
  </si>
  <si>
    <t xml:space="preserve">Deuda financiera</t>
  </si>
  <si>
    <t xml:space="preserve">Caja y bancos</t>
  </si>
  <si>
    <t xml:space="preserve">Con el proyecto (años 0 a 10)</t>
  </si>
  <si>
    <t xml:space="preserve">Ventas sin el proyecto</t>
  </si>
  <si>
    <t xml:space="preserve">Ventas adicionales del proyecto</t>
  </si>
  <si>
    <t xml:space="preserve">Ventas con el proyecto</t>
  </si>
  <si>
    <t xml:space="preserve">EBITDA sin el proyecto</t>
  </si>
  <si>
    <t xml:space="preserve">EBITDA del proyecto</t>
  </si>
  <si>
    <t xml:space="preserve">EBITDA con el proyecto</t>
  </si>
  <si>
    <t xml:space="preserve">Margen EBITDA</t>
  </si>
  <si>
    <t xml:space="preserve">Intereses, comisiones y GMF</t>
  </si>
  <si>
    <t xml:space="preserve">Utilidad antes de impuestos</t>
  </si>
  <si>
    <t xml:space="preserve">Impuesto antes de descuentos</t>
  </si>
  <si>
    <t xml:space="preserve">Descuentos de renta del proyecto (art. 255 y 258-1)</t>
  </si>
  <si>
    <t xml:space="preserve">Utilidad neta con el proyecto</t>
  </si>
  <si>
    <t xml:space="preserve">Cambio de la utilidad neta</t>
  </si>
  <si>
    <t xml:space="preserve">Deuda financiera actual</t>
  </si>
  <si>
    <t xml:space="preserve">Saldo del crédito del proyecto</t>
  </si>
  <si>
    <t xml:space="preserve">Deuda total / EBITDA (veces)</t>
  </si>
  <si>
    <t xml:space="preserve">EBITDA / gastos financieros (veces)</t>
  </si>
  <si>
    <t xml:space="preserve">Salida de caja de los socios en el año</t>
  </si>
  <si>
    <t xml:space="preserve">Salida de caja / caja y bancos de 2026</t>
  </si>
  <si>
    <t xml:space="preserve">Deuda actual: se supone que se refinancia y se mantiene. El crédito del proyecto se muestra en pesos constantes. La utilidad neta sin el proyecto es la de 2026.</t>
  </si>
  <si>
    <t xml:space="preserve">Deuda total / EBITDA más alta (los bancos suelen pedir 3 veces o menos)</t>
  </si>
  <si>
    <t xml:space="preserve">Deuda / EBITDA de 2026, sin el proyecto</t>
  </si>
  <si>
    <t xml:space="preserve">EBITDA / gastos financieros más bajo</t>
  </si>
  <si>
    <t xml:space="preserve">Mayor salida de caja de los socios frente a la caja de 2026</t>
  </si>
  <si>
    <t xml:space="preserve">Cambio de la utilidad neta en el año 2</t>
  </si>
  <si>
    <t xml:space="preserve">Cambio de la utilidad neta en el año 5</t>
  </si>
  <si>
    <t xml:space="preserve">IntegraMotion S.A.S.: cuánto cobra por la quesería y cómo se reparte</t>
  </si>
  <si>
    <t xml:space="preserve">Cifras de la empresa integradora, no del cliente. Millones de pesos de 2026. Texto azul: datos de entrada; negro: fórmulas.</t>
  </si>
  <si>
    <t xml:space="preserve">Salario mínimo mensual de 2026</t>
  </si>
  <si>
    <t xml:space="preserve">$ M/mes</t>
  </si>
  <si>
    <t xml:space="preserve">Decreto 1469 de 2025.</t>
  </si>
  <si>
    <t xml:space="preserve">Horas de referencia al mes</t>
  </si>
  <si>
    <t xml:space="preserve">h/mes</t>
  </si>
  <si>
    <t xml:space="preserve">Convierte un pago mensual en tarifa por hora (42 h × 52 semanas ÷ 12). Al director, con contrato laboral, le aplica la jornada de la Ley 2101 de 2021; a los socios por prestación de servicios no: es solo la unidad para estimar.</t>
  </si>
  <si>
    <t xml:space="preserve">Honorario de referencia de un socio, tiempo completo</t>
  </si>
  <si>
    <t xml:space="preserve">SMMLV/mes</t>
  </si>
  <si>
    <t xml:space="preserve">SCI, honorarios de referencia: ingeniero con 0 a 2 años de experiencia, 3 a 4,2 SMMLV (punto medio).</t>
  </si>
  <si>
    <t xml:space="preserve">Salario del director (representante legal), tiempo completo</t>
  </si>
  <si>
    <t xml:space="preserve">Contrato laboral; un poco por encima del tope de la misma categoría por la responsabilidad legal.</t>
  </si>
  <si>
    <t xml:space="preserve">Factor prestacional del salario</t>
  </si>
  <si>
    <t xml:space="preserve">x</t>
  </si>
  <si>
    <t xml:space="preserve">Prima, cesantías e intereses, vacaciones, pensión, ARL y caja (exonerado de salud, SENA e ICBF por debajo de 10 SMMLV).</t>
  </si>
  <si>
    <t xml:space="preserve">Administración (A del AIU)</t>
  </si>
  <si>
    <t xml:space="preserve">% costo directo</t>
  </si>
  <si>
    <t xml:space="preserve">Cubre los gastos de funcionamiento de IntegraMotion durante los 6 meses del proyecto, aunque no tenga otros clientes (detalle al final de esta hoja).</t>
  </si>
  <si>
    <t xml:space="preserve">Imprevistos (I del AIU)</t>
  </si>
  <si>
    <t xml:space="preserve">Reserva del contrato.</t>
  </si>
  <si>
    <t xml:space="preserve">Utilidad (U del AIU)</t>
  </si>
  <si>
    <t xml:space="preserve">Margen de la empresa; de ahí salen los dividendos.</t>
  </si>
  <si>
    <t xml:space="preserve">IVA sobre servicios de ingeniería</t>
  </si>
  <si>
    <t xml:space="preserve">Lo cobra IntegraMotion y lo paga a la DIAN; no es ingreso.</t>
  </si>
  <si>
    <t xml:space="preserve">Impuesto de renta de IntegraMotion</t>
  </si>
  <si>
    <t xml:space="preserve">Régimen ordinario de personas jurídicas.</t>
  </si>
  <si>
    <t xml:space="preserve">Aportes a seguridad social de un independiente</t>
  </si>
  <si>
    <t xml:space="preserve">% del honorario</t>
  </si>
  <si>
    <t xml:space="preserve">Sobre el 40 % del honorario: salud 12,5 %, pensión 16 % y ARL 0,522 %.</t>
  </si>
  <si>
    <t xml:space="preserve">Costo de un viaje Bogotá–Ubaté</t>
  </si>
  <si>
    <t xml:space="preserve">$ M/viaje</t>
  </si>
  <si>
    <t xml:space="preserve">Transporte y viáticos del día.</t>
  </si>
  <si>
    <t xml:space="preserve">Socios</t>
  </si>
  <si>
    <t xml:space="preserve">Los seis integrantes del Equipo 5, con acciones iguales. El director también es socio: recibe salario por su contrato laboral y dividendo como los demás. Los otros cinco cobran honorarios por entregables.</t>
  </si>
  <si>
    <t xml:space="preserve">Costo de cada hora para IntegraMotion</t>
  </si>
  <si>
    <t xml:space="preserve">Rol</t>
  </si>
  <si>
    <t xml:space="preserve">Vínculo</t>
  </si>
  <si>
    <t xml:space="preserve">Base ($ M/mes)</t>
  </si>
  <si>
    <t xml:space="preserve">Costo ($ M/mes)</t>
  </si>
  <si>
    <t xml:space="preserve">Costo por hora ($)</t>
  </si>
  <si>
    <t xml:space="preserve">Director de proyecto</t>
  </si>
  <si>
    <t xml:space="preserve">Contrato laboral</t>
  </si>
  <si>
    <t xml:space="preserve">Ingeniero de procesos y producción</t>
  </si>
  <si>
    <t xml:space="preserve">Honorarios</t>
  </si>
  <si>
    <t xml:space="preserve">Ingeniero de automatización y control (2)</t>
  </si>
  <si>
    <t xml:space="preserve">Ingeniero de robótica y simulación</t>
  </si>
  <si>
    <t xml:space="preserve">Ingeniero de gestión y finanzas</t>
  </si>
  <si>
    <t xml:space="preserve">Los cinco socios con honorarios tienen contrato de prestación de servicios: sin horario ni subordinación, se les paga por entregables del EDT del proyecto (valor = horas estimadas × tarifa) y pagan su propia seguridad social como independientes. El director, como empleado, la recibe en el factor prestacional.</t>
  </si>
  <si>
    <t xml:space="preserve">Contrato 1: ingeniería e integración de las etapas 0 y 1 (4 meses, año 0)</t>
  </si>
  <si>
    <t xml:space="preserve">Personas</t>
  </si>
  <si>
    <t xml:space="preserve">Dedicación</t>
  </si>
  <si>
    <t xml:space="preserve">Meses</t>
  </si>
  <si>
    <t xml:space="preserve">Horas</t>
  </si>
  <si>
    <t xml:space="preserve">Costo ($ M)</t>
  </si>
  <si>
    <t xml:space="preserve">Horas del equipo</t>
  </si>
  <si>
    <t xml:space="preserve">Personal ($ M)</t>
  </si>
  <si>
    <t xml:space="preserve">Viajes a planta</t>
  </si>
  <si>
    <t xml:space="preserve">Licencias de desarrollo, equipos e instrumentos de medición</t>
  </si>
  <si>
    <t xml:space="preserve">Costo directo</t>
  </si>
  <si>
    <t xml:space="preserve">Administración</t>
  </si>
  <si>
    <t xml:space="preserve">Imprevistos</t>
  </si>
  <si>
    <t xml:space="preserve">Utilidad</t>
  </si>
  <si>
    <t xml:space="preserve">Precio sin IVA</t>
  </si>
  <si>
    <t xml:space="preserve">IVA</t>
  </si>
  <si>
    <t xml:space="preserve">Precio con IVA</t>
  </si>
  <si>
    <t xml:space="preserve">16 viajes a planta.</t>
  </si>
  <si>
    <t xml:space="preserve">Contrato 2: integración de la etapa 2 (2 meses, año 1)</t>
  </si>
  <si>
    <t xml:space="preserve">8 viajes a planta.</t>
  </si>
  <si>
    <t xml:space="preserve">Estado de resultados de IntegraMotion por el proyecto ($ M)</t>
  </si>
  <si>
    <t xml:space="preserve">Contrato 1</t>
  </si>
  <si>
    <t xml:space="preserve">Contrato 2</t>
  </si>
  <si>
    <t xml:space="preserve">Ingresos (precio sin IVA)</t>
  </si>
  <si>
    <t xml:space="preserve">− Honorarios de los socios</t>
  </si>
  <si>
    <t xml:space="preserve">− Salario del director, costo empresa</t>
  </si>
  <si>
    <t xml:space="preserve">− Viajes</t>
  </si>
  <si>
    <t xml:space="preserve">− Licencias, equipos e instrumentos</t>
  </si>
  <si>
    <t xml:space="preserve">− Administración</t>
  </si>
  <si>
    <t xml:space="preserve">− Imprevistos (se gastan)</t>
  </si>
  <si>
    <t xml:space="preserve">− Impuesto de renta</t>
  </si>
  <si>
    <t xml:space="preserve">Utilidad neta = dividendos</t>
  </si>
  <si>
    <t xml:space="preserve">Dividendo por socio</t>
  </si>
  <si>
    <t xml:space="preserve">El IVA no es ingreso: se cobra al cliente y se paga a la DIAN. El cliente retiene en la fuente sobre los pagos; es un anticipo del impuesto de renta de IntegraMotion.</t>
  </si>
  <si>
    <t xml:space="preserve">Lo que recibe cada socio por el proyecto ($ M)</t>
  </si>
  <si>
    <t xml:space="preserve">Socio</t>
  </si>
  <si>
    <t xml:space="preserve">Sueldo u honorarios</t>
  </si>
  <si>
    <t xml:space="preserve">Aportes propios</t>
  </si>
  <si>
    <t xml:space="preserve">Dividendo</t>
  </si>
  <si>
    <t xml:space="preserve">Total neto</t>
  </si>
  <si>
    <t xml:space="preserve">Ingeniero de automatización y control (2) — cada uno</t>
  </si>
  <si>
    <t xml:space="preserve">Director: sueldo con prestaciones, que la empresa paga aparte. Socios con honorarios: pagan su seguridad social sobre el 40 % del honorario. Dividendos por debajo de 1.090 UVT al año: sin retención en la fuente (art. 242 ET).</t>
  </si>
  <si>
    <t xml:space="preserve">Pagos de Lácteos Fúquene a IntegraMotion</t>
  </si>
  <si>
    <t xml:space="preserve">Hito</t>
  </si>
  <si>
    <t xml:space="preserve">% del contrato</t>
  </si>
  <si>
    <t xml:space="preserve">Sin IVA ($ M)</t>
  </si>
  <si>
    <t xml:space="preserve">Con IVA ($ M)</t>
  </si>
  <si>
    <t xml:space="preserve">Cuándo</t>
  </si>
  <si>
    <t xml:space="preserve">Contrato 1: anticipo a la firma</t>
  </si>
  <si>
    <t xml:space="preserve">Año 0, mes 1</t>
  </si>
  <si>
    <t xml:space="preserve">Contrato 1: aprobación de la ingeniería de la etapa 1</t>
  </si>
  <si>
    <t xml:space="preserve">Año 0, mes 3</t>
  </si>
  <si>
    <t xml:space="preserve">Contrato 1: compuerta de la etapa 1 superada</t>
  </si>
  <si>
    <t xml:space="preserve">Año 0, fin</t>
  </si>
  <si>
    <t xml:space="preserve">Contrato 2: inicio de la integración</t>
  </si>
  <si>
    <t xml:space="preserve">Contrato 2: aceptación en sitio de la hiladora</t>
  </si>
  <si>
    <t xml:space="preserve">Cómo se fijó el precio</t>
  </si>
  <si>
    <t xml:space="preserve">• Horas del equipo por tarifa: honorarios de referencia de la Sociedad Colombiana de Ingenieros para ingenieros con 0 a 2 años de experiencia, más viajes y licencias, más AIU.</t>
  </si>
  <si>
    <t xml:space="preserve">• Los programas del PLC, las pantallas del SCADA y la documentación se entregan al cliente; las licencias de producción quedan a su nombre.</t>
  </si>
  <si>
    <t xml:space="preserve">• Los precios están en pesos de 2026. Cada contrato se reajusta con el incremento del salario mínimo del año en que se ejecuta (2027 y 2028): así IntegraMotion no pierde valor si el mínimo sube más que la inflación.</t>
  </si>
  <si>
    <t xml:space="preserve">Gastos de funcionamiento de IntegraMotion durante el proyecto</t>
  </si>
  <si>
    <t xml:space="preserve">Lo que cuesta que la empresa funcione mientras dura el proyecto, sin contar con otros clientes. Precios de 2026; las cifras en azul son supuestos o referencias publicadas.</t>
  </si>
  <si>
    <t xml:space="preserve">Gasto</t>
  </si>
  <si>
    <t xml:space="preserve">Oficina virtual en Bogotá: domicilio comercial, correspondencia y salas de reunión por uso</t>
  </si>
  <si>
    <t xml:space="preserve">Encuentra24, Regus 94 Trece (Calle 94A n.° 13-72), oct-2026: $295.000/mes.</t>
  </si>
  <si>
    <t xml:space="preserve">Un puesto de coworking para el director (incluye energía, internet, aseo y recepción)</t>
  </si>
  <si>
    <t xml:space="preserve">Office Hub, Regus Chapinero (Calle 65A n.° 7-18): $1.364.823/mes. El resto del equipo trabaja en la planta o de forma remota.</t>
  </si>
  <si>
    <t xml:space="preserve">Contador (contabilidad, nómina de una persona, IVA, retenciones y renta)</t>
  </si>
  <si>
    <t xml:space="preserve">Cuánto Me Cuesta (2026): $0,8–1,5 M al mes para una pyme.</t>
  </si>
  <si>
    <t xml:space="preserve">Software contable y facturación electrónica</t>
  </si>
  <si>
    <t xml:space="preserve">Siigo Nube Emprendedor, $191.327/mes (Alegra, jul-2026). Las licencias de ingeniería van en el costo directo de cada contrato.</t>
  </si>
  <si>
    <t xml:space="preserve">Microsoft 365 Business Standard (6 usuarios)</t>
  </si>
  <si>
    <t xml:space="preserve">US$14 por usuario al mes desde jul-2026 (Bestructured, 2026).</t>
  </si>
  <si>
    <t xml:space="preserve">Planes de datos móviles (6 líneas)</t>
  </si>
  <si>
    <t xml:space="preserve">Claro pospago 60 GB, $44.900/mes (Enter.co, mar-2025).</t>
  </si>
  <si>
    <t xml:space="preserve">Portátiles de ingeniería (6 × $4,5 M, depreciados en 5 años)</t>
  </si>
  <si>
    <t xml:space="preserve">Supuesto; el equipo de cómputo se deprecia en 5 años.</t>
  </si>
  <si>
    <t xml:space="preserve">Pólizas de responsabilidad civil profesional y de cumplimiento</t>
  </si>
  <si>
    <t xml:space="preserve">Supuesto: unos $3 M al año.</t>
  </si>
  <si>
    <t xml:space="preserve">Asesoría del SG-SST (hasta 10 trabajadores)</t>
  </si>
  <si>
    <t xml:space="preserve">Supuesto; Resolución 0312 de 2019.</t>
  </si>
  <si>
    <t xml:space="preserve">Gastos bancarios, transporte local y papelería</t>
  </si>
  <si>
    <t xml:space="preserve">Supuesto.</t>
  </si>
  <si>
    <t xml:space="preserve">Gastos fijos al mes</t>
  </si>
  <si>
    <t xml:space="preserve">Dedicación contratada del director durante el proyecto</t>
  </si>
  <si>
    <t xml:space="preserve">Contrato laboral por obra o labor, a medio tiempo, por los 6 meses del proyecto.</t>
  </si>
  <si>
    <t xml:space="preserve">Lo que debe cubrir la administración del AIU</t>
  </si>
  <si>
    <t xml:space="preserve">Gastos fijos de los 6 meses</t>
  </si>
  <si>
    <t xml:space="preserve">Tiempo contratado del director que no se factura a la quesería</t>
  </si>
  <si>
    <t xml:space="preserve">Impuesto de industria y comercio (9,66 por mil de los ingresos)</t>
  </si>
  <si>
    <t xml:space="preserve">Administración cobrada en los dos contratos</t>
  </si>
  <si>
    <t xml:space="preserve">Holgura</t>
  </si>
  <si>
    <t xml:space="preserve">Utilidad antes de impuestos con estos gastos reales</t>
  </si>
  <si>
    <t xml:space="preserve">La administración del 30 % deja a IntegraMotion cubierta aunque la quesería sea su único contrato. Con ella, el mes facturado de un ingeniero queda cerca de 2,5 veces un salario de mercado, dentro del factor multiplicador de 2,4 a 2,8 de las consultoras colombianas.</t>
  </si>
  <si>
    <t xml:space="preserve">Entregables de cada rol y pago por hito</t>
  </si>
  <si>
    <t xml:space="preserve">Los cinco socios tienen contratos de prestación de servicios por productos; el director, contrato laboral. El valor de cada contrato son las horas estimadas por la tarifa, y se paga en los mismos hitos en que Lácteos Fúquene le paga a IntegraMotion.</t>
  </si>
  <si>
    <t xml:space="preserve">Contrato 1 (etapas 0 y 1)</t>
  </si>
  <si>
    <t xml:space="preserve">Entregables</t>
  </si>
  <si>
    <t xml:space="preserve">Valor ($ M)</t>
  </si>
  <si>
    <t xml:space="preserve">Firma (30%)</t>
  </si>
  <si>
    <t xml:space="preserve">Ingeniería aprobada (40%)</t>
  </si>
  <si>
    <t xml:space="preserve">Compuerta de la etapa 1 (30%)</t>
  </si>
  <si>
    <t xml:space="preserve">Plan del proyecto, control de alcance, costo y tiempo, compuertas de las etapas 0 y 1, informe de cierre (paquetes 1.1–1.3).</t>
  </si>
  <si>
    <t xml:space="preserve">Diagnóstico y línea base de la etapa 0, recetas e ingeniería de las tinas, balance diario, medidas organizacionales (2.1–2.4).</t>
  </si>
  <si>
    <t xml:space="preserve">Prestación de servicios</t>
  </si>
  <si>
    <t xml:space="preserve">Instrumentación de las tres tinas y del medidor de grasa, lógica del PLC por fases ISA-88, SCADA, historiador y MES ligero, interfaz con el ERP (3.1–3.3, 5.1–5.3).</t>
  </si>
  <si>
    <t xml:space="preserve">Modelo de simulación de la quesería y validación de capacidad y ciclo (4.1).</t>
  </si>
  <si>
    <t xml:space="preserve">Modelo financiero y oferta; financiación con prenda sobre los equipos ante el banco; postulación del proyecto de innovación ante Minciencias para el crédito fiscal (art. 256-1); seguimiento de costos e indicadores (6.1–6.2).</t>
  </si>
  <si>
    <t xml:space="preserve">Contrato 2 (etapa 2)</t>
  </si>
  <si>
    <t xml:space="preserve">Inicio (50%)</t>
  </si>
  <si>
    <t xml:space="preserve">Aceptación de la hiladora (50%)</t>
  </si>
  <si>
    <t xml:space="preserve">Compra de la hiladora, CIP y equipos del suero; pruebas de aceptación en fábrica y en sitio; cierre.</t>
  </si>
  <si>
    <t xml:space="preserve">Recetas de la hiladora y del CIP, procedimientos y formación del personal.</t>
  </si>
  <si>
    <t xml:space="preserve">Integración de la hiladora, el CIP y el suero al PLC y al SCADA.</t>
  </si>
  <si>
    <t xml:space="preserve">Actualización del modelo de simulación con la hiladora.</t>
  </si>
  <si>
    <t xml:space="preserve">Certificación de la inversión en innovación ante el CNBT, verificación de beneficios contra la línea base y cierre económico.</t>
  </si>
  <si>
    <t xml:space="preserve">Plan de negocio de IntegraMotion: un año tipo</t>
  </si>
  <si>
    <t xml:space="preserve">La quesería se cotiza como un contrato típico de la empresa. El plan supone varios contratos de este tamaño al año; el punto de equilibrio dice cuánta ocupación necesita la empresa para no perder.</t>
  </si>
  <si>
    <t xml:space="preserve">Cómo se calcula</t>
  </si>
  <si>
    <t xml:space="preserve">Ocupación facturada del equipo</t>
  </si>
  <si>
    <t xml:space="preserve">% de la capacidad</t>
  </si>
  <si>
    <t xml:space="preserve">Supuesto del plan: el resto es tiempo comercial, formación y propuestas.</t>
  </si>
  <si>
    <t xml:space="preserve">Capacidad del equipo</t>
  </si>
  <si>
    <t xml:space="preserve">h/año</t>
  </si>
  <si>
    <t xml:space="preserve">6 personas × 182 h de referencia × 12 meses.</t>
  </si>
  <si>
    <t xml:space="preserve">Horas facturadas</t>
  </si>
  <si>
    <t xml:space="preserve">Contratos del tamaño de la quesería al año</t>
  </si>
  <si>
    <t xml:space="preserve">contratos</t>
  </si>
  <si>
    <t xml:space="preserve">Horas facturadas ÷ 2.730 h de los dos contratos de la quesería.</t>
  </si>
  <si>
    <t xml:space="preserve">Precio promedio por hora, sin IVA</t>
  </si>
  <si>
    <t xml:space="preserve">El de los contratos de la quesería.</t>
  </si>
  <si>
    <t xml:space="preserve">Costo directo promedio por hora</t>
  </si>
  <si>
    <t xml:space="preserve">Honorarios, horas facturadas del director, viajes y licencias.</t>
  </si>
  <si>
    <t xml:space="preserve">Estado de resultados del año ($ M)</t>
  </si>
  <si>
    <t xml:space="preserve">Ingresos sin IVA</t>
  </si>
  <si>
    <t xml:space="preserve">Horas facturadas × precio por hora.</t>
  </si>
  <si>
    <t xml:space="preserve">− Costo directo</t>
  </si>
  <si>
    <t xml:space="preserve">− Imprevistos que se gastan</t>
  </si>
  <si>
    <t xml:space="preserve">− Gastos fijos de funcionamiento</t>
  </si>
  <si>
    <t xml:space="preserve">Tabla de gastos de arriba, 12 meses.</t>
  </si>
  <si>
    <t xml:space="preserve">− Director a tiempo completo: tiempo no facturado</t>
  </si>
  <si>
    <t xml:space="preserve">Con varios contratos, el director es empleado de tiempo completo; su tiempo facturado ya va en el costo directo.</t>
  </si>
  <si>
    <t xml:space="preserve">− Impuesto de industria y comercio (9,66 por mil)</t>
  </si>
  <si>
    <t xml:space="preserve">− Impuesto de renta (35 %)</t>
  </si>
  <si>
    <t xml:space="preserve">Utilidad neta del año = dividendos</t>
  </si>
  <si>
    <t xml:space="preserve">Dividendo por socio al año</t>
  </si>
  <si>
    <t xml:space="preserve">Honorarios de un socio al año (a la ocupación del plan)</t>
  </si>
  <si>
    <t xml:space="preserve">Honorario de referencia × 12 × ocupación: al socio se le paga lo que entrega.</t>
  </si>
  <si>
    <t xml:space="preserve">Ocupación de equilibrio (utilidad cero)</t>
  </si>
  <si>
    <t xml:space="preserve">Por debajo de esta ocupación la empresa pierde plata.</t>
  </si>
  <si>
    <t xml:space="preserve">IntegraMotion es una empresa nueva: este es su plan, no su historia. Con la quesería sola cubre sus gastos de los 6 meses (sección de arriba); para crecer necesita la ocupación del plan, que es tarea del área comercial.</t>
  </si>
  <si>
    <t xml:space="preserve">Precio en pesos del año en que se ejecuta cada contrato</t>
  </si>
  <si>
    <t xml:space="preserve">2026 (base)</t>
  </si>
  <si>
    <t xml:space="preserve">2027</t>
  </si>
  <si>
    <t xml:space="preserve">2028</t>
  </si>
  <si>
    <t xml:space="preserve">Salario mínimo mensual ($ M)</t>
  </si>
  <si>
    <t xml:space="preserve">2027: incremento de la hoja Entorno. 2028: inflación de la ruta base más el aumento real.</t>
  </si>
  <si>
    <t xml:space="preserve">Honorario de referencia de un socio ($ M/mes)</t>
  </si>
  <si>
    <t xml:space="preserve">3,6 salarios mínimos del año.</t>
  </si>
  <si>
    <t xml:space="preserve">Precio promedio de una hora facturada, sin IVA ($)</t>
  </si>
  <si>
    <t xml:space="preserve">Sube con el salario mínimo: el costo de la hora son honorarios.</t>
  </si>
  <si>
    <t xml:space="preserve">Contrato 1, sin IVA ($ M)</t>
  </si>
  <si>
    <t xml:space="preserve">Se firma a comienzos de 2027, con el salario mínimo decretado el 30 de diciembre de 2026.</t>
  </si>
  <si>
    <t xml:space="preserve">Contrato 2, sin IVA ($ M)</t>
  </si>
  <si>
    <t xml:space="preserve">Se firma después de la segunda compuerta, con el salario mínimo de 2028.</t>
  </si>
  <si>
    <t xml:space="preserve">Valor de cada contrato en el año en que se ejecuta ($ M corrientes)</t>
  </si>
  <si>
    <t xml:space="preserve">La oferta se presenta en pesos de 2026 con una cláusula de reajuste: cada contrato se liquida con el salario mínimo del año en que se firma. Así IntegraMotion no pierde valor si el mínimo sube más que la inflación, y Lácteos Fúquene sabe desde hoy cómo se calcula su precio. Los gastos de funcionamiento se cubren con la administración del AIU, que es un porcentaje del costo directo y sube con él. En el modelo de la quesería los contratos entran en pesos constantes de 2026: el precio corriente dividido por la inflación de cada año.</t>
  </si>
  <si>
    <t xml:space="preserve">Análisis de precios unitarios (APU) de la ingeniería de IntegraMotion</t>
  </si>
  <si>
    <t xml:space="preserve">Cada hora de ingeniería se costea por componentes (mano de obra, licencias y herramientas, transporte). El presupuesto multiplica horas por precio unitario y suma el AIU. Debe dar lo mismo que la hoja IntegraMotion.</t>
  </si>
  <si>
    <t xml:space="preserve">Contrato 1: ingeniería e integración de las etapas 0 y 1</t>
  </si>
  <si>
    <t xml:space="preserve">APU por hora de ingeniería (pesos por hora)</t>
  </si>
  <si>
    <t xml:space="preserve">Mano de obra</t>
  </si>
  <si>
    <t xml:space="preserve">Licencias y herramientas</t>
  </si>
  <si>
    <t xml:space="preserve">Transporte a planta</t>
  </si>
  <si>
    <t xml:space="preserve">Costo directo unitario</t>
  </si>
  <si>
    <t xml:space="preserve">hora</t>
  </si>
  <si>
    <t xml:space="preserve">Mano de obra: salario o honorario mensual ÷ 182 horas de referencia (director con factor prestacional 1,38). Las horas son la unidad para estimar; a los socios se les paga por entregables. Licencias y transporte: total del contrato ÷ horas del equipo.</t>
  </si>
  <si>
    <t xml:space="preserve">Presupuesto del contrato ($ M)</t>
  </si>
  <si>
    <t xml:space="preserve">Ítem</t>
  </si>
  <si>
    <t xml:space="preserve">Cantidad</t>
  </si>
  <si>
    <t xml:space="preserve">Valor unitario ($)</t>
  </si>
  <si>
    <t xml:space="preserve">Valor total ($ M)</t>
  </si>
  <si>
    <t xml:space="preserve">h</t>
  </si>
  <si>
    <t xml:space="preserve">Valor sin IVA</t>
  </si>
  <si>
    <t xml:space="preserve">Valor con IVA</t>
  </si>
  <si>
    <t xml:space="preserve">Comprobación: diferencia con la hoja IntegraMotion ($ M)</t>
  </si>
  <si>
    <t xml:space="preserve">Contrato 2: integración de la etapa 2</t>
  </si>
  <si>
    <t xml:space="preserve">Los socios con honorarios pagan su propia seguridad social; por eso su mano de obra es el honorario por hora. El AIU se aplica sobre el costo directo, como en el resto del modelo.</t>
  </si>
  <si>
    <t xml:space="preserve">Chequeos del modelo</t>
  </si>
  <si>
    <t xml:space="preserve">Cada chequeo calcula una diferencia que debe ser cero. Si alguno dice Revisar, hay un error de fórmula o de enlace.</t>
  </si>
  <si>
    <t xml:space="preserve">Chequeo</t>
  </si>
  <si>
    <t xml:space="preserve">Diferencia</t>
  </si>
  <si>
    <t xml:space="preserve">Qué compara</t>
  </si>
  <si>
    <t xml:space="preserve">Empresa: descuentos de renta que superan el impuesto de algún año (capacidad tributaria)</t>
  </si>
  <si>
    <t xml:space="preserve">La empresa paga suficiente renta cada año para usar los descuentos y el crédito fiscal.</t>
  </si>
  <si>
    <t xml:space="preserve">Inversión: suma de los componentes − (año 0 + año 1)</t>
  </si>
  <si>
    <t xml:space="preserve">Tabla de inversión de la hoja Quesería.</t>
  </si>
  <si>
    <t xml:space="preserve">Beneficios: suma de la tabla − (etapas 0 y 1 + etapa 2)</t>
  </si>
  <si>
    <t xml:space="preserve">Tabla de beneficios de la hoja Quesería.</t>
  </si>
  <si>
    <t xml:space="preserve">Beneficios: hoja Quesería − hoja Beneficios y costos (valor planta)</t>
  </si>
  <si>
    <t xml:space="preserve">Que cada beneficio venga de su cálculo.</t>
  </si>
  <si>
    <t xml:space="preserve">Flujo de caja libre: suma de los años − suma de sus componentes</t>
  </si>
  <si>
    <t xml:space="preserve">Que el flujo sume todos sus rubros con el signo correcto.</t>
  </si>
  <si>
    <t xml:space="preserve">Crédito: saldo al final del año 8</t>
  </si>
  <si>
    <t xml:space="preserve">El crédito queda pagado.</t>
  </si>
  <si>
    <t xml:space="preserve">Crédito: abonos en pesos corrientes − desembolsos en pesos corrientes</t>
  </si>
  <si>
    <t xml:space="preserve">Se devuelve lo que se prestó.</t>
  </si>
  <si>
    <t xml:space="preserve">Escenarios: TIR de la columna Oferta − TIR de la hoja Quesería</t>
  </si>
  <si>
    <t xml:space="preserve">La hoja Escenarios reproduce la oferta.</t>
  </si>
  <si>
    <t xml:space="preserve">Escenarios: VPN de la columna Oferta − VPN de la hoja Quesería</t>
  </si>
  <si>
    <t xml:space="preserve">Escenarios: cobertura mínima de la columna Oferta − la de la hoja Quesería</t>
  </si>
  <si>
    <t xml:space="preserve">Depreciación fiscal: etapa 1 deducida en pesos corrientes − su costo</t>
  </si>
  <si>
    <t xml:space="preserve">Cada rubro se deduce completo según su vida fiscal; la reposición del año 6 deduce 4 de sus 5 años dentro del horizonte (escenario Solo etapas 0 y 1).</t>
  </si>
  <si>
    <t xml:space="preserve">Balance de masa de los quesos: entradas − salidas</t>
  </si>
  <si>
    <t xml:space="preserve">Leche, crema y agua que entran = queso, crema y suero que salen.</t>
  </si>
  <si>
    <t xml:space="preserve">Leche: recepción − leche repartida en las nueve referencias</t>
  </si>
  <si>
    <t xml:space="preserve">La estandarización usa toda la leche de la planta.</t>
  </si>
  <si>
    <t xml:space="preserve">Leche: quesería − (campesino + doble crema + mozzarella)</t>
  </si>
  <si>
    <t xml:space="preserve">Costos nuevos: total − suma de energía, vapor y calibración</t>
  </si>
  <si>
    <t xml:space="preserve">Tabla de costos de la hoja Beneficios y costos.</t>
  </si>
  <si>
    <t xml:space="preserve">Empresa: utilidad neta de 2026 calculada − la del caso</t>
  </si>
  <si>
    <t xml:space="preserve">El estado de resultados del caso cuadra con la tarifa de renta.</t>
  </si>
  <si>
    <t xml:space="preserve">Empresa: EBITDA del proyecto − (beneficios − costos − traslape) del flujo</t>
  </si>
  <si>
    <t xml:space="preserve">El estado de resultados de la empresa toma lo mismo que el flujo del proyecto.</t>
  </si>
  <si>
    <t xml:space="preserve">Cotizaciones: valor del modelo − valor de la tabla de inversión (8 equipos)</t>
  </si>
  <si>
    <t xml:space="preserve">Que la inversión use los precios de la hoja Cotizaciones.</t>
  </si>
  <si>
    <t xml:space="preserve">APU: presupuesto del contrato 1 − precio de la hoja IntegraMotion</t>
  </si>
  <si>
    <t xml:space="preserve">El APU reproduce el precio de cada contrato.</t>
  </si>
  <si>
    <t xml:space="preserve">APU: presupuesto del contrato 2 − precio de la hoja IntegraMotion</t>
  </si>
  <si>
    <t xml:space="preserve">Contrato 1: hoja Quesería − hoja IntegraMotion reajustada</t>
  </si>
  <si>
    <t xml:space="preserve">La inversión toma el precio sin IVA del contrato, completo aunque esté repartido en dos rubros.</t>
  </si>
  <si>
    <t xml:space="preserve">Contrato 2: hoja Quesería − hoja IntegraMotion reajustada</t>
  </si>
  <si>
    <t xml:space="preserve">Estado general del modelo</t>
  </si>
</sst>
</file>

<file path=xl/styles.xml><?xml version="1.0" encoding="utf-8"?>
<styleSheet xmlns="http://schemas.openxmlformats.org/spreadsheetml/2006/main">
  <numFmts count="19">
    <numFmt numFmtId="164" formatCode="General"/>
    <numFmt numFmtId="165" formatCode="0.0%;\(0.0%\);\-"/>
    <numFmt numFmtId="166" formatCode="#,##0;\(#,##0\);\-"/>
    <numFmt numFmtId="167" formatCode="0.0"/>
    <numFmt numFmtId="168" formatCode="0.00"/>
    <numFmt numFmtId="169" formatCode="0"/>
    <numFmt numFmtId="170" formatCode="#,##0.0;\(#,##0.0\);\-"/>
    <numFmt numFmtId="171" formatCode="0.00%;\(0.00%\);\-"/>
    <numFmt numFmtId="172" formatCode="0.000"/>
    <numFmt numFmtId="173" formatCode="0.0;\-0.0;\-"/>
    <numFmt numFmtId="174" formatCode="0%"/>
    <numFmt numFmtId="175" formatCode="\$#,##0"/>
    <numFmt numFmtId="176" formatCode="#,##0"/>
    <numFmt numFmtId="177" formatCode="#,##0.00"/>
    <numFmt numFmtId="178" formatCode="#,##0.000"/>
    <numFmt numFmtId="179" formatCode="#,##0.000;\(#,##0.000\);\-"/>
    <numFmt numFmtId="180" formatCode="\$#,##0;&quot;($&quot;#,##0\);\-"/>
    <numFmt numFmtId="181" formatCode="#,##0.0"/>
    <numFmt numFmtId="182" formatCode="0.000;\-0.000;0.000"/>
  </numFmts>
  <fonts count="15">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2"/>
      <color rgb="FF1F3864"/>
      <name val="Arial"/>
      <family val="0"/>
      <charset val="1"/>
    </font>
    <font>
      <b val="true"/>
      <sz val="11"/>
      <color rgb="FFFFFFFF"/>
      <name val="Arial"/>
      <family val="0"/>
      <charset val="1"/>
    </font>
    <font>
      <b val="true"/>
      <sz val="10"/>
      <name val="Arial"/>
      <family val="0"/>
      <charset val="1"/>
    </font>
    <font>
      <sz val="10"/>
      <name val="Arial"/>
      <family val="0"/>
      <charset val="1"/>
    </font>
    <font>
      <i val="true"/>
      <sz val="9"/>
      <color rgb="FF595959"/>
      <name val="Arial"/>
      <family val="0"/>
      <charset val="1"/>
    </font>
    <font>
      <u val="single"/>
      <sz val="10"/>
      <color rgb="FF0563C1"/>
      <name val="Arial"/>
      <family val="0"/>
      <charset val="1"/>
    </font>
    <font>
      <sz val="10"/>
      <color rgb="FF0000FF"/>
      <name val="Arial"/>
      <family val="0"/>
      <charset val="1"/>
    </font>
    <font>
      <b val="true"/>
      <sz val="14"/>
      <color rgb="FF1F3864"/>
      <name val="Arial"/>
      <family val="0"/>
      <charset val="1"/>
    </font>
    <font>
      <b val="true"/>
      <sz val="18"/>
      <color rgb="FF000000"/>
      <name val="Calibri"/>
      <family val="2"/>
    </font>
    <font>
      <sz val="10"/>
      <color rgb="FF000000"/>
      <name val="Calibri"/>
      <family val="2"/>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D9D9"/>
        <bgColor rgb="FFC0C0C0"/>
      </patternFill>
    </fill>
  </fills>
  <borders count="2">
    <border diagonalUp="false" diagonalDown="false">
      <left/>
      <right/>
      <top/>
      <bottom/>
      <diagonal/>
    </border>
    <border diagonalUp="false" diagonalDown="false">
      <left/>
      <right/>
      <top style="thin">
        <color rgb="FFA6A6A6"/>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left" vertical="center" textRotation="0" wrapText="true" indent="0" shrinkToFit="false"/>
      <protection locked="true" hidden="false"/>
    </xf>
    <xf numFmtId="164" fontId="7" fillId="4" borderId="0" xfId="0" applyFont="true" applyBorder="false" applyAlignment="true" applyProtection="false">
      <alignment horizontal="center" vertical="center" textRotation="0" wrapText="true" indent="0" shrinkToFit="false"/>
      <protection locked="true" hidden="false"/>
    </xf>
    <xf numFmtId="169" fontId="11" fillId="3"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0" fontId="7" fillId="3"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center"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4" fontId="7" fillId="3" borderId="0" xfId="0" applyFont="true" applyBorder="false" applyAlignment="false" applyProtection="false">
      <alignment horizontal="general" vertical="bottom" textRotation="0" wrapText="false" indent="0" shrinkToFit="false"/>
      <protection locked="true" hidden="false"/>
    </xf>
    <xf numFmtId="168" fontId="7" fillId="3"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7"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76"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8" fontId="8" fillId="0" borderId="0" xfId="0" applyFont="true" applyBorder="false" applyAlignment="true" applyProtection="false">
      <alignment horizontal="center" vertical="bottom" textRotation="0" wrapText="false" indent="0" shrinkToFit="false"/>
      <protection locked="true" hidden="false"/>
    </xf>
    <xf numFmtId="168" fontId="11"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71" fontId="8" fillId="0"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78" fontId="11" fillId="0" borderId="0" xfId="0" applyFont="true" applyBorder="false" applyAlignment="false" applyProtection="false">
      <alignment horizontal="general" vertical="bottom" textRotation="0" wrapText="false" indent="0" shrinkToFit="false"/>
      <protection locked="true" hidden="false"/>
    </xf>
    <xf numFmtId="179" fontId="11" fillId="0" borderId="0" xfId="0" applyFont="true" applyBorder="false" applyAlignment="false" applyProtection="false">
      <alignment horizontal="general" vertical="bottom" textRotation="0" wrapText="false" indent="0" shrinkToFit="false"/>
      <protection locked="true" hidden="false"/>
    </xf>
    <xf numFmtId="179" fontId="8" fillId="0" borderId="0" xfId="0" applyFont="true" applyBorder="false" applyAlignment="false" applyProtection="false">
      <alignment horizontal="general" vertical="bottom" textRotation="0" wrapText="false" indent="0" shrinkToFit="false"/>
      <protection locked="true" hidden="false"/>
    </xf>
    <xf numFmtId="179" fontId="7" fillId="0" borderId="0" xfId="0" applyFont="true" applyBorder="false" applyAlignment="false" applyProtection="false">
      <alignment horizontal="general" vertical="bottom" textRotation="0" wrapText="false" indent="0" shrinkToFit="false"/>
      <protection locked="true" hidden="false"/>
    </xf>
    <xf numFmtId="179" fontId="7" fillId="3" borderId="0" xfId="0" applyFont="true" applyBorder="false" applyAlignment="false" applyProtection="false">
      <alignment horizontal="general" vertical="bottom" textRotation="0" wrapText="false" indent="0" shrinkToFit="false"/>
      <protection locked="true" hidden="false"/>
    </xf>
    <xf numFmtId="180" fontId="8" fillId="0" borderId="0" xfId="0" applyFont="true" applyBorder="false" applyAlignment="false" applyProtection="false">
      <alignment horizontal="general" vertical="bottom" textRotation="0" wrapText="false" indent="0" shrinkToFit="false"/>
      <protection locked="true" hidden="false"/>
    </xf>
    <xf numFmtId="178" fontId="8" fillId="0" borderId="0" xfId="0" applyFont="true" applyBorder="false" applyAlignment="false" applyProtection="false">
      <alignment horizontal="general" vertical="bottom" textRotation="0" wrapText="false" indent="0" shrinkToFit="false"/>
      <protection locked="true" hidden="false"/>
    </xf>
    <xf numFmtId="177"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80" fontId="7" fillId="0" borderId="0" xfId="0" applyFont="true" applyBorder="false" applyAlignment="false" applyProtection="false">
      <alignment horizontal="general" vertical="bottom" textRotation="0" wrapText="false" indent="0" shrinkToFit="false"/>
      <protection locked="true" hidden="false"/>
    </xf>
    <xf numFmtId="181" fontId="8" fillId="0" borderId="0" xfId="0" applyFont="true" applyBorder="false" applyAlignment="false" applyProtection="false">
      <alignment horizontal="general" vertical="bottom" textRotation="0" wrapText="false" indent="0" shrinkToFit="false"/>
      <protection locked="true" hidden="false"/>
    </xf>
    <xf numFmtId="182"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Cambio del VPN frente a la oferta ($ M)</a:t>
            </a:r>
          </a:p>
        </c:rich>
      </c:tx>
      <c:overlay val="0"/>
      <c:spPr>
        <a:noFill/>
        <a:ln w="0">
          <a:noFill/>
        </a:ln>
      </c:spPr>
    </c:title>
    <c:autoTitleDeleted val="0"/>
    <c:plotArea>
      <c:barChart>
        <c:barDir val="bar"/>
        <c:grouping val="clustered"/>
        <c:varyColors val="0"/>
        <c:ser>
          <c:idx val="0"/>
          <c:order val="0"/>
          <c:tx>
            <c:strRef>
              <c:f>Riesgo!D12</c:f>
              <c:strCache>
                <c:ptCount val="1"/>
                <c:pt idx="0">
                  <c:v>Cambio desfavorable</c:v>
                </c:pt>
              </c:strCache>
            </c:strRef>
          </c:tx>
          <c:spPr>
            <a:solidFill>
              <a:srgbClr val="c00000"/>
            </a:solidFill>
            <a:ln w="0">
              <a:solidFill>
                <a:srgbClr val="c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Riesgo!$A$13:$A$20</c:f>
              <c:strCache>
                <c:ptCount val="8"/>
                <c:pt idx="0">
                  <c:v>Beneficios</c:v>
                </c:pt>
                <c:pt idx="1">
                  <c:v>Relevo natural</c:v>
                </c:pt>
                <c:pt idx="2">
                  <c:v>Inversión</c:v>
                </c:pt>
                <c:pt idx="3">
                  <c:v>Costos operativos nuevos</c:v>
                </c:pt>
                <c:pt idx="4">
                  <c:v>Supuestos del escenario conservador</c:v>
                </c:pt>
                <c:pt idx="5">
                  <c:v>Inflación</c:v>
                </c:pt>
                <c:pt idx="6">
                  <c:v>Salario mínimo de 2027</c:v>
                </c:pt>
                <c:pt idx="7">
                  <c:v>Gestiones de IntegraMotion (prenda y crédito fiscal)</c:v>
                </c:pt>
              </c:strCache>
            </c:strRef>
          </c:cat>
          <c:val>
            <c:numRef>
              <c:f>Riesgo!$D$13:$D$20</c:f>
              <c:numCache>
                <c:formatCode>#,##0;\(#,##0\);\-</c:formatCode>
                <c:ptCount val="8"/>
                <c:pt idx="0">
                  <c:v>-311.471891664345</c:v>
                </c:pt>
                <c:pt idx="1">
                  <c:v>-269.483605983951</c:v>
                </c:pt>
                <c:pt idx="2">
                  <c:v>-190.025574330505</c:v>
                </c:pt>
                <c:pt idx="3">
                  <c:v>-100.184028341066</c:v>
                </c:pt>
                <c:pt idx="4">
                  <c:v>-764.021974948574</c:v>
                </c:pt>
                <c:pt idx="5">
                  <c:v>-8.05502224782583</c:v>
                </c:pt>
                <c:pt idx="6">
                  <c:v>-4.83127156693297</c:v>
                </c:pt>
                <c:pt idx="7">
                  <c:v>-217.155465710502</c:v>
                </c:pt>
              </c:numCache>
            </c:numRef>
          </c:val>
        </c:ser>
        <c:ser>
          <c:idx val="1"/>
          <c:order val="1"/>
          <c:tx>
            <c:strRef>
              <c:f>Riesgo!E12</c:f>
              <c:strCache>
                <c:ptCount val="1"/>
                <c:pt idx="0">
                  <c:v>Cambio favorable</c:v>
                </c:pt>
              </c:strCache>
            </c:strRef>
          </c:tx>
          <c:spPr>
            <a:solidFill>
              <a:srgbClr val="2e75b6"/>
            </a:solidFill>
            <a:ln w="0">
              <a:solidFill>
                <a:srgbClr val="2e75b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Riesgo!$A$13:$A$20</c:f>
              <c:strCache>
                <c:ptCount val="8"/>
                <c:pt idx="0">
                  <c:v>Beneficios</c:v>
                </c:pt>
                <c:pt idx="1">
                  <c:v>Relevo natural</c:v>
                </c:pt>
                <c:pt idx="2">
                  <c:v>Inversión</c:v>
                </c:pt>
                <c:pt idx="3">
                  <c:v>Costos operativos nuevos</c:v>
                </c:pt>
                <c:pt idx="4">
                  <c:v>Supuestos del escenario conservador</c:v>
                </c:pt>
                <c:pt idx="5">
                  <c:v>Inflación</c:v>
                </c:pt>
                <c:pt idx="6">
                  <c:v>Salario mínimo de 2027</c:v>
                </c:pt>
                <c:pt idx="7">
                  <c:v>Gestiones de IntegraMotion (prenda y crédito fiscal)</c:v>
                </c:pt>
              </c:strCache>
            </c:strRef>
          </c:cat>
          <c:val>
            <c:numRef>
              <c:f>Riesgo!$E$13:$E$20</c:f>
              <c:numCache>
                <c:formatCode>#,##0;\(#,##0\);\-</c:formatCode>
                <c:ptCount val="8"/>
                <c:pt idx="0">
                  <c:v>311.471891664344</c:v>
                </c:pt>
                <c:pt idx="1">
                  <c:v>0</c:v>
                </c:pt>
                <c:pt idx="2">
                  <c:v>190.025574330505</c:v>
                </c:pt>
                <c:pt idx="3">
                  <c:v>100.184028341066</c:v>
                </c:pt>
                <c:pt idx="4">
                  <c:v>0</c:v>
                </c:pt>
                <c:pt idx="5">
                  <c:v>24.2513193036924</c:v>
                </c:pt>
                <c:pt idx="6">
                  <c:v>4.83127156693303</c:v>
                </c:pt>
                <c:pt idx="7">
                  <c:v>0</c:v>
                </c:pt>
              </c:numCache>
            </c:numRef>
          </c:val>
        </c:ser>
        <c:gapWidth val="150"/>
        <c:overlap val="100"/>
        <c:axId val="12780526"/>
        <c:axId val="59290119"/>
      </c:barChart>
      <c:catAx>
        <c:axId val="12780526"/>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9290119"/>
        <c:crosses val="autoZero"/>
        <c:auto val="1"/>
        <c:lblAlgn val="ctr"/>
        <c:lblOffset val="100"/>
        <c:noMultiLvlLbl val="0"/>
      </c:catAx>
      <c:valAx>
        <c:axId val="5929011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78052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174600</xdr:rowOff>
    </xdr:from>
    <xdr:to>
      <xdr:col>4</xdr:col>
      <xdr:colOff>276840</xdr:colOff>
      <xdr:row>36</xdr:row>
      <xdr:rowOff>6480</xdr:rowOff>
    </xdr:to>
    <xdr:graphicFrame>
      <xdr:nvGraphicFramePr>
        <xdr:cNvPr id="0" name="Chart 1"/>
        <xdr:cNvGraphicFramePr/>
      </xdr:nvGraphicFramePr>
      <xdr:xfrm>
        <a:off x="0" y="438156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odelo_financiero_queseria_v2.xlsx" TargetMode="External"/><Relationship Id="rId2" Type="http://schemas.openxmlformats.org/officeDocument/2006/relationships/hyperlink" Target="Modelo_financiero_queseria_v2.xlsx" TargetMode="External"/><Relationship Id="rId3" Type="http://schemas.openxmlformats.org/officeDocument/2006/relationships/hyperlink" Target="Modelo_financiero_queseria_v2.xlsx" TargetMode="External"/><Relationship Id="rId4" Type="http://schemas.openxmlformats.org/officeDocument/2006/relationships/hyperlink" Target="Modelo_financiero_queseria_v2.xlsx" TargetMode="External"/><Relationship Id="rId5" Type="http://schemas.openxmlformats.org/officeDocument/2006/relationships/hyperlink" Target="Modelo_financiero_queseria_v2.xlsx" TargetMode="External"/><Relationship Id="rId6" Type="http://schemas.openxmlformats.org/officeDocument/2006/relationships/hyperlink" Target="Modelo_financiero_queseria_v2.xlsx" TargetMode="External"/><Relationship Id="rId7" Type="http://schemas.openxmlformats.org/officeDocument/2006/relationships/hyperlink" Target="Modelo_financiero_queseria_v2.xlsx" TargetMode="External"/><Relationship Id="rId8" Type="http://schemas.openxmlformats.org/officeDocument/2006/relationships/hyperlink" Target="Modelo_financiero_queseria_v2.xlsx" TargetMode="External"/><Relationship Id="rId9" Type="http://schemas.openxmlformats.org/officeDocument/2006/relationships/hyperlink" Target="Modelo_financiero_queseria_v2.xlsx" TargetMode="External"/><Relationship Id="rId10" Type="http://schemas.openxmlformats.org/officeDocument/2006/relationships/hyperlink" Target="Modelo_financiero_queseria_v2.xlsx" TargetMode="External"/><Relationship Id="rId11" Type="http://schemas.openxmlformats.org/officeDocument/2006/relationships/hyperlink" Target="Modelo_financiero_queseria_v2.xlsx" TargetMode="Externa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20"/>
    <col collapsed="false" customWidth="true" hidden="false" outlineLevel="0" max="4" min="4" style="0" width="7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c r="D5" s="4"/>
    </row>
    <row r="6" customFormat="false" ht="15" hidden="false" customHeight="false" outlineLevel="0" collapsed="false">
      <c r="B6" s="5" t="s">
        <v>3</v>
      </c>
      <c r="C6" s="6" t="s">
        <v>4</v>
      </c>
    </row>
    <row r="7" customFormat="false" ht="15" hidden="false" customHeight="false" outlineLevel="0" collapsed="false">
      <c r="B7" s="5" t="s">
        <v>5</v>
      </c>
      <c r="C7" s="6" t="s">
        <v>6</v>
      </c>
    </row>
    <row r="8" customFormat="false" ht="15" hidden="false" customHeight="false" outlineLevel="0" collapsed="false">
      <c r="B8" s="5" t="s">
        <v>7</v>
      </c>
      <c r="C8" s="6" t="s">
        <v>8</v>
      </c>
    </row>
    <row r="9" customFormat="false" ht="15" hidden="false" customHeight="false" outlineLevel="0" collapsed="false">
      <c r="B9" s="5" t="s">
        <v>9</v>
      </c>
      <c r="C9" s="7" t="str">
        <f aca="false">Chequeos!$C$29</f>
        <v>OK</v>
      </c>
    </row>
    <row r="10" customFormat="false" ht="15" hidden="false" customHeight="false" outlineLevel="0" collapsed="false">
      <c r="B10" s="5" t="s">
        <v>10</v>
      </c>
      <c r="C10" s="6" t="str">
        <f aca="false">Chequeos!$B$29</f>
        <v>22 de 22</v>
      </c>
    </row>
    <row r="12" customFormat="false" ht="15" hidden="false" customHeight="false" outlineLevel="0" collapsed="false">
      <c r="B12" s="3" t="s">
        <v>11</v>
      </c>
      <c r="C12" s="4"/>
      <c r="D12" s="4"/>
    </row>
    <row r="13" customFormat="false" ht="15" hidden="false" customHeight="false" outlineLevel="0" collapsed="false">
      <c r="B13" s="6" t="s">
        <v>12</v>
      </c>
      <c r="C13" s="8" t="n">
        <f aca="false">Quesería!B161</f>
        <v>0.139155</v>
      </c>
      <c r="D13" s="9" t="s">
        <v>13</v>
      </c>
    </row>
    <row r="14" customFormat="false" ht="15" hidden="false" customHeight="false" outlineLevel="0" collapsed="false">
      <c r="B14" s="6" t="s">
        <v>14</v>
      </c>
      <c r="C14" s="8" t="n">
        <f aca="false">Quesería!B162</f>
        <v>0.214213873656107</v>
      </c>
      <c r="D14" s="9" t="s">
        <v>15</v>
      </c>
    </row>
    <row r="15" customFormat="false" ht="15" hidden="false" customHeight="false" outlineLevel="0" collapsed="false">
      <c r="B15" s="6" t="s">
        <v>16</v>
      </c>
      <c r="C15" s="8" t="n">
        <f aca="false">Quesería!B163</f>
        <v>0.164670456073589</v>
      </c>
      <c r="D15" s="9" t="s">
        <v>17</v>
      </c>
    </row>
    <row r="16" customFormat="false" ht="15" hidden="false" customHeight="false" outlineLevel="0" collapsed="false">
      <c r="B16" s="6" t="s">
        <v>18</v>
      </c>
      <c r="C16" s="8" t="n">
        <f aca="false">Quesería!B164</f>
        <v>0.0920191638661017</v>
      </c>
      <c r="D16" s="9" t="s">
        <v>19</v>
      </c>
    </row>
    <row r="17" customFormat="false" ht="15" hidden="false" customHeight="false" outlineLevel="0" collapsed="false">
      <c r="B17" s="6" t="s">
        <v>20</v>
      </c>
      <c r="C17" s="10" t="n">
        <f aca="false">Quesería!B165</f>
        <v>367.419841109654</v>
      </c>
      <c r="D17" s="9" t="s">
        <v>21</v>
      </c>
    </row>
    <row r="18" customFormat="false" ht="15" hidden="false" customHeight="false" outlineLevel="0" collapsed="false">
      <c r="B18" s="6" t="s">
        <v>22</v>
      </c>
      <c r="C18" s="11" t="n">
        <f aca="false">Quesería!B166</f>
        <v>5.10862462706641</v>
      </c>
      <c r="D18" s="9" t="s">
        <v>23</v>
      </c>
    </row>
    <row r="19" customFormat="false" ht="15" hidden="false" customHeight="false" outlineLevel="0" collapsed="false">
      <c r="B19" s="6" t="s">
        <v>24</v>
      </c>
      <c r="C19" s="11" t="n">
        <f aca="false">Quesería!B167</f>
        <v>6.94188018230099</v>
      </c>
      <c r="D19" s="9" t="s">
        <v>25</v>
      </c>
    </row>
    <row r="20" customFormat="false" ht="15" hidden="false" customHeight="false" outlineLevel="0" collapsed="false">
      <c r="B20" s="6" t="s">
        <v>26</v>
      </c>
      <c r="C20" s="8" t="n">
        <f aca="false">Quesería!B169</f>
        <v>0.412209259873484</v>
      </c>
      <c r="D20" s="9" t="s">
        <v>27</v>
      </c>
    </row>
    <row r="21" customFormat="false" ht="15" hidden="false" customHeight="false" outlineLevel="0" collapsed="false">
      <c r="B21" s="6" t="s">
        <v>28</v>
      </c>
      <c r="C21" s="12" t="n">
        <f aca="false">Quesería!B172</f>
        <v>1.20942669960017</v>
      </c>
      <c r="D21" s="9" t="s">
        <v>29</v>
      </c>
    </row>
    <row r="22" customFormat="false" ht="15" hidden="false" customHeight="false" outlineLevel="0" collapsed="false">
      <c r="B22" s="6" t="s">
        <v>30</v>
      </c>
      <c r="C22" s="10" t="n">
        <f aca="false">Escenarios!$T$33</f>
        <v>213.600672204455</v>
      </c>
      <c r="D22" s="9" t="s">
        <v>31</v>
      </c>
    </row>
    <row r="23" customFormat="false" ht="15" hidden="false" customHeight="false" outlineLevel="0" collapsed="false">
      <c r="B23" s="6" t="s">
        <v>32</v>
      </c>
      <c r="C23" s="10" t="n">
        <f aca="false">Herramientas!B36</f>
        <v>84.5687047164901</v>
      </c>
      <c r="D23" s="9" t="s">
        <v>33</v>
      </c>
    </row>
    <row r="24" customFormat="false" ht="15" hidden="false" customHeight="false" outlineLevel="0" collapsed="false">
      <c r="B24" s="6" t="s">
        <v>34</v>
      </c>
      <c r="C24" s="12" t="n">
        <f aca="false">Empresa!$B$41</f>
        <v>1.2006411712312</v>
      </c>
      <c r="D24" s="9" t="s">
        <v>35</v>
      </c>
    </row>
    <row r="25" customFormat="false" ht="15" hidden="false" customHeight="false" outlineLevel="0" collapsed="false">
      <c r="B25" s="6" t="s">
        <v>36</v>
      </c>
      <c r="C25" s="10" t="n">
        <f aca="false">Quesería!$F$85</f>
        <v>1267.51371290102</v>
      </c>
      <c r="D25" s="9" t="s">
        <v>37</v>
      </c>
    </row>
    <row r="26" customFormat="false" ht="15" hidden="false" customHeight="false" outlineLevel="0" collapsed="false">
      <c r="B26" s="6" t="s">
        <v>38</v>
      </c>
      <c r="C26" s="10" t="n">
        <f aca="false">Quesería!$E$111</f>
        <v>413.723487237197</v>
      </c>
      <c r="D26" s="9" t="s">
        <v>39</v>
      </c>
    </row>
    <row r="28" customFormat="false" ht="15" hidden="false" customHeight="false" outlineLevel="0" collapsed="false">
      <c r="B28" s="3" t="s">
        <v>40</v>
      </c>
      <c r="C28" s="4"/>
      <c r="D28" s="4"/>
    </row>
    <row r="29" customFormat="false" ht="15" hidden="false" customHeight="false" outlineLevel="0" collapsed="false">
      <c r="B29" s="13" t="s">
        <v>41</v>
      </c>
      <c r="C29" s="14" t="s">
        <v>42</v>
      </c>
      <c r="D29" s="14"/>
    </row>
    <row r="30" customFormat="false" ht="15" hidden="false" customHeight="false" outlineLevel="0" collapsed="false">
      <c r="B30" s="13" t="s">
        <v>43</v>
      </c>
      <c r="C30" s="14" t="s">
        <v>44</v>
      </c>
      <c r="D30" s="14"/>
    </row>
    <row r="31" customFormat="false" ht="15" hidden="false" customHeight="false" outlineLevel="0" collapsed="false">
      <c r="B31" s="13" t="s">
        <v>45</v>
      </c>
      <c r="C31" s="14" t="s">
        <v>46</v>
      </c>
      <c r="D31" s="14"/>
    </row>
    <row r="32" customFormat="false" ht="15" hidden="false" customHeight="false" outlineLevel="0" collapsed="false">
      <c r="B32" s="13" t="s">
        <v>47</v>
      </c>
      <c r="C32" s="14" t="s">
        <v>48</v>
      </c>
      <c r="D32" s="14"/>
    </row>
    <row r="33" customFormat="false" ht="15" hidden="false" customHeight="false" outlineLevel="0" collapsed="false">
      <c r="B33" s="13" t="s">
        <v>49</v>
      </c>
      <c r="C33" s="14" t="s">
        <v>50</v>
      </c>
      <c r="D33" s="14"/>
    </row>
    <row r="34" customFormat="false" ht="15" hidden="false" customHeight="false" outlineLevel="0" collapsed="false">
      <c r="B34" s="13" t="s">
        <v>51</v>
      </c>
      <c r="C34" s="14" t="s">
        <v>52</v>
      </c>
      <c r="D34" s="14"/>
    </row>
    <row r="35" customFormat="false" ht="15" hidden="false" customHeight="false" outlineLevel="0" collapsed="false">
      <c r="B35" s="13" t="s">
        <v>53</v>
      </c>
      <c r="C35" s="14" t="s">
        <v>54</v>
      </c>
      <c r="D35" s="14"/>
    </row>
    <row r="36" customFormat="false" ht="15" hidden="false" customHeight="false" outlineLevel="0" collapsed="false">
      <c r="B36" s="13" t="s">
        <v>55</v>
      </c>
      <c r="C36" s="14" t="s">
        <v>56</v>
      </c>
      <c r="D36" s="14"/>
    </row>
    <row r="37" customFormat="false" ht="15" hidden="false" customHeight="false" outlineLevel="0" collapsed="false">
      <c r="B37" s="13" t="s">
        <v>57</v>
      </c>
      <c r="C37" s="14" t="s">
        <v>58</v>
      </c>
      <c r="D37" s="14"/>
    </row>
    <row r="38" customFormat="false" ht="15" hidden="false" customHeight="false" outlineLevel="0" collapsed="false">
      <c r="B38" s="13" t="s">
        <v>59</v>
      </c>
      <c r="C38" s="14" t="s">
        <v>60</v>
      </c>
      <c r="D38" s="14"/>
    </row>
    <row r="39" customFormat="false" ht="15" hidden="false" customHeight="false" outlineLevel="0" collapsed="false">
      <c r="B39" s="13" t="s">
        <v>61</v>
      </c>
      <c r="C39" s="14" t="s">
        <v>62</v>
      </c>
      <c r="D39" s="14"/>
    </row>
    <row r="41" customFormat="false" ht="15" hidden="false" customHeight="false" outlineLevel="0" collapsed="false">
      <c r="B41" s="3" t="s">
        <v>63</v>
      </c>
      <c r="C41" s="4"/>
      <c r="D41" s="4"/>
    </row>
    <row r="42" customFormat="false" ht="15" hidden="false" customHeight="false" outlineLevel="0" collapsed="false">
      <c r="B42" s="15" t="s">
        <v>64</v>
      </c>
      <c r="C42" s="9" t="s">
        <v>65</v>
      </c>
    </row>
    <row r="43" customFormat="false" ht="15" hidden="false" customHeight="false" outlineLevel="0" collapsed="false">
      <c r="B43" s="6" t="s">
        <v>66</v>
      </c>
      <c r="C43" s="9" t="s">
        <v>67</v>
      </c>
    </row>
    <row r="44" customFormat="false" ht="15" hidden="false" customHeight="false" outlineLevel="0" collapsed="false">
      <c r="B44" s="7" t="s">
        <v>68</v>
      </c>
      <c r="C44" s="9" t="s">
        <v>69</v>
      </c>
    </row>
  </sheetData>
  <mergeCells count="11">
    <mergeCell ref="C29:D29"/>
    <mergeCell ref="C30:D30"/>
    <mergeCell ref="C31:D31"/>
    <mergeCell ref="C32:D32"/>
    <mergeCell ref="C33:D33"/>
    <mergeCell ref="C34:D34"/>
    <mergeCell ref="C35:D35"/>
    <mergeCell ref="C36:D36"/>
    <mergeCell ref="C37:D37"/>
    <mergeCell ref="C38:D38"/>
    <mergeCell ref="C39:D39"/>
  </mergeCells>
  <hyperlinks>
    <hyperlink ref="B29" r:id="rId1" location="'Quesería'!A1" display="Quesería"/>
    <hyperlink ref="B30" r:id="rId2" location="'Entorno'!A1" display="Entorno"/>
    <hyperlink ref="B31" r:id="rId3" location="'Beneficios%20y%20costos'!A1" display="Beneficios y costos"/>
    <hyperlink ref="B32" r:id="rId4" location="'Cotizaciones'!A1" display="Cotizaciones"/>
    <hyperlink ref="B33" r:id="rId5" location="'Escenarios'!A1" display="Escenarios"/>
    <hyperlink ref="B34" r:id="rId6" location="'Riesgo'!A1" display="Riesgo"/>
    <hyperlink ref="B35" r:id="rId7" location="'Herramientas'!A1" display="Herramientas"/>
    <hyperlink ref="B36" r:id="rId8" location="'Empresa'!A1" display="Empresa"/>
    <hyperlink ref="B37" r:id="rId9" location="'IntegraMotion'!A1" display="IntegraMotion"/>
    <hyperlink ref="B38" r:id="rId10" location="'APU'!A1" display="APU"/>
    <hyperlink ref="B39" r:id="rId11" location="'Chequeos'!A1" display="Chequeo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4" min="2" style="0" width="11"/>
    <col collapsed="false" customWidth="true" hidden="false" outlineLevel="0" max="5" min="5" style="0" width="13"/>
    <col collapsed="false" customWidth="true" hidden="false" outlineLevel="0" max="7" min="6" style="0" width="11"/>
    <col collapsed="false" customWidth="true" hidden="false" outlineLevel="0" max="8" min="8" style="0" width="13"/>
    <col collapsed="false" customWidth="true" hidden="false" outlineLevel="0" max="9" min="9" style="0" width="11"/>
    <col collapsed="false" customWidth="true" hidden="false" outlineLevel="0" max="10" min="10" style="0" width="12"/>
    <col collapsed="false" customWidth="true" hidden="false" outlineLevel="0" max="13" min="11" style="0" width="11"/>
  </cols>
  <sheetData>
    <row r="1" customFormat="false" ht="17.35" hidden="false" customHeight="false" outlineLevel="0" collapsed="false">
      <c r="A1" s="16" t="s">
        <v>70</v>
      </c>
    </row>
    <row r="2" customFormat="false" ht="15" hidden="false" customHeight="false" outlineLevel="0" collapsed="false">
      <c r="A2" s="9" t="s">
        <v>71</v>
      </c>
    </row>
    <row r="4" customFormat="false" ht="15" hidden="false" customHeight="false" outlineLevel="0" collapsed="false">
      <c r="A4" s="3" t="s">
        <v>72</v>
      </c>
      <c r="B4" s="4"/>
      <c r="C4" s="4"/>
      <c r="D4" s="4"/>
      <c r="E4" s="4"/>
      <c r="F4" s="4"/>
      <c r="G4" s="4"/>
      <c r="H4" s="4"/>
      <c r="I4" s="4"/>
      <c r="J4" s="4"/>
      <c r="K4" s="4"/>
      <c r="L4" s="4"/>
    </row>
    <row r="5" customFormat="false" ht="23.85" hidden="false" customHeight="false" outlineLevel="0" collapsed="false">
      <c r="A5" s="17" t="s">
        <v>73</v>
      </c>
      <c r="B5" s="18" t="s">
        <v>74</v>
      </c>
      <c r="C5" s="18" t="s">
        <v>75</v>
      </c>
      <c r="D5" s="18" t="s">
        <v>76</v>
      </c>
    </row>
    <row r="6" customFormat="false" ht="15" hidden="false" customHeight="false" outlineLevel="0" collapsed="false">
      <c r="A6" s="6" t="s">
        <v>77</v>
      </c>
      <c r="B6" s="19" t="n">
        <v>1</v>
      </c>
      <c r="C6" s="9" t="s">
        <v>78</v>
      </c>
      <c r="D6" s="9" t="s">
        <v>79</v>
      </c>
    </row>
    <row r="7" customFormat="false" ht="15" hidden="false" customHeight="false" outlineLevel="0" collapsed="false">
      <c r="A7" s="6" t="s">
        <v>80</v>
      </c>
      <c r="B7" s="20" t="n">
        <v>0.16</v>
      </c>
      <c r="C7" s="9" t="s">
        <v>81</v>
      </c>
      <c r="D7" s="9" t="s">
        <v>82</v>
      </c>
    </row>
    <row r="8" customFormat="false" ht="15" hidden="false" customHeight="false" outlineLevel="0" collapsed="false">
      <c r="A8" s="6" t="s">
        <v>83</v>
      </c>
      <c r="B8" s="21" t="n">
        <f aca="false">$B$40*($B$41+$B$48*$B$44*1.19)*(1-$B$10)+(1-$B$40)*$B$46</f>
        <v>0.139155</v>
      </c>
      <c r="C8" s="9" t="s">
        <v>81</v>
      </c>
      <c r="D8" s="9" t="s">
        <v>84</v>
      </c>
    </row>
    <row r="9" customFormat="false" ht="15" hidden="false" customHeight="false" outlineLevel="0" collapsed="false">
      <c r="A9" s="6" t="s">
        <v>18</v>
      </c>
      <c r="B9" s="22" t="n">
        <f aca="false">(1+$B$8)/(1+CHOOSE($B$6,Entorno!$M$7,Entorno!$M$8,Entorno!$M$9))-1</f>
        <v>0.0920191638661017</v>
      </c>
      <c r="C9" s="9" t="s">
        <v>81</v>
      </c>
      <c r="D9" s="9" t="s">
        <v>85</v>
      </c>
    </row>
    <row r="10" customFormat="false" ht="15" hidden="false" customHeight="false" outlineLevel="0" collapsed="false">
      <c r="A10" s="6" t="s">
        <v>86</v>
      </c>
      <c r="B10" s="20" t="n">
        <v>0.35</v>
      </c>
      <c r="C10" s="9" t="s">
        <v>81</v>
      </c>
      <c r="D10" s="9" t="s">
        <v>87</v>
      </c>
    </row>
    <row r="11" customFormat="false" ht="15" hidden="false" customHeight="false" outlineLevel="0" collapsed="false">
      <c r="A11" s="6" t="s">
        <v>88</v>
      </c>
      <c r="B11" s="23" t="n">
        <v>10</v>
      </c>
      <c r="C11" s="9" t="s">
        <v>89</v>
      </c>
      <c r="D11" s="9" t="s">
        <v>90</v>
      </c>
    </row>
    <row r="12" customFormat="false" ht="15" hidden="false" customHeight="false" outlineLevel="0" collapsed="false">
      <c r="A12" s="6" t="s">
        <v>91</v>
      </c>
      <c r="B12" s="24" t="n">
        <v>0.75</v>
      </c>
      <c r="C12" s="9" t="s">
        <v>92</v>
      </c>
      <c r="D12" s="9" t="s">
        <v>93</v>
      </c>
    </row>
    <row r="13" customFormat="false" ht="15" hidden="false" customHeight="false" outlineLevel="0" collapsed="false">
      <c r="A13" s="6" t="s">
        <v>94</v>
      </c>
      <c r="B13" s="19" t="n">
        <v>4</v>
      </c>
      <c r="C13" s="9" t="s">
        <v>95</v>
      </c>
      <c r="D13" s="9" t="s">
        <v>96</v>
      </c>
    </row>
    <row r="14" customFormat="false" ht="15" hidden="false" customHeight="false" outlineLevel="0" collapsed="false">
      <c r="A14" s="6" t="s">
        <v>97</v>
      </c>
      <c r="B14" s="20" t="n">
        <v>0.3</v>
      </c>
      <c r="C14" s="9" t="s">
        <v>98</v>
      </c>
      <c r="D14" s="9" t="s">
        <v>99</v>
      </c>
    </row>
    <row r="15" customFormat="false" ht="15" hidden="false" customHeight="false" outlineLevel="0" collapsed="false">
      <c r="A15" s="6" t="s">
        <v>100</v>
      </c>
      <c r="B15" s="22" t="n">
        <f aca="false">2/6</f>
        <v>0.333333333333333</v>
      </c>
      <c r="C15" s="9" t="s">
        <v>81</v>
      </c>
      <c r="D15" s="9" t="s">
        <v>101</v>
      </c>
    </row>
    <row r="16" customFormat="false" ht="15" hidden="false" customHeight="false" outlineLevel="0" collapsed="false">
      <c r="A16" s="6" t="s">
        <v>102</v>
      </c>
      <c r="B16" s="20" t="n">
        <v>1</v>
      </c>
      <c r="C16" s="9" t="s">
        <v>103</v>
      </c>
      <c r="D16" s="9" t="s">
        <v>104</v>
      </c>
    </row>
    <row r="17" customFormat="false" ht="15" hidden="false" customHeight="false" outlineLevel="0" collapsed="false">
      <c r="A17" s="6" t="s">
        <v>105</v>
      </c>
      <c r="B17" s="20" t="n">
        <v>1</v>
      </c>
      <c r="C17" s="9" t="s">
        <v>103</v>
      </c>
      <c r="D17" s="9" t="s">
        <v>106</v>
      </c>
    </row>
    <row r="18" customFormat="false" ht="15" hidden="false" customHeight="false" outlineLevel="0" collapsed="false">
      <c r="A18" s="6" t="s">
        <v>107</v>
      </c>
      <c r="B18" s="20" t="n">
        <v>0.75</v>
      </c>
      <c r="C18" s="9" t="s">
        <v>103</v>
      </c>
      <c r="D18" s="9" t="s">
        <v>108</v>
      </c>
    </row>
    <row r="19" customFormat="false" ht="15" hidden="false" customHeight="false" outlineLevel="0" collapsed="false">
      <c r="A19" s="6" t="s">
        <v>109</v>
      </c>
      <c r="B19" s="20" t="n">
        <v>0.5</v>
      </c>
      <c r="C19" s="9" t="s">
        <v>103</v>
      </c>
      <c r="D19" s="9" t="s">
        <v>110</v>
      </c>
    </row>
    <row r="20" customFormat="false" ht="15" hidden="false" customHeight="false" outlineLevel="0" collapsed="false">
      <c r="A20" s="6" t="s">
        <v>111</v>
      </c>
      <c r="B20" s="20" t="n">
        <v>0</v>
      </c>
      <c r="C20" s="9" t="s">
        <v>103</v>
      </c>
      <c r="D20" s="9" t="s">
        <v>112</v>
      </c>
    </row>
    <row r="21" customFormat="false" ht="15" hidden="false" customHeight="false" outlineLevel="0" collapsed="false">
      <c r="A21" s="6" t="s">
        <v>113</v>
      </c>
      <c r="B21" s="20" t="n">
        <v>0.03</v>
      </c>
      <c r="C21" s="9" t="s">
        <v>114</v>
      </c>
      <c r="D21" s="9" t="s">
        <v>115</v>
      </c>
    </row>
    <row r="22" customFormat="false" ht="15" hidden="false" customHeight="false" outlineLevel="0" collapsed="false">
      <c r="A22" s="6" t="s">
        <v>116</v>
      </c>
      <c r="B22" s="25" t="n">
        <v>12</v>
      </c>
      <c r="C22" s="9" t="s">
        <v>117</v>
      </c>
      <c r="D22" s="9" t="s">
        <v>118</v>
      </c>
    </row>
    <row r="23" customFormat="false" ht="15" hidden="false" customHeight="false" outlineLevel="0" collapsed="false">
      <c r="A23" s="6" t="s">
        <v>119</v>
      </c>
      <c r="B23" s="23" t="n">
        <v>30</v>
      </c>
      <c r="C23" s="9" t="s">
        <v>120</v>
      </c>
      <c r="D23" s="9" t="s">
        <v>121</v>
      </c>
    </row>
    <row r="24" customFormat="false" ht="15" hidden="false" customHeight="false" outlineLevel="0" collapsed="false">
      <c r="A24" s="6" t="s">
        <v>122</v>
      </c>
      <c r="B24" s="23" t="n">
        <v>5</v>
      </c>
      <c r="C24" s="9" t="s">
        <v>120</v>
      </c>
      <c r="D24" s="9" t="s">
        <v>123</v>
      </c>
    </row>
    <row r="25" customFormat="false" ht="15" hidden="false" customHeight="false" outlineLevel="0" collapsed="false">
      <c r="A25" s="6" t="s">
        <v>124</v>
      </c>
      <c r="B25" s="20" t="n">
        <v>0.82</v>
      </c>
      <c r="C25" s="9" t="s">
        <v>81</v>
      </c>
      <c r="D25" s="9" t="s">
        <v>125</v>
      </c>
    </row>
    <row r="26" customFormat="false" ht="15" hidden="false" customHeight="false" outlineLevel="0" collapsed="false">
      <c r="A26" s="6" t="s">
        <v>126</v>
      </c>
      <c r="B26" s="23" t="n">
        <v>22</v>
      </c>
      <c r="C26" s="9" t="s">
        <v>120</v>
      </c>
      <c r="D26" s="9" t="s">
        <v>127</v>
      </c>
    </row>
    <row r="27" customFormat="false" ht="15" hidden="false" customHeight="false" outlineLevel="0" collapsed="false">
      <c r="A27" s="6" t="s">
        <v>128</v>
      </c>
      <c r="B27" s="26" t="n">
        <v>9000</v>
      </c>
      <c r="C27" s="9" t="s">
        <v>129</v>
      </c>
      <c r="D27" s="9" t="s">
        <v>130</v>
      </c>
    </row>
    <row r="28" customFormat="false" ht="15" hidden="false" customHeight="false" outlineLevel="0" collapsed="false">
      <c r="A28" s="6" t="s">
        <v>131</v>
      </c>
      <c r="B28" s="26" t="n">
        <v>25000</v>
      </c>
      <c r="C28" s="9" t="s">
        <v>129</v>
      </c>
      <c r="D28" s="9" t="s">
        <v>132</v>
      </c>
    </row>
    <row r="29" customFormat="false" ht="15" hidden="false" customHeight="false" outlineLevel="0" collapsed="false">
      <c r="A29" s="6" t="s">
        <v>133</v>
      </c>
      <c r="B29" s="22" t="n">
        <f aca="false">$B$27/$B$28</f>
        <v>0.36</v>
      </c>
      <c r="C29" s="9" t="s">
        <v>81</v>
      </c>
      <c r="D29" s="9" t="s">
        <v>134</v>
      </c>
    </row>
    <row r="30" customFormat="false" ht="15" hidden="false" customHeight="false" outlineLevel="0" collapsed="false">
      <c r="A30" s="6" t="s">
        <v>135</v>
      </c>
      <c r="B30" s="26" t="n">
        <v>6772</v>
      </c>
      <c r="C30" s="9" t="s">
        <v>117</v>
      </c>
      <c r="D30" s="9" t="s">
        <v>136</v>
      </c>
    </row>
    <row r="31" customFormat="false" ht="15" hidden="false" customHeight="false" outlineLevel="0" collapsed="false">
      <c r="A31" s="6" t="s">
        <v>137</v>
      </c>
      <c r="B31" s="26" t="n">
        <v>30457</v>
      </c>
      <c r="C31" s="9" t="s">
        <v>117</v>
      </c>
      <c r="D31" s="9" t="s">
        <v>132</v>
      </c>
    </row>
    <row r="32" customFormat="false" ht="15" hidden="false" customHeight="false" outlineLevel="0" collapsed="false">
      <c r="A32" s="6" t="s">
        <v>138</v>
      </c>
      <c r="B32" s="22" t="n">
        <f aca="false">$B$30/$B$31</f>
        <v>0.22234625865975</v>
      </c>
      <c r="C32" s="9" t="s">
        <v>81</v>
      </c>
      <c r="D32" s="9" t="s">
        <v>139</v>
      </c>
    </row>
    <row r="33" customFormat="false" ht="15" hidden="false" customHeight="false" outlineLevel="0" collapsed="false">
      <c r="A33" s="6" t="s">
        <v>140</v>
      </c>
      <c r="B33" s="25" t="n">
        <v>36</v>
      </c>
      <c r="C33" s="9" t="s">
        <v>117</v>
      </c>
      <c r="D33" s="9" t="s">
        <v>141</v>
      </c>
    </row>
    <row r="34" customFormat="false" ht="15" hidden="false" customHeight="false" outlineLevel="0" collapsed="false">
      <c r="A34" s="6" t="s">
        <v>142</v>
      </c>
      <c r="B34" s="19" t="n">
        <v>3</v>
      </c>
      <c r="C34" s="9" t="s">
        <v>95</v>
      </c>
      <c r="D34" s="9" t="s">
        <v>143</v>
      </c>
    </row>
    <row r="35" customFormat="false" ht="15" hidden="false" customHeight="false" outlineLevel="0" collapsed="false">
      <c r="A35" s="6" t="s">
        <v>144</v>
      </c>
      <c r="B35" s="20" t="n">
        <v>0.25</v>
      </c>
      <c r="C35" s="9" t="s">
        <v>145</v>
      </c>
      <c r="D35" s="9" t="s">
        <v>146</v>
      </c>
    </row>
    <row r="36" customFormat="false" ht="15" hidden="false" customHeight="false" outlineLevel="0" collapsed="false">
      <c r="A36" s="6" t="s">
        <v>147</v>
      </c>
      <c r="B36" s="20" t="n">
        <v>0.19</v>
      </c>
      <c r="C36" s="9" t="s">
        <v>81</v>
      </c>
      <c r="D36" s="9" t="s">
        <v>148</v>
      </c>
    </row>
    <row r="37" customFormat="false" ht="15" hidden="false" customHeight="false" outlineLevel="0" collapsed="false">
      <c r="A37" s="6" t="s">
        <v>149</v>
      </c>
      <c r="B37" s="20" t="n">
        <v>0.4</v>
      </c>
      <c r="C37" s="9" t="s">
        <v>150</v>
      </c>
      <c r="D37" s="9" t="s">
        <v>151</v>
      </c>
    </row>
    <row r="38" customFormat="false" ht="15" hidden="false" customHeight="false" outlineLevel="0" collapsed="false">
      <c r="A38" s="6" t="s">
        <v>152</v>
      </c>
      <c r="B38" s="20" t="n">
        <v>0.1</v>
      </c>
      <c r="C38" s="9" t="s">
        <v>153</v>
      </c>
      <c r="D38" s="9" t="s">
        <v>154</v>
      </c>
    </row>
    <row r="39" customFormat="false" ht="15" hidden="false" customHeight="false" outlineLevel="0" collapsed="false">
      <c r="A39" s="6" t="s">
        <v>155</v>
      </c>
      <c r="B39" s="20" t="n">
        <v>0.1</v>
      </c>
      <c r="C39" s="9" t="s">
        <v>156</v>
      </c>
      <c r="D39" s="9" t="s">
        <v>157</v>
      </c>
    </row>
    <row r="40" customFormat="false" ht="15" hidden="false" customHeight="false" outlineLevel="0" collapsed="false">
      <c r="A40" s="6" t="s">
        <v>158</v>
      </c>
      <c r="B40" s="20" t="n">
        <v>0.7</v>
      </c>
      <c r="C40" s="9" t="s">
        <v>81</v>
      </c>
      <c r="D40" s="9" t="s">
        <v>159</v>
      </c>
    </row>
    <row r="41" customFormat="false" ht="15" hidden="false" customHeight="false" outlineLevel="0" collapsed="false">
      <c r="A41" s="6" t="s">
        <v>160</v>
      </c>
      <c r="B41" s="24" t="n">
        <v>0.141</v>
      </c>
      <c r="C41" s="9" t="s">
        <v>81</v>
      </c>
      <c r="D41" s="9" t="s">
        <v>161</v>
      </c>
    </row>
    <row r="42" customFormat="false" ht="15" hidden="false" customHeight="false" outlineLevel="0" collapsed="false">
      <c r="A42" s="6" t="s">
        <v>162</v>
      </c>
      <c r="B42" s="23" t="n">
        <v>7</v>
      </c>
      <c r="C42" s="9" t="s">
        <v>89</v>
      </c>
      <c r="D42" s="9" t="s">
        <v>163</v>
      </c>
    </row>
    <row r="43" customFormat="false" ht="15" hidden="false" customHeight="false" outlineLevel="0" collapsed="false">
      <c r="A43" s="6" t="s">
        <v>164</v>
      </c>
      <c r="B43" s="23" t="n">
        <v>1</v>
      </c>
      <c r="C43" s="9" t="s">
        <v>89</v>
      </c>
      <c r="D43" s="9" t="s">
        <v>165</v>
      </c>
    </row>
    <row r="44" customFormat="false" ht="15" hidden="false" customHeight="false" outlineLevel="0" collapsed="false">
      <c r="A44" s="6" t="s">
        <v>166</v>
      </c>
      <c r="B44" s="27" t="n">
        <v>0.0199</v>
      </c>
      <c r="C44" s="9" t="s">
        <v>167</v>
      </c>
      <c r="D44" s="9" t="s">
        <v>168</v>
      </c>
    </row>
    <row r="45" customFormat="false" ht="15" hidden="false" customHeight="false" outlineLevel="0" collapsed="false">
      <c r="A45" s="6" t="s">
        <v>169</v>
      </c>
      <c r="B45" s="27" t="n">
        <v>0.004</v>
      </c>
      <c r="C45" s="9" t="s">
        <v>170</v>
      </c>
      <c r="D45" s="9" t="s">
        <v>171</v>
      </c>
    </row>
    <row r="46" customFormat="false" ht="15" hidden="false" customHeight="false" outlineLevel="0" collapsed="false">
      <c r="A46" s="6" t="s">
        <v>172</v>
      </c>
      <c r="B46" s="20" t="n">
        <v>0.25</v>
      </c>
      <c r="C46" s="9" t="s">
        <v>81</v>
      </c>
      <c r="D46" s="9" t="s">
        <v>173</v>
      </c>
    </row>
    <row r="47" customFormat="false" ht="15" hidden="false" customHeight="false" outlineLevel="0" collapsed="false">
      <c r="A47" s="6" t="s">
        <v>174</v>
      </c>
      <c r="B47" s="22" t="n">
        <f aca="false">(1+$B$46)/(1+CHOOSE($B$6,Entorno!$M$7,Entorno!$M$8,Entorno!$M$9))-1</f>
        <v>0.198277631079728</v>
      </c>
      <c r="C47" s="9" t="s">
        <v>81</v>
      </c>
      <c r="D47" s="9" t="s">
        <v>175</v>
      </c>
    </row>
    <row r="48" customFormat="false" ht="15" hidden="false" customHeight="false" outlineLevel="0" collapsed="false">
      <c r="A48" s="6" t="s">
        <v>176</v>
      </c>
      <c r="B48" s="19" t="n">
        <v>0</v>
      </c>
      <c r="C48" s="9" t="s">
        <v>177</v>
      </c>
      <c r="D48" s="9" t="s">
        <v>178</v>
      </c>
    </row>
    <row r="49" customFormat="false" ht="15" hidden="false" customHeight="false" outlineLevel="0" collapsed="false">
      <c r="A49" s="6" t="s">
        <v>179</v>
      </c>
      <c r="B49" s="19" t="n">
        <v>1</v>
      </c>
      <c r="C49" s="9" t="s">
        <v>177</v>
      </c>
      <c r="D49" s="9" t="s">
        <v>180</v>
      </c>
    </row>
    <row r="50" customFormat="false" ht="15" hidden="false" customHeight="false" outlineLevel="0" collapsed="false">
      <c r="A50" s="6" t="s">
        <v>181</v>
      </c>
      <c r="B50" s="20" t="n">
        <v>0.25</v>
      </c>
      <c r="C50" s="9" t="s">
        <v>182</v>
      </c>
      <c r="D50" s="9" t="s">
        <v>183</v>
      </c>
    </row>
    <row r="51" customFormat="false" ht="15" hidden="false" customHeight="false" outlineLevel="0" collapsed="false">
      <c r="A51" s="6" t="s">
        <v>184</v>
      </c>
      <c r="B51" s="26" t="n">
        <v>334</v>
      </c>
      <c r="C51" s="9" t="s">
        <v>117</v>
      </c>
      <c r="D51" s="9" t="s">
        <v>185</v>
      </c>
    </row>
    <row r="52" customFormat="false" ht="15" hidden="false" customHeight="false" outlineLevel="0" collapsed="false">
      <c r="A52" s="6" t="s">
        <v>186</v>
      </c>
      <c r="B52" s="24" t="n">
        <v>0.5</v>
      </c>
      <c r="C52" s="9" t="s">
        <v>145</v>
      </c>
      <c r="D52" s="9" t="s">
        <v>187</v>
      </c>
    </row>
    <row r="53" customFormat="false" ht="15" hidden="false" customHeight="false" outlineLevel="0" collapsed="false">
      <c r="A53" s="6" t="s">
        <v>188</v>
      </c>
      <c r="B53" s="25" t="n">
        <v>4</v>
      </c>
      <c r="C53" s="9" t="s">
        <v>189</v>
      </c>
      <c r="D53" s="9" t="s">
        <v>190</v>
      </c>
    </row>
    <row r="54" customFormat="false" ht="15" hidden="false" customHeight="false" outlineLevel="0" collapsed="false">
      <c r="A54" s="6" t="s">
        <v>191</v>
      </c>
      <c r="B54" s="27" t="n">
        <v>0.0025</v>
      </c>
      <c r="C54" s="9" t="s">
        <v>114</v>
      </c>
      <c r="D54" s="9" t="s">
        <v>192</v>
      </c>
    </row>
    <row r="55" customFormat="false" ht="15" hidden="false" customHeight="false" outlineLevel="0" collapsed="false">
      <c r="A55" s="6" t="s">
        <v>193</v>
      </c>
      <c r="B55" s="20" t="n">
        <v>0.05</v>
      </c>
      <c r="C55" s="9" t="s">
        <v>194</v>
      </c>
      <c r="D55" s="9" t="s">
        <v>195</v>
      </c>
    </row>
    <row r="56" customFormat="false" ht="15" hidden="false" customHeight="false" outlineLevel="0" collapsed="false">
      <c r="A56" s="6" t="s">
        <v>196</v>
      </c>
      <c r="B56" s="20" t="n">
        <v>0.1</v>
      </c>
      <c r="C56" s="9" t="s">
        <v>194</v>
      </c>
      <c r="D56" s="9" t="s">
        <v>197</v>
      </c>
    </row>
    <row r="57" customFormat="false" ht="15" hidden="false" customHeight="false" outlineLevel="0" collapsed="false">
      <c r="A57" s="6" t="s">
        <v>198</v>
      </c>
      <c r="B57" s="20" t="n">
        <v>0.15</v>
      </c>
      <c r="C57" s="9" t="s">
        <v>194</v>
      </c>
      <c r="D57" s="9" t="s">
        <v>199</v>
      </c>
    </row>
    <row r="58" customFormat="false" ht="15" hidden="false" customHeight="false" outlineLevel="0" collapsed="false">
      <c r="A58" s="6" t="s">
        <v>200</v>
      </c>
      <c r="B58" s="20" t="n">
        <v>0.25</v>
      </c>
      <c r="C58" s="9" t="s">
        <v>194</v>
      </c>
      <c r="D58" s="9" t="s">
        <v>201</v>
      </c>
    </row>
    <row r="60" customFormat="false" ht="15" hidden="false" customHeight="false" outlineLevel="0" collapsed="false">
      <c r="A60" s="3" t="s">
        <v>202</v>
      </c>
      <c r="B60" s="4"/>
      <c r="C60" s="4"/>
      <c r="D60" s="4"/>
      <c r="E60" s="4"/>
      <c r="F60" s="4"/>
      <c r="G60" s="4"/>
      <c r="H60" s="4"/>
      <c r="I60" s="4"/>
      <c r="J60" s="4"/>
      <c r="K60" s="4"/>
      <c r="L60" s="4"/>
    </row>
    <row r="61" customFormat="false" ht="30" hidden="false" customHeight="true" outlineLevel="0" collapsed="false">
      <c r="A61" s="17" t="s">
        <v>203</v>
      </c>
      <c r="B61" s="18" t="s">
        <v>204</v>
      </c>
      <c r="C61" s="18" t="s">
        <v>205</v>
      </c>
      <c r="D61" s="18" t="s">
        <v>206</v>
      </c>
      <c r="E61" s="18" t="s">
        <v>207</v>
      </c>
      <c r="F61" s="18" t="s">
        <v>41</v>
      </c>
      <c r="G61" s="18" t="s">
        <v>208</v>
      </c>
      <c r="H61" s="18" t="s">
        <v>209</v>
      </c>
      <c r="I61" s="18" t="s">
        <v>210</v>
      </c>
      <c r="J61" s="18" t="s">
        <v>211</v>
      </c>
      <c r="K61" s="18" t="s">
        <v>212</v>
      </c>
    </row>
    <row r="62" customFormat="false" ht="15" hidden="false" customHeight="false" outlineLevel="0" collapsed="false">
      <c r="A62" s="6" t="s">
        <v>213</v>
      </c>
      <c r="B62" s="28" t="n">
        <v>0</v>
      </c>
      <c r="C62" s="28" t="n">
        <v>0</v>
      </c>
      <c r="D62" s="25" t="n">
        <v>60</v>
      </c>
      <c r="E62" s="22" t="n">
        <f aca="false">$B$29</f>
        <v>0.36</v>
      </c>
      <c r="F62" s="29" t="n">
        <f aca="false">D62*E62</f>
        <v>21.6</v>
      </c>
      <c r="G62" s="28" t="n">
        <v>0</v>
      </c>
      <c r="H62" s="28" t="n">
        <v>4</v>
      </c>
      <c r="I62" s="22" t="n">
        <f aca="false">CHOOSE(H62,$B$55,$B$56,$B$57,$B$58)</f>
        <v>0.25</v>
      </c>
      <c r="J62" s="28" t="n">
        <v>0</v>
      </c>
      <c r="K62" s="28" t="n">
        <v>0</v>
      </c>
    </row>
    <row r="63" customFormat="false" ht="15" hidden="false" customHeight="false" outlineLevel="0" collapsed="false">
      <c r="A63" s="6" t="s">
        <v>214</v>
      </c>
      <c r="B63" s="28" t="n">
        <v>1</v>
      </c>
      <c r="C63" s="28" t="n">
        <v>0</v>
      </c>
      <c r="D63" s="25" t="n">
        <v>180</v>
      </c>
      <c r="E63" s="20" t="n">
        <v>1</v>
      </c>
      <c r="F63" s="29" t="n">
        <f aca="false">D63*E63</f>
        <v>180</v>
      </c>
      <c r="G63" s="28" t="n">
        <v>1</v>
      </c>
      <c r="H63" s="28" t="n">
        <v>4</v>
      </c>
      <c r="I63" s="22" t="n">
        <f aca="false">CHOOSE(H63,$B$55,$B$56,$B$57,$B$58)</f>
        <v>0.25</v>
      </c>
      <c r="J63" s="28" t="n">
        <v>10</v>
      </c>
      <c r="K63" s="28" t="n">
        <v>1</v>
      </c>
    </row>
    <row r="64" customFormat="false" ht="15" hidden="false" customHeight="false" outlineLevel="0" collapsed="false">
      <c r="A64" s="6" t="s">
        <v>215</v>
      </c>
      <c r="B64" s="28" t="n">
        <v>1</v>
      </c>
      <c r="C64" s="28" t="n">
        <v>0</v>
      </c>
      <c r="D64" s="25" t="n">
        <v>30</v>
      </c>
      <c r="E64" s="20" t="n">
        <v>1</v>
      </c>
      <c r="F64" s="29" t="n">
        <f aca="false">D64*E64</f>
        <v>30</v>
      </c>
      <c r="G64" s="28" t="n">
        <v>1</v>
      </c>
      <c r="H64" s="28" t="n">
        <v>4</v>
      </c>
      <c r="I64" s="22" t="n">
        <f aca="false">CHOOSE(H64,$B$55,$B$56,$B$57,$B$58)</f>
        <v>0.25</v>
      </c>
      <c r="J64" s="28" t="n">
        <v>10</v>
      </c>
      <c r="K64" s="28" t="n">
        <v>0</v>
      </c>
    </row>
    <row r="65" customFormat="false" ht="15" hidden="false" customHeight="false" outlineLevel="0" collapsed="false">
      <c r="A65" s="6" t="s">
        <v>216</v>
      </c>
      <c r="B65" s="28" t="n">
        <v>1</v>
      </c>
      <c r="C65" s="28" t="n">
        <v>0</v>
      </c>
      <c r="D65" s="29" t="n">
        <f aca="false">Cotizaciones!$F$13</f>
        <v>33.1788639</v>
      </c>
      <c r="E65" s="20" t="n">
        <v>1</v>
      </c>
      <c r="F65" s="29" t="n">
        <f aca="false">D65*E65</f>
        <v>33.1788639</v>
      </c>
      <c r="G65" s="28" t="n">
        <v>1</v>
      </c>
      <c r="H65" s="28" t="n">
        <v>2</v>
      </c>
      <c r="I65" s="22" t="n">
        <f aca="false">CHOOSE(H65,$B$55,$B$56,$B$57,$B$58)</f>
        <v>0.1</v>
      </c>
      <c r="J65" s="28" t="n">
        <v>10</v>
      </c>
      <c r="K65" s="28" t="n">
        <v>0</v>
      </c>
    </row>
    <row r="66" customFormat="false" ht="15" hidden="false" customHeight="false" outlineLevel="0" collapsed="false">
      <c r="A66" s="6" t="s">
        <v>217</v>
      </c>
      <c r="B66" s="28" t="n">
        <v>1</v>
      </c>
      <c r="C66" s="28" t="n">
        <v>0</v>
      </c>
      <c r="D66" s="25" t="n">
        <v>120</v>
      </c>
      <c r="E66" s="22" t="n">
        <f aca="false">$B$29</f>
        <v>0.36</v>
      </c>
      <c r="F66" s="29" t="n">
        <f aca="false">D66*E66</f>
        <v>43.2</v>
      </c>
      <c r="G66" s="28" t="n">
        <v>1</v>
      </c>
      <c r="H66" s="28" t="n">
        <v>4</v>
      </c>
      <c r="I66" s="22" t="n">
        <f aca="false">CHOOSE(H66,$B$55,$B$56,$B$57,$B$58)</f>
        <v>0.25</v>
      </c>
      <c r="J66" s="28" t="n">
        <v>10</v>
      </c>
      <c r="K66" s="28" t="n">
        <v>0</v>
      </c>
    </row>
    <row r="67" customFormat="false" ht="15" hidden="false" customHeight="false" outlineLevel="0" collapsed="false">
      <c r="A67" s="6" t="s">
        <v>218</v>
      </c>
      <c r="B67" s="28" t="n">
        <v>1</v>
      </c>
      <c r="C67" s="28" t="n">
        <v>0</v>
      </c>
      <c r="D67" s="29" t="n">
        <f aca="false">200/3</f>
        <v>66.6666666666667</v>
      </c>
      <c r="E67" s="20" t="n">
        <v>1</v>
      </c>
      <c r="F67" s="29" t="n">
        <f aca="false">D67*E67</f>
        <v>66.6666666666667</v>
      </c>
      <c r="G67" s="28" t="n">
        <v>1</v>
      </c>
      <c r="H67" s="28" t="n">
        <v>3</v>
      </c>
      <c r="I67" s="22" t="n">
        <f aca="false">CHOOSE(H67,$B$55,$B$56,$B$57,$B$58)</f>
        <v>0.15</v>
      </c>
      <c r="J67" s="28" t="n">
        <v>5</v>
      </c>
      <c r="K67" s="28" t="n">
        <v>1</v>
      </c>
    </row>
    <row r="68" customFormat="false" ht="15" hidden="false" customHeight="false" outlineLevel="0" collapsed="false">
      <c r="A68" s="6" t="s">
        <v>219</v>
      </c>
      <c r="B68" s="28" t="n">
        <v>1</v>
      </c>
      <c r="C68" s="28" t="n">
        <v>0</v>
      </c>
      <c r="D68" s="29" t="n">
        <f aca="false">IntegraMotion!$F$44*Entorno!$B$14*(1-$B$15)</f>
        <v>88.7810840417358</v>
      </c>
      <c r="E68" s="20" t="n">
        <v>1</v>
      </c>
      <c r="F68" s="29" t="n">
        <f aca="false">D68*E68</f>
        <v>88.7810840417358</v>
      </c>
      <c r="G68" s="28" t="n">
        <v>0</v>
      </c>
      <c r="H68" s="28" t="n">
        <v>1</v>
      </c>
      <c r="I68" s="22" t="n">
        <f aca="false">CHOOSE(H68,$B$55,$B$56,$B$57,$B$58)</f>
        <v>0.05</v>
      </c>
      <c r="J68" s="28" t="n">
        <v>10</v>
      </c>
      <c r="K68" s="28" t="n">
        <v>1</v>
      </c>
    </row>
    <row r="69" customFormat="false" ht="15" hidden="false" customHeight="false" outlineLevel="0" collapsed="false">
      <c r="A69" s="6" t="s">
        <v>220</v>
      </c>
      <c r="B69" s="28" t="n">
        <v>1</v>
      </c>
      <c r="C69" s="28" t="n">
        <v>0</v>
      </c>
      <c r="D69" s="29" t="n">
        <f aca="false">IntegraMotion!$F$44*Entorno!$B$14*$B$15</f>
        <v>44.3905420208679</v>
      </c>
      <c r="E69" s="20" t="n">
        <v>1</v>
      </c>
      <c r="F69" s="29" t="n">
        <f aca="false">D69*E69</f>
        <v>44.3905420208679</v>
      </c>
      <c r="G69" s="28" t="n">
        <v>0</v>
      </c>
      <c r="H69" s="28" t="n">
        <v>1</v>
      </c>
      <c r="I69" s="22" t="n">
        <f aca="false">CHOOSE(H69,$B$55,$B$56,$B$57,$B$58)</f>
        <v>0.05</v>
      </c>
      <c r="J69" s="28" t="n">
        <v>0</v>
      </c>
      <c r="K69" s="28" t="n">
        <v>0</v>
      </c>
    </row>
    <row r="70" customFormat="false" ht="15" hidden="false" customHeight="false" outlineLevel="0" collapsed="false">
      <c r="A70" s="6" t="s">
        <v>221</v>
      </c>
      <c r="B70" s="28" t="n">
        <v>1</v>
      </c>
      <c r="C70" s="28" t="n">
        <v>0</v>
      </c>
      <c r="D70" s="29" t="n">
        <f aca="false">20/3</f>
        <v>6.66666666666667</v>
      </c>
      <c r="E70" s="20" t="n">
        <v>1</v>
      </c>
      <c r="F70" s="29" t="n">
        <f aca="false">D70*E70</f>
        <v>6.66666666666667</v>
      </c>
      <c r="G70" s="28" t="n">
        <v>0</v>
      </c>
      <c r="H70" s="28" t="n">
        <v>1</v>
      </c>
      <c r="I70" s="22" t="n">
        <f aca="false">CHOOSE(H70,$B$55,$B$56,$B$57,$B$58)</f>
        <v>0.05</v>
      </c>
      <c r="J70" s="28" t="n">
        <v>0</v>
      </c>
      <c r="K70" s="28" t="n">
        <v>0</v>
      </c>
    </row>
    <row r="71" customFormat="false" ht="15" hidden="false" customHeight="false" outlineLevel="0" collapsed="false">
      <c r="A71" s="6" t="s">
        <v>222</v>
      </c>
      <c r="B71" s="28" t="n">
        <v>1</v>
      </c>
      <c r="C71" s="28" t="n">
        <v>0</v>
      </c>
      <c r="D71" s="25" t="n">
        <v>15</v>
      </c>
      <c r="E71" s="20" t="n">
        <v>1</v>
      </c>
      <c r="F71" s="29" t="n">
        <f aca="false">D71*E71</f>
        <v>15</v>
      </c>
      <c r="G71" s="28" t="n">
        <v>0</v>
      </c>
      <c r="H71" s="28" t="n">
        <v>4</v>
      </c>
      <c r="I71" s="22" t="n">
        <f aca="false">CHOOSE(H71,$B$55,$B$56,$B$57,$B$58)</f>
        <v>0.25</v>
      </c>
      <c r="J71" s="28" t="n">
        <v>0</v>
      </c>
      <c r="K71" s="28" t="n">
        <v>1</v>
      </c>
    </row>
    <row r="72" customFormat="false" ht="15" hidden="false" customHeight="false" outlineLevel="0" collapsed="false">
      <c r="A72" s="6" t="s">
        <v>223</v>
      </c>
      <c r="B72" s="28" t="n">
        <v>1</v>
      </c>
      <c r="C72" s="28" t="n">
        <v>0</v>
      </c>
      <c r="D72" s="29" t="n">
        <f aca="false">SUMPRODUCT(F62:F71,I62:I71)</f>
        <v>92.7598010264635</v>
      </c>
      <c r="E72" s="20" t="n">
        <v>1</v>
      </c>
      <c r="F72" s="29" t="n">
        <f aca="false">D72*E72</f>
        <v>92.7598010264635</v>
      </c>
      <c r="G72" s="28" t="n">
        <v>0</v>
      </c>
      <c r="K72" s="28" t="n">
        <v>0</v>
      </c>
    </row>
    <row r="73" customFormat="false" ht="15" hidden="false" customHeight="false" outlineLevel="0" collapsed="false">
      <c r="A73" s="6" t="s">
        <v>224</v>
      </c>
      <c r="B73" s="28" t="n">
        <v>2</v>
      </c>
      <c r="C73" s="28" t="n">
        <v>1</v>
      </c>
      <c r="D73" s="25" t="n">
        <v>322.6</v>
      </c>
      <c r="E73" s="20" t="n">
        <v>1</v>
      </c>
      <c r="F73" s="29" t="n">
        <f aca="false">D73*E73</f>
        <v>322.6</v>
      </c>
      <c r="G73" s="28" t="n">
        <v>1</v>
      </c>
      <c r="H73" s="28" t="n">
        <v>3</v>
      </c>
      <c r="I73" s="22" t="n">
        <f aca="false">CHOOSE(H73,$B$55,$B$56,$B$57,$B$58)</f>
        <v>0.15</v>
      </c>
      <c r="J73" s="28" t="n">
        <v>10</v>
      </c>
      <c r="K73" s="28" t="n">
        <v>0</v>
      </c>
    </row>
    <row r="74" customFormat="false" ht="15" hidden="false" customHeight="false" outlineLevel="0" collapsed="false">
      <c r="A74" s="6" t="s">
        <v>225</v>
      </c>
      <c r="B74" s="28" t="n">
        <v>2</v>
      </c>
      <c r="C74" s="28" t="n">
        <v>1</v>
      </c>
      <c r="D74" s="29" t="n">
        <f aca="false">320/3</f>
        <v>106.666666666667</v>
      </c>
      <c r="E74" s="20" t="n">
        <v>1</v>
      </c>
      <c r="F74" s="29" t="n">
        <f aca="false">D74*E74</f>
        <v>106.666666666667</v>
      </c>
      <c r="G74" s="28" t="n">
        <v>1</v>
      </c>
      <c r="H74" s="28" t="n">
        <v>3</v>
      </c>
      <c r="I74" s="22" t="n">
        <f aca="false">CHOOSE(H74,$B$55,$B$56,$B$57,$B$58)</f>
        <v>0.15</v>
      </c>
      <c r="J74" s="28" t="n">
        <v>10</v>
      </c>
      <c r="K74" s="28" t="n">
        <v>0</v>
      </c>
    </row>
    <row r="75" customFormat="false" ht="15" hidden="false" customHeight="false" outlineLevel="0" collapsed="false">
      <c r="A75" s="6" t="s">
        <v>226</v>
      </c>
      <c r="B75" s="28" t="n">
        <v>2</v>
      </c>
      <c r="C75" s="28" t="n">
        <v>1</v>
      </c>
      <c r="D75" s="25" t="n">
        <v>80</v>
      </c>
      <c r="E75" s="20" t="n">
        <v>1</v>
      </c>
      <c r="F75" s="29" t="n">
        <f aca="false">D75*E75</f>
        <v>80</v>
      </c>
      <c r="G75" s="28" t="n">
        <v>1</v>
      </c>
      <c r="H75" s="28" t="n">
        <v>4</v>
      </c>
      <c r="I75" s="22" t="n">
        <f aca="false">CHOOSE(H75,$B$55,$B$56,$B$57,$B$58)</f>
        <v>0.25</v>
      </c>
      <c r="J75" s="28" t="n">
        <v>10</v>
      </c>
      <c r="K75" s="28" t="n">
        <v>0</v>
      </c>
    </row>
    <row r="76" customFormat="false" ht="15" hidden="false" customHeight="false" outlineLevel="0" collapsed="false">
      <c r="A76" s="6" t="s">
        <v>227</v>
      </c>
      <c r="B76" s="28" t="n">
        <v>2</v>
      </c>
      <c r="C76" s="28" t="n">
        <v>1</v>
      </c>
      <c r="D76" s="29" t="n">
        <f aca="false">IntegraMotion!$F$64*Entorno!$B$15</f>
        <v>49.1556399161476</v>
      </c>
      <c r="E76" s="20" t="n">
        <v>1</v>
      </c>
      <c r="F76" s="29" t="n">
        <f aca="false">D76*E76</f>
        <v>49.1556399161476</v>
      </c>
      <c r="G76" s="28" t="n">
        <v>0</v>
      </c>
      <c r="H76" s="28" t="n">
        <v>1</v>
      </c>
      <c r="I76" s="22" t="n">
        <f aca="false">CHOOSE(H76,$B$55,$B$56,$B$57,$B$58)</f>
        <v>0.05</v>
      </c>
      <c r="J76" s="28" t="n">
        <v>10</v>
      </c>
      <c r="K76" s="28" t="n">
        <v>0</v>
      </c>
    </row>
    <row r="77" customFormat="false" ht="15" hidden="false" customHeight="false" outlineLevel="0" collapsed="false">
      <c r="A77" s="6" t="s">
        <v>228</v>
      </c>
      <c r="B77" s="28" t="n">
        <v>2</v>
      </c>
      <c r="C77" s="28" t="n">
        <v>1</v>
      </c>
      <c r="D77" s="29" t="n">
        <f aca="false">SUMPRODUCT(F73:F76,I73:I76)</f>
        <v>86.8477819958074</v>
      </c>
      <c r="E77" s="20" t="n">
        <v>1</v>
      </c>
      <c r="F77" s="29" t="n">
        <f aca="false">D77*E77</f>
        <v>86.8477819958074</v>
      </c>
      <c r="G77" s="28" t="n">
        <v>0</v>
      </c>
      <c r="K77" s="28" t="n">
        <v>0</v>
      </c>
    </row>
    <row r="78" customFormat="false" ht="15" hidden="false" customHeight="false" outlineLevel="0" collapsed="false">
      <c r="A78" s="9" t="s">
        <v>229</v>
      </c>
    </row>
    <row r="79" customFormat="false" ht="15" hidden="false" customHeight="false" outlineLevel="0" collapsed="false">
      <c r="A79" s="9" t="s">
        <v>230</v>
      </c>
    </row>
    <row r="80" customFormat="false" ht="15" hidden="false" customHeight="false" outlineLevel="0" collapsed="false">
      <c r="A80" s="5" t="s">
        <v>231</v>
      </c>
      <c r="F80" s="30" t="n">
        <f aca="false">SUMIFS(F62:F77,C62:C77,0)</f>
        <v>622.243624322401</v>
      </c>
    </row>
    <row r="81" customFormat="false" ht="15" hidden="false" customHeight="false" outlineLevel="0" collapsed="false">
      <c r="A81" s="5" t="s">
        <v>232</v>
      </c>
      <c r="F81" s="30" t="n">
        <f aca="false">SUMIFS(F62:F77,C62:C77,1)</f>
        <v>645.270088578622</v>
      </c>
    </row>
    <row r="82" customFormat="false" ht="15" hidden="false" customHeight="false" outlineLevel="0" collapsed="false">
      <c r="A82" s="6" t="s">
        <v>233</v>
      </c>
      <c r="F82" s="29" t="n">
        <f aca="false">SUMIFS(F62:F77,C62:C77,0,G62:G77,1)</f>
        <v>353.045530566667</v>
      </c>
    </row>
    <row r="83" customFormat="false" ht="15" hidden="false" customHeight="false" outlineLevel="0" collapsed="false">
      <c r="A83" s="6" t="s">
        <v>234</v>
      </c>
      <c r="F83" s="29" t="n">
        <f aca="false">SUMIFS(F62:F77,C62:C77,1,G62:G77,1)</f>
        <v>509.266666666667</v>
      </c>
    </row>
    <row r="84" customFormat="false" ht="15" hidden="false" customHeight="false" outlineLevel="0" collapsed="false">
      <c r="A84" s="6" t="s">
        <v>235</v>
      </c>
      <c r="F84" s="22" t="n">
        <f aca="false">(F72+F77)/(SUM(F62:F77)-F72-F77)</f>
        <v>0.165094743093587</v>
      </c>
    </row>
    <row r="85" customFormat="false" ht="15" hidden="false" customHeight="false" outlineLevel="0" collapsed="false">
      <c r="A85" s="5" t="s">
        <v>236</v>
      </c>
      <c r="F85" s="31" t="n">
        <f aca="false">$F$80+$F$81</f>
        <v>1267.51371290102</v>
      </c>
    </row>
    <row r="86" customFormat="false" ht="15" hidden="false" customHeight="false" outlineLevel="0" collapsed="false">
      <c r="A86" s="6" t="s">
        <v>237</v>
      </c>
      <c r="F86" s="29" t="n">
        <f aca="false">SUMPRODUCT(F62:F77,K62:K77)</f>
        <v>350.447750708403</v>
      </c>
    </row>
    <row r="87" customFormat="false" ht="15" hidden="false" customHeight="false" outlineLevel="0" collapsed="false">
      <c r="A87" s="6" t="s">
        <v>238</v>
      </c>
      <c r="F87" s="29" t="n">
        <f aca="false">$B$37*F67</f>
        <v>26.6666666666667</v>
      </c>
    </row>
    <row r="88" customFormat="false" ht="15" hidden="false" customHeight="false" outlineLevel="0" collapsed="false">
      <c r="A88" s="6" t="s">
        <v>239</v>
      </c>
      <c r="F88" s="29" t="n">
        <f aca="false">$B$38*$F$82</f>
        <v>35.3045530566667</v>
      </c>
    </row>
    <row r="90" customFormat="false" ht="15" hidden="false" customHeight="false" outlineLevel="0" collapsed="false">
      <c r="A90" s="3" t="s">
        <v>240</v>
      </c>
      <c r="B90" s="4"/>
      <c r="C90" s="4"/>
      <c r="D90" s="4"/>
      <c r="E90" s="4"/>
      <c r="F90" s="4"/>
      <c r="G90" s="4"/>
      <c r="H90" s="4"/>
      <c r="I90" s="4"/>
      <c r="J90" s="4"/>
      <c r="K90" s="4"/>
      <c r="L90" s="4"/>
    </row>
    <row r="91" customFormat="false" ht="30" hidden="false" customHeight="true" outlineLevel="0" collapsed="false">
      <c r="A91" s="17" t="s">
        <v>241</v>
      </c>
      <c r="B91" s="18" t="s">
        <v>204</v>
      </c>
      <c r="C91" s="18" t="s">
        <v>206</v>
      </c>
      <c r="D91" s="18" t="s">
        <v>207</v>
      </c>
      <c r="E91" s="18" t="s">
        <v>41</v>
      </c>
      <c r="F91" s="18" t="s">
        <v>242</v>
      </c>
      <c r="G91" s="18" t="s">
        <v>243</v>
      </c>
      <c r="H91" s="18" t="s">
        <v>244</v>
      </c>
      <c r="I91" s="18" t="s">
        <v>245</v>
      </c>
      <c r="J91" s="18" t="s">
        <v>246</v>
      </c>
    </row>
    <row r="92" customFormat="false" ht="15" hidden="false" customHeight="false" outlineLevel="0" collapsed="false">
      <c r="A92" s="6" t="s">
        <v>247</v>
      </c>
      <c r="B92" s="28" t="n">
        <v>1</v>
      </c>
      <c r="C92" s="29" t="n">
        <f aca="false">'Beneficios y costos'!$C$73</f>
        <v>11.76</v>
      </c>
      <c r="D92" s="20" t="n">
        <v>1</v>
      </c>
      <c r="E92" s="29" t="n">
        <f aca="false">C92*D92</f>
        <v>11.76</v>
      </c>
      <c r="F92" s="29" t="n">
        <f aca="false">'Beneficios y costos'!$D$73</f>
        <v>0</v>
      </c>
      <c r="G92" s="29" t="n">
        <f aca="false">F92*D92</f>
        <v>0</v>
      </c>
      <c r="H92" s="28" t="n">
        <v>3</v>
      </c>
      <c r="I92" s="22" t="n">
        <f aca="false">CHOOSE(H92,$B$16,$B$17,$B$18,$B$19,$B$20)</f>
        <v>0.75</v>
      </c>
      <c r="J92" s="29" t="n">
        <f aca="false">E92*I92</f>
        <v>8.82</v>
      </c>
    </row>
    <row r="93" customFormat="false" ht="15" hidden="false" customHeight="false" outlineLevel="0" collapsed="false">
      <c r="A93" s="6" t="s">
        <v>248</v>
      </c>
      <c r="B93" s="28" t="n">
        <v>1</v>
      </c>
      <c r="C93" s="29" t="n">
        <f aca="false">'Beneficios y costos'!$C$74</f>
        <v>52.7983953135048</v>
      </c>
      <c r="D93" s="20" t="n">
        <v>1</v>
      </c>
      <c r="E93" s="29" t="n">
        <f aca="false">C93*D93</f>
        <v>52.7983953135048</v>
      </c>
      <c r="F93" s="29" t="n">
        <f aca="false">'Beneficios y costos'!$D$74</f>
        <v>54.8252688906753</v>
      </c>
      <c r="G93" s="29" t="n">
        <f aca="false">F93*D93</f>
        <v>54.8252688906753</v>
      </c>
      <c r="H93" s="28" t="n">
        <v>3</v>
      </c>
      <c r="I93" s="22" t="n">
        <f aca="false">CHOOSE(H93,$B$16,$B$17,$B$18,$B$19,$B$20)</f>
        <v>0.75</v>
      </c>
      <c r="J93" s="29" t="n">
        <f aca="false">E93*I93</f>
        <v>39.5987964851286</v>
      </c>
    </row>
    <row r="94" customFormat="false" ht="15" hidden="false" customHeight="false" outlineLevel="0" collapsed="false">
      <c r="A94" s="6" t="s">
        <v>249</v>
      </c>
      <c r="B94" s="28" t="n">
        <v>1</v>
      </c>
      <c r="C94" s="29" t="n">
        <f aca="false">'Beneficios y costos'!$C$75</f>
        <v>52.0041597987519</v>
      </c>
      <c r="D94" s="22" t="n">
        <f aca="false">$B$29</f>
        <v>0.36</v>
      </c>
      <c r="E94" s="29" t="n">
        <f aca="false">C94*D94</f>
        <v>18.7214975275507</v>
      </c>
      <c r="F94" s="29" t="n">
        <f aca="false">'Beneficios y costos'!$D$75</f>
        <v>52.0041597987519</v>
      </c>
      <c r="G94" s="29" t="n">
        <f aca="false">F94*D94</f>
        <v>18.7214975275507</v>
      </c>
      <c r="H94" s="28" t="n">
        <v>3</v>
      </c>
      <c r="I94" s="22" t="n">
        <f aca="false">CHOOSE(H94,$B$16,$B$17,$B$18,$B$19,$B$20)</f>
        <v>0.75</v>
      </c>
      <c r="J94" s="29" t="n">
        <f aca="false">E94*I94</f>
        <v>14.041123145663</v>
      </c>
    </row>
    <row r="95" customFormat="false" ht="15" hidden="false" customHeight="false" outlineLevel="0" collapsed="false">
      <c r="A95" s="6" t="s">
        <v>250</v>
      </c>
      <c r="B95" s="28" t="n">
        <v>1</v>
      </c>
      <c r="C95" s="29" t="n">
        <f aca="false">'Beneficios y costos'!$C$76</f>
        <v>152.285</v>
      </c>
      <c r="D95" s="22" t="n">
        <f aca="false">$B$32</f>
        <v>0.22234625865975</v>
      </c>
      <c r="E95" s="29" t="n">
        <f aca="false">C95*D95</f>
        <v>33.86</v>
      </c>
      <c r="F95" s="25" t="n">
        <v>0</v>
      </c>
      <c r="G95" s="29" t="n">
        <f aca="false">F95*D95</f>
        <v>0</v>
      </c>
      <c r="H95" s="28" t="n">
        <v>4</v>
      </c>
      <c r="I95" s="22" t="n">
        <f aca="false">CHOOSE(H95,$B$16,$B$17,$B$18,$B$19,$B$20)</f>
        <v>0.5</v>
      </c>
      <c r="J95" s="29" t="n">
        <f aca="false">E95*I95</f>
        <v>16.93</v>
      </c>
    </row>
    <row r="96" customFormat="false" ht="15" hidden="false" customHeight="false" outlineLevel="0" collapsed="false">
      <c r="A96" s="6" t="s">
        <v>251</v>
      </c>
      <c r="B96" s="28" t="n">
        <v>1</v>
      </c>
      <c r="C96" s="29" t="n">
        <f aca="false">'Beneficios y costos'!$C$77</f>
        <v>91.4</v>
      </c>
      <c r="D96" s="22" t="n">
        <f aca="false">$B$29</f>
        <v>0.36</v>
      </c>
      <c r="E96" s="29" t="n">
        <f aca="false">C96*D96</f>
        <v>32.904</v>
      </c>
      <c r="F96" s="25" t="n">
        <v>0</v>
      </c>
      <c r="G96" s="29" t="n">
        <f aca="false">F96*D96</f>
        <v>0</v>
      </c>
      <c r="H96" s="28" t="n">
        <v>3</v>
      </c>
      <c r="I96" s="22" t="n">
        <f aca="false">CHOOSE(H96,$B$16,$B$17,$B$18,$B$19,$B$20)</f>
        <v>0.75</v>
      </c>
      <c r="J96" s="29" t="n">
        <f aca="false">E96*I96</f>
        <v>24.678</v>
      </c>
    </row>
    <row r="97" customFormat="false" ht="15" hidden="false" customHeight="false" outlineLevel="0" collapsed="false">
      <c r="A97" s="6" t="s">
        <v>252</v>
      </c>
      <c r="B97" s="28" t="n">
        <v>1</v>
      </c>
      <c r="C97" s="29" t="n">
        <f aca="false">'Beneficios y costos'!$C$78</f>
        <v>32.5056</v>
      </c>
      <c r="D97" s="20" t="n">
        <v>1</v>
      </c>
      <c r="E97" s="29" t="n">
        <f aca="false">C97*D97</f>
        <v>32.5056</v>
      </c>
      <c r="F97" s="29" t="n">
        <f aca="false">'Beneficios y costos'!$D$78</f>
        <v>33.86</v>
      </c>
      <c r="G97" s="29" t="n">
        <f aca="false">F97*D97</f>
        <v>33.86</v>
      </c>
      <c r="H97" s="28" t="n">
        <v>4</v>
      </c>
      <c r="I97" s="22" t="n">
        <f aca="false">CHOOSE(H97,$B$16,$B$17,$B$18,$B$19,$B$20)</f>
        <v>0.5</v>
      </c>
      <c r="J97" s="29" t="n">
        <f aca="false">E97*I97</f>
        <v>16.2528</v>
      </c>
    </row>
    <row r="98" customFormat="false" ht="15" hidden="false" customHeight="false" outlineLevel="0" collapsed="false">
      <c r="A98" s="6" t="s">
        <v>253</v>
      </c>
      <c r="B98" s="28" t="n">
        <v>2</v>
      </c>
      <c r="C98" s="29" t="n">
        <f aca="false">'Beneficios y costos'!$C$79</f>
        <v>70.7031730842444</v>
      </c>
      <c r="D98" s="20" t="n">
        <v>1</v>
      </c>
      <c r="E98" s="29" t="n">
        <f aca="false">C98*D98</f>
        <v>70.7031730842444</v>
      </c>
      <c r="F98" s="29" t="n">
        <f aca="false">'Beneficios y costos'!$D$79</f>
        <v>73.5484542250804</v>
      </c>
      <c r="G98" s="29" t="n">
        <f aca="false">F98*D98</f>
        <v>73.5484542250804</v>
      </c>
      <c r="H98" s="28" t="n">
        <v>3</v>
      </c>
      <c r="I98" s="22" t="n">
        <f aca="false">CHOOSE(H98,$B$16,$B$17,$B$18,$B$19,$B$20)</f>
        <v>0.75</v>
      </c>
      <c r="J98" s="29" t="n">
        <f aca="false">E98*I98</f>
        <v>53.0273798131833</v>
      </c>
    </row>
    <row r="99" customFormat="false" ht="15" hidden="false" customHeight="false" outlineLevel="0" collapsed="false">
      <c r="A99" s="6" t="s">
        <v>254</v>
      </c>
      <c r="B99" s="28" t="n">
        <v>2</v>
      </c>
      <c r="C99" s="29" t="n">
        <f aca="false">'Beneficios y costos'!$C$80</f>
        <v>11.76</v>
      </c>
      <c r="D99" s="20" t="n">
        <v>1</v>
      </c>
      <c r="E99" s="29" t="n">
        <f aca="false">C99*D99</f>
        <v>11.76</v>
      </c>
      <c r="F99" s="25" t="n">
        <v>0</v>
      </c>
      <c r="G99" s="29" t="n">
        <f aca="false">F99*D99</f>
        <v>0</v>
      </c>
      <c r="H99" s="28" t="n">
        <v>3</v>
      </c>
      <c r="I99" s="22" t="n">
        <f aca="false">CHOOSE(H99,$B$16,$B$17,$B$18,$B$19,$B$20)</f>
        <v>0.75</v>
      </c>
      <c r="J99" s="29" t="n">
        <f aca="false">E99*I99</f>
        <v>8.82</v>
      </c>
    </row>
    <row r="100" customFormat="false" ht="15" hidden="false" customHeight="false" outlineLevel="0" collapsed="false">
      <c r="A100" s="6" t="s">
        <v>255</v>
      </c>
      <c r="B100" s="28" t="n">
        <v>2</v>
      </c>
      <c r="C100" s="29" t="n">
        <f aca="false">'Beneficios y costos'!$C$81</f>
        <v>121.8</v>
      </c>
      <c r="D100" s="22" t="n">
        <f aca="false">'Beneficios y costos'!$B$25</f>
        <v>0.333333333333333</v>
      </c>
      <c r="E100" s="29" t="n">
        <f aca="false">C100*D100</f>
        <v>40.6</v>
      </c>
      <c r="F100" s="25" t="n">
        <v>0</v>
      </c>
      <c r="G100" s="29" t="n">
        <f aca="false">F100*D100</f>
        <v>0</v>
      </c>
      <c r="H100" s="28" t="n">
        <v>4</v>
      </c>
      <c r="I100" s="22" t="n">
        <f aca="false">CHOOSE(H100,$B$16,$B$17,$B$18,$B$19,$B$20)</f>
        <v>0.5</v>
      </c>
      <c r="J100" s="29" t="n">
        <f aca="false">E100*I100</f>
        <v>20.3</v>
      </c>
    </row>
    <row r="101" customFormat="false" ht="15" hidden="false" customHeight="false" outlineLevel="0" collapsed="false">
      <c r="A101" s="6" t="s">
        <v>256</v>
      </c>
      <c r="B101" s="28" t="n">
        <v>2</v>
      </c>
      <c r="C101" s="29" t="n">
        <f aca="false">'Beneficios y costos'!$C$82</f>
        <v>36.1108213118971</v>
      </c>
      <c r="D101" s="20" t="n">
        <v>1</v>
      </c>
      <c r="E101" s="29" t="n">
        <f aca="false">C101*D101</f>
        <v>36.1108213118971</v>
      </c>
      <c r="F101" s="29" t="n">
        <f aca="false">'Beneficios y costos'!$D$82</f>
        <v>36.1108213118971</v>
      </c>
      <c r="G101" s="29" t="n">
        <f aca="false">F101*D101</f>
        <v>36.1108213118971</v>
      </c>
      <c r="H101" s="28" t="n">
        <v>1</v>
      </c>
      <c r="I101" s="22" t="n">
        <f aca="false">CHOOSE(H101,$B$16,$B$17,$B$18,$B$19,$B$20)</f>
        <v>1</v>
      </c>
      <c r="J101" s="29" t="n">
        <f aca="false">E101*I101</f>
        <v>36.1108213118971</v>
      </c>
    </row>
    <row r="102" customFormat="false" ht="15" hidden="false" customHeight="false" outlineLevel="0" collapsed="false">
      <c r="A102" s="6" t="s">
        <v>257</v>
      </c>
      <c r="B102" s="28" t="n">
        <v>2</v>
      </c>
      <c r="C102" s="29" t="n">
        <f aca="false">'Beneficios y costos'!$C$83</f>
        <v>72</v>
      </c>
      <c r="D102" s="20" t="n">
        <v>1</v>
      </c>
      <c r="E102" s="29" t="n">
        <f aca="false">C102*D102</f>
        <v>72</v>
      </c>
      <c r="F102" s="25" t="n">
        <v>0</v>
      </c>
      <c r="G102" s="29" t="n">
        <f aca="false">F102*D102</f>
        <v>0</v>
      </c>
      <c r="H102" s="28" t="n">
        <v>4</v>
      </c>
      <c r="I102" s="22" t="n">
        <f aca="false">CHOOSE(H102,$B$16,$B$17,$B$18,$B$19,$B$20)</f>
        <v>0.5</v>
      </c>
      <c r="J102" s="29" t="n">
        <f aca="false">E102*I102</f>
        <v>36</v>
      </c>
    </row>
    <row r="103" customFormat="false" ht="15" hidden="false" customHeight="false" outlineLevel="0" collapsed="false">
      <c r="A103" s="9" t="s">
        <v>258</v>
      </c>
    </row>
    <row r="104" customFormat="false" ht="15" hidden="false" customHeight="false" outlineLevel="0" collapsed="false">
      <c r="A104" s="9" t="s">
        <v>259</v>
      </c>
    </row>
    <row r="105" customFormat="false" ht="15" hidden="false" customHeight="false" outlineLevel="0" collapsed="false">
      <c r="A105" s="5" t="s">
        <v>260</v>
      </c>
      <c r="E105" s="30" t="n">
        <f aca="false">SUMIFS(E92:E102,B92:B102,1)</f>
        <v>182.549492841056</v>
      </c>
    </row>
    <row r="106" customFormat="false" ht="15" hidden="false" customHeight="false" outlineLevel="0" collapsed="false">
      <c r="A106" s="5" t="s">
        <v>261</v>
      </c>
      <c r="E106" s="30" t="n">
        <f aca="false">SUMIFS(E92:E102,B92:B102,2)</f>
        <v>231.173994396141</v>
      </c>
    </row>
    <row r="107" customFormat="false" ht="15" hidden="false" customHeight="false" outlineLevel="0" collapsed="false">
      <c r="A107" s="6" t="s">
        <v>262</v>
      </c>
      <c r="G107" s="29" t="n">
        <f aca="false">SUMIFS(G92:G102,B92:B102,1)</f>
        <v>107.406766418226</v>
      </c>
    </row>
    <row r="108" customFormat="false" ht="15" hidden="false" customHeight="false" outlineLevel="0" collapsed="false">
      <c r="A108" s="6" t="s">
        <v>263</v>
      </c>
      <c r="G108" s="29" t="n">
        <f aca="false">SUMIFS(G92:G102,B92:B102,2)</f>
        <v>109.659275536978</v>
      </c>
    </row>
    <row r="109" customFormat="false" ht="15" hidden="false" customHeight="false" outlineLevel="0" collapsed="false">
      <c r="A109" s="6" t="s">
        <v>264</v>
      </c>
      <c r="J109" s="29" t="n">
        <f aca="false">SUMIFS(J92:J102,B92:B102,1)</f>
        <v>120.320719630792</v>
      </c>
    </row>
    <row r="110" customFormat="false" ht="15" hidden="false" customHeight="false" outlineLevel="0" collapsed="false">
      <c r="A110" s="6" t="s">
        <v>265</v>
      </c>
      <c r="J110" s="29" t="n">
        <f aca="false">SUMIFS(J92:J102,B92:B102,2)</f>
        <v>154.25820112508</v>
      </c>
    </row>
    <row r="111" customFormat="false" ht="15" hidden="false" customHeight="false" outlineLevel="0" collapsed="false">
      <c r="A111" s="5" t="s">
        <v>266</v>
      </c>
      <c r="E111" s="31" t="n">
        <f aca="false">$E$105+$E$106</f>
        <v>413.723487237197</v>
      </c>
    </row>
    <row r="112" customFormat="false" ht="15" hidden="false" customHeight="false" outlineLevel="0" collapsed="false">
      <c r="A112" s="6" t="s">
        <v>267</v>
      </c>
      <c r="E112" s="29" t="n">
        <f aca="false">($B$21+$B$54)*($F$82+$F$83)+$B$22+'Beneficios y costos'!$D$118</f>
        <v>88.8065043646377</v>
      </c>
    </row>
    <row r="114" customFormat="false" ht="15" hidden="false" customHeight="false" outlineLevel="0" collapsed="false">
      <c r="A114" s="3" t="s">
        <v>268</v>
      </c>
      <c r="B114" s="4"/>
      <c r="C114" s="4"/>
      <c r="D114" s="4"/>
      <c r="E114" s="4"/>
      <c r="F114" s="4"/>
      <c r="G114" s="4"/>
      <c r="H114" s="4"/>
      <c r="I114" s="4"/>
      <c r="J114" s="4"/>
      <c r="K114" s="4"/>
      <c r="L114" s="4"/>
    </row>
    <row r="115" customFormat="false" ht="15" hidden="false" customHeight="false" outlineLevel="0" collapsed="false">
      <c r="A115" s="17" t="s">
        <v>189</v>
      </c>
      <c r="B115" s="18" t="s">
        <v>269</v>
      </c>
      <c r="C115" s="18" t="s">
        <v>270</v>
      </c>
      <c r="D115" s="18" t="s">
        <v>271</v>
      </c>
      <c r="E115" s="18" t="s">
        <v>272</v>
      </c>
      <c r="F115" s="18" t="s">
        <v>273</v>
      </c>
      <c r="G115" s="18" t="s">
        <v>274</v>
      </c>
      <c r="H115" s="18" t="s">
        <v>275</v>
      </c>
      <c r="I115" s="18" t="s">
        <v>276</v>
      </c>
      <c r="J115" s="18" t="s">
        <v>277</v>
      </c>
      <c r="K115" s="18" t="s">
        <v>278</v>
      </c>
      <c r="L115" s="18" t="s">
        <v>279</v>
      </c>
    </row>
    <row r="116" customFormat="false" ht="15" hidden="false" customHeight="false" outlineLevel="0" collapsed="false">
      <c r="A116" s="9" t="s">
        <v>280</v>
      </c>
      <c r="B116" s="32" t="n">
        <v>0</v>
      </c>
      <c r="C116" s="32" t="n">
        <v>1</v>
      </c>
      <c r="D116" s="32" t="n">
        <v>2</v>
      </c>
      <c r="E116" s="32" t="n">
        <v>3</v>
      </c>
      <c r="F116" s="32" t="n">
        <v>4</v>
      </c>
      <c r="G116" s="32" t="n">
        <v>5</v>
      </c>
      <c r="H116" s="32" t="n">
        <v>6</v>
      </c>
      <c r="I116" s="32" t="n">
        <v>7</v>
      </c>
      <c r="J116" s="32" t="n">
        <v>8</v>
      </c>
      <c r="K116" s="32" t="n">
        <v>9</v>
      </c>
      <c r="L116" s="32" t="n">
        <v>10</v>
      </c>
    </row>
    <row r="117" customFormat="false" ht="15" hidden="false" customHeight="false" outlineLevel="0" collapsed="false">
      <c r="A117" s="9" t="s">
        <v>281</v>
      </c>
      <c r="B117" s="33" t="n">
        <f aca="false">CHOOSE($B$6,Entorno!B$7,Entorno!B$8,Entorno!B$9)</f>
        <v>0.06</v>
      </c>
      <c r="C117" s="33" t="n">
        <f aca="false">CHOOSE($B$6,Entorno!C$7,Entorno!C$8,Entorno!C$9)</f>
        <v>0.05</v>
      </c>
      <c r="D117" s="33" t="n">
        <f aca="false">CHOOSE($B$6,Entorno!D$7,Entorno!D$8,Entorno!D$9)</f>
        <v>0.045</v>
      </c>
      <c r="E117" s="33" t="n">
        <f aca="false">CHOOSE($B$6,Entorno!E$7,Entorno!E$8,Entorno!E$9)</f>
        <v>0.04</v>
      </c>
      <c r="F117" s="33" t="n">
        <f aca="false">CHOOSE($B$6,Entorno!F$7,Entorno!F$8,Entorno!F$9)</f>
        <v>0.04</v>
      </c>
      <c r="G117" s="33" t="n">
        <f aca="false">CHOOSE($B$6,Entorno!G$7,Entorno!G$8,Entorno!G$9)</f>
        <v>0.04</v>
      </c>
      <c r="H117" s="33" t="n">
        <f aca="false">CHOOSE($B$6,Entorno!H$7,Entorno!H$8,Entorno!H$9)</f>
        <v>0.04</v>
      </c>
      <c r="I117" s="33" t="n">
        <f aca="false">CHOOSE($B$6,Entorno!I$7,Entorno!I$8,Entorno!I$9)</f>
        <v>0.04</v>
      </c>
      <c r="J117" s="33" t="n">
        <f aca="false">CHOOSE($B$6,Entorno!J$7,Entorno!J$8,Entorno!J$9)</f>
        <v>0.04</v>
      </c>
      <c r="K117" s="33" t="n">
        <f aca="false">CHOOSE($B$6,Entorno!K$7,Entorno!K$8,Entorno!K$9)</f>
        <v>0.04</v>
      </c>
      <c r="L117" s="33" t="n">
        <f aca="false">CHOOSE($B$6,Entorno!L$7,Entorno!L$8,Entorno!L$9)</f>
        <v>0.04</v>
      </c>
    </row>
    <row r="118" customFormat="false" ht="15" hidden="false" customHeight="false" outlineLevel="0" collapsed="false">
      <c r="A118" s="9" t="s">
        <v>282</v>
      </c>
      <c r="B118" s="34" t="n">
        <f aca="false">1+B117</f>
        <v>1.06</v>
      </c>
      <c r="C118" s="34" t="n">
        <f aca="false">B118*(1+C117)</f>
        <v>1.113</v>
      </c>
      <c r="D118" s="34" t="n">
        <f aca="false">C118*(1+D117)</f>
        <v>1.163085</v>
      </c>
      <c r="E118" s="34" t="n">
        <f aca="false">D118*(1+E117)</f>
        <v>1.2096084</v>
      </c>
      <c r="F118" s="34" t="n">
        <f aca="false">E118*(1+F117)</f>
        <v>1.257992736</v>
      </c>
      <c r="G118" s="34" t="n">
        <f aca="false">F118*(1+G117)</f>
        <v>1.30831244544</v>
      </c>
      <c r="H118" s="34" t="n">
        <f aca="false">G118*(1+H117)</f>
        <v>1.3606449432576</v>
      </c>
      <c r="I118" s="34" t="n">
        <f aca="false">H118*(1+I117)</f>
        <v>1.4150707409879</v>
      </c>
      <c r="J118" s="34" t="n">
        <f aca="false">I118*(1+J117)</f>
        <v>1.47167357062742</v>
      </c>
      <c r="K118" s="34" t="n">
        <f aca="false">J118*(1+K117)</f>
        <v>1.53054051345252</v>
      </c>
      <c r="L118" s="34" t="n">
        <f aca="false">K118*(1+L117)</f>
        <v>1.59176213399062</v>
      </c>
    </row>
    <row r="119" customFormat="false" ht="15" hidden="false" customHeight="false" outlineLevel="0" collapsed="false">
      <c r="A119" s="9" t="s">
        <v>283</v>
      </c>
      <c r="B119" s="34" t="n">
        <f aca="false">(1+Entorno!$B$12)/(1+B117)</f>
        <v>1.02358490566038</v>
      </c>
      <c r="C119" s="34" t="n">
        <f aca="false">B119*(1+Entorno!$B$13)</f>
        <v>1.02870283018868</v>
      </c>
      <c r="D119" s="34" t="n">
        <f aca="false">C119*(1+Entorno!$B$13)</f>
        <v>1.03384634433962</v>
      </c>
      <c r="E119" s="34" t="n">
        <f aca="false">D119*(1+Entorno!$B$13)</f>
        <v>1.03901557606132</v>
      </c>
      <c r="F119" s="34" t="n">
        <f aca="false">E119*(1+Entorno!$B$13)</f>
        <v>1.04421065394163</v>
      </c>
      <c r="G119" s="34" t="n">
        <f aca="false">F119*(1+Entorno!$B$13)</f>
        <v>1.04943170721133</v>
      </c>
      <c r="H119" s="34" t="n">
        <f aca="false">G119*(1+Entorno!$B$13)</f>
        <v>1.05467886574739</v>
      </c>
      <c r="I119" s="34" t="n">
        <f aca="false">H119*(1+Entorno!$B$13)</f>
        <v>1.05995226007613</v>
      </c>
      <c r="J119" s="34" t="n">
        <f aca="false">I119*(1+Entorno!$B$13)</f>
        <v>1.06525202137651</v>
      </c>
      <c r="K119" s="34" t="n">
        <f aca="false">J119*(1+Entorno!$B$13)</f>
        <v>1.07057828148339</v>
      </c>
      <c r="L119" s="34" t="n">
        <f aca="false">K119*(1+Entorno!$B$13)</f>
        <v>1.07593117289081</v>
      </c>
    </row>
    <row r="120" customFormat="false" ht="15" hidden="false" customHeight="false" outlineLevel="0" collapsed="false">
      <c r="A120" s="9" t="s">
        <v>284</v>
      </c>
      <c r="B120" s="34" t="n">
        <f aca="false">1/B118</f>
        <v>0.943396226415094</v>
      </c>
      <c r="C120" s="34" t="n">
        <f aca="false">1/C118</f>
        <v>0.898472596585804</v>
      </c>
      <c r="D120" s="34" t="n">
        <f aca="false">1/D118</f>
        <v>0.859782389077324</v>
      </c>
      <c r="E120" s="34" t="n">
        <f aca="false">1/E118</f>
        <v>0.826713835651273</v>
      </c>
      <c r="F120" s="34" t="n">
        <f aca="false">1/F118</f>
        <v>0.794917149664686</v>
      </c>
      <c r="G120" s="34" t="n">
        <f aca="false">1/G118</f>
        <v>0.764343413139121</v>
      </c>
      <c r="H120" s="34" t="n">
        <f aca="false">1/H118</f>
        <v>0.734945589556847</v>
      </c>
      <c r="I120" s="34" t="n">
        <f aca="false">1/I118</f>
        <v>0.706678451496968</v>
      </c>
      <c r="J120" s="34" t="n">
        <f aca="false">1/J118</f>
        <v>0.679498511054777</v>
      </c>
      <c r="K120" s="34" t="n">
        <f aca="false">1/K118</f>
        <v>0.653363952937286</v>
      </c>
      <c r="L120" s="34" t="n">
        <f aca="false">1/L118</f>
        <v>0.628234570132006</v>
      </c>
    </row>
    <row r="121" customFormat="false" ht="15" hidden="false" customHeight="false" outlineLevel="0" collapsed="false">
      <c r="A121" s="6" t="s">
        <v>202</v>
      </c>
      <c r="B121" s="35" t="n">
        <f aca="false">IF(B$116=0,$F$80,IF(B$116=1,$F$81*1,0))*1</f>
        <v>622.243624322401</v>
      </c>
      <c r="C121" s="35" t="n">
        <f aca="false">IF(C$116=0,$F$80,IF(C$116=1,$F$81*1,0))*1</f>
        <v>645.270088578622</v>
      </c>
      <c r="D121" s="35" t="n">
        <f aca="false">IF(D$116=0,$F$80,IF(D$116=1,$F$81*1,0))*1</f>
        <v>0</v>
      </c>
      <c r="E121" s="35" t="n">
        <f aca="false">IF(E$116=0,$F$80,IF(E$116=1,$F$81*1,0))*1</f>
        <v>0</v>
      </c>
      <c r="F121" s="35" t="n">
        <f aca="false">IF(F$116=0,$F$80,IF(F$116=1,$F$81*1,0))*1</f>
        <v>0</v>
      </c>
      <c r="G121" s="35" t="n">
        <f aca="false">IF(G$116=0,$F$80,IF(G$116=1,$F$81*1,0))*1</f>
        <v>0</v>
      </c>
      <c r="H121" s="35" t="n">
        <f aca="false">IF(H$116=0,$F$80,IF(H$116=1,$F$81*1,0))*1</f>
        <v>0</v>
      </c>
      <c r="I121" s="35" t="n">
        <f aca="false">IF(I$116=0,$F$80,IF(I$116=1,$F$81*1,0))*1</f>
        <v>0</v>
      </c>
      <c r="J121" s="35" t="n">
        <f aca="false">IF(J$116=0,$F$80,IF(J$116=1,$F$81*1,0))*1</f>
        <v>0</v>
      </c>
      <c r="K121" s="35" t="n">
        <f aca="false">IF(K$116=0,$F$80,IF(K$116=1,$F$81*1,0))*1</f>
        <v>0</v>
      </c>
      <c r="L121" s="35" t="n">
        <f aca="false">IF(L$116=0,$F$80,IF(L$116=1,$F$81*1,0))*1</f>
        <v>0</v>
      </c>
    </row>
    <row r="122" customFormat="false" ht="15" hidden="false" customHeight="false" outlineLevel="0" collapsed="false">
      <c r="A122" s="6" t="s">
        <v>285</v>
      </c>
      <c r="B122" s="35" t="n">
        <f aca="false">IF(B$116=5,$F$87,IF(B$116=6,$F$88,0))*1</f>
        <v>0</v>
      </c>
      <c r="C122" s="35" t="n">
        <f aca="false">IF(C$116=5,$F$87,IF(C$116=6,$F$88,0))*1</f>
        <v>0</v>
      </c>
      <c r="D122" s="35" t="n">
        <f aca="false">IF(D$116=5,$F$87,IF(D$116=6,$F$88,0))*1</f>
        <v>0</v>
      </c>
      <c r="E122" s="35" t="n">
        <f aca="false">IF(E$116=5,$F$87,IF(E$116=6,$F$88,0))*1</f>
        <v>0</v>
      </c>
      <c r="F122" s="35" t="n">
        <f aca="false">IF(F$116=5,$F$87,IF(F$116=6,$F$88,0))*1</f>
        <v>0</v>
      </c>
      <c r="G122" s="35" t="n">
        <f aca="false">IF(G$116=5,$F$87,IF(G$116=6,$F$88,0))*1</f>
        <v>26.6666666666667</v>
      </c>
      <c r="H122" s="35" t="n">
        <f aca="false">IF(H$116=5,$F$87,IF(H$116=6,$F$88,0))*1</f>
        <v>35.3045530566667</v>
      </c>
      <c r="I122" s="35" t="n">
        <f aca="false">IF(I$116=5,$F$87,IF(I$116=6,$F$88,0))*1</f>
        <v>0</v>
      </c>
      <c r="J122" s="35" t="n">
        <f aca="false">IF(J$116=5,$F$87,IF(J$116=6,$F$88,0))*1</f>
        <v>0</v>
      </c>
      <c r="K122" s="35" t="n">
        <f aca="false">IF(K$116=5,$F$87,IF(K$116=6,$F$88,0))*1</f>
        <v>0</v>
      </c>
      <c r="L122" s="35" t="n">
        <f aca="false">IF(L$116=5,$F$87,IF(L$116=6,$F$88,0))*1</f>
        <v>0</v>
      </c>
    </row>
    <row r="123" customFormat="false" ht="15" hidden="false" customHeight="false" outlineLevel="0" collapsed="false">
      <c r="A123" s="6" t="s">
        <v>286</v>
      </c>
      <c r="B123" s="35" t="n">
        <f aca="false">$B$36*(IF(B$116=0,SUMPRODUCT(($C$62:$C$77=0)*($H$62:$H$77&gt;0)*($J$62:$J$77&gt;0)*$F$62:$F$77*(1+$I$62:$I$77)),IF(B$116=1,SUMPRODUCT(($C$62:$C$77=1)*($H$62:$H$77&gt;0)*($J$62:$J$77&gt;0)*$F$62:$F$77*(1+$I$62:$I$77))*1,0))*1+B122)</f>
        <v>99.347875488093</v>
      </c>
      <c r="C123" s="35" t="n">
        <f aca="false">$B$36*(IF(C$116=0,SUMPRODUCT(($C$62:$C$77=0)*($H$62:$H$77&gt;0)*($J$62:$J$77&gt;0)*$F$62:$F$77*(1+$I$62:$I$77)),IF(C$116=1,SUMPRODUCT(($C$62:$C$77=1)*($H$62:$H$77&gt;0)*($J$62:$J$77&gt;0)*$F$62:$F$77*(1+$I$62:$I$77))*1,0))*1+C122)</f>
        <v>122.601316829938</v>
      </c>
      <c r="D123" s="35" t="n">
        <f aca="false">$B$36*(IF(D$116=0,SUMPRODUCT(($C$62:$C$77=0)*($H$62:$H$77&gt;0)*($J$62:$J$77&gt;0)*$F$62:$F$77*(1+$I$62:$I$77)),IF(D$116=1,SUMPRODUCT(($C$62:$C$77=1)*($H$62:$H$77&gt;0)*($J$62:$J$77&gt;0)*$F$62:$F$77*(1+$I$62:$I$77))*1,0))*1+D122)</f>
        <v>0</v>
      </c>
      <c r="E123" s="35" t="n">
        <f aca="false">$B$36*(IF(E$116=0,SUMPRODUCT(($C$62:$C$77=0)*($H$62:$H$77&gt;0)*($J$62:$J$77&gt;0)*$F$62:$F$77*(1+$I$62:$I$77)),IF(E$116=1,SUMPRODUCT(($C$62:$C$77=1)*($H$62:$H$77&gt;0)*($J$62:$J$77&gt;0)*$F$62:$F$77*(1+$I$62:$I$77))*1,0))*1+E122)</f>
        <v>0</v>
      </c>
      <c r="F123" s="35" t="n">
        <f aca="false">$B$36*(IF(F$116=0,SUMPRODUCT(($C$62:$C$77=0)*($H$62:$H$77&gt;0)*($J$62:$J$77&gt;0)*$F$62:$F$77*(1+$I$62:$I$77)),IF(F$116=1,SUMPRODUCT(($C$62:$C$77=1)*($H$62:$H$77&gt;0)*($J$62:$J$77&gt;0)*$F$62:$F$77*(1+$I$62:$I$77))*1,0))*1+F122)</f>
        <v>0</v>
      </c>
      <c r="G123" s="35" t="n">
        <f aca="false">$B$36*(IF(G$116=0,SUMPRODUCT(($C$62:$C$77=0)*($H$62:$H$77&gt;0)*($J$62:$J$77&gt;0)*$F$62:$F$77*(1+$I$62:$I$77)),IF(G$116=1,SUMPRODUCT(($C$62:$C$77=1)*($H$62:$H$77&gt;0)*($J$62:$J$77&gt;0)*$F$62:$F$77*(1+$I$62:$I$77))*1,0))*1+G122)</f>
        <v>5.06666666666667</v>
      </c>
      <c r="H123" s="35" t="n">
        <f aca="false">$B$36*(IF(H$116=0,SUMPRODUCT(($C$62:$C$77=0)*($H$62:$H$77&gt;0)*($J$62:$J$77&gt;0)*$F$62:$F$77*(1+$I$62:$I$77)),IF(H$116=1,SUMPRODUCT(($C$62:$C$77=1)*($H$62:$H$77&gt;0)*($J$62:$J$77&gt;0)*$F$62:$F$77*(1+$I$62:$I$77))*1,0))*1+H122)</f>
        <v>6.70786508076667</v>
      </c>
      <c r="I123" s="35" t="n">
        <f aca="false">$B$36*(IF(I$116=0,SUMPRODUCT(($C$62:$C$77=0)*($H$62:$H$77&gt;0)*($J$62:$J$77&gt;0)*$F$62:$F$77*(1+$I$62:$I$77)),IF(I$116=1,SUMPRODUCT(($C$62:$C$77=1)*($H$62:$H$77&gt;0)*($J$62:$J$77&gt;0)*$F$62:$F$77*(1+$I$62:$I$77))*1,0))*1+I122)</f>
        <v>0</v>
      </c>
      <c r="J123" s="35" t="n">
        <f aca="false">$B$36*(IF(J$116=0,SUMPRODUCT(($C$62:$C$77=0)*($H$62:$H$77&gt;0)*($J$62:$J$77&gt;0)*$F$62:$F$77*(1+$I$62:$I$77)),IF(J$116=1,SUMPRODUCT(($C$62:$C$77=1)*($H$62:$H$77&gt;0)*($J$62:$J$77&gt;0)*$F$62:$F$77*(1+$I$62:$I$77))*1,0))*1+J122)</f>
        <v>0</v>
      </c>
      <c r="K123" s="35" t="n">
        <f aca="false">$B$36*(IF(K$116=0,SUMPRODUCT(($C$62:$C$77=0)*($H$62:$H$77&gt;0)*($J$62:$J$77&gt;0)*$F$62:$F$77*(1+$I$62:$I$77)),IF(K$116=1,SUMPRODUCT(($C$62:$C$77=1)*($H$62:$H$77&gt;0)*($J$62:$J$77&gt;0)*$F$62:$F$77*(1+$I$62:$I$77))*1,0))*1+K122)</f>
        <v>0</v>
      </c>
      <c r="L123" s="35" t="n">
        <f aca="false">$B$36*(IF(L$116=0,SUMPRODUCT(($C$62:$C$77=0)*($H$62:$H$77&gt;0)*($J$62:$J$77&gt;0)*$F$62:$F$77*(1+$I$62:$I$77)),IF(L$116=1,SUMPRODUCT(($C$62:$C$77=1)*($H$62:$H$77&gt;0)*($J$62:$J$77&gt;0)*$F$62:$F$77*(1+$I$62:$I$77))*1,0))*1+L122)</f>
        <v>0</v>
      </c>
    </row>
    <row r="124" customFormat="false" ht="15" hidden="false" customHeight="false" outlineLevel="0" collapsed="false">
      <c r="A124" s="6" t="s">
        <v>260</v>
      </c>
      <c r="B124" s="35" t="n">
        <f aca="false">IF(B$116=0,(0*$J$109+(1-0)*$E$105)*$B$12*$B$13/12*1,((0*$J$109+(1-0)*$E$105)+(0*$J$92+(1-0)*$E$92)*(B119-1))*IF(B$116=1,$B$12,1))*1</f>
        <v>45.6373732102639</v>
      </c>
      <c r="C124" s="35" t="n">
        <f aca="false">IF(C$116=0,(0*$J$109+(1-0)*$E$105)*$B$12*$B$13/12*1,((0*$J$109+(1-0)*$E$105)+(0*$J$92+(1-0)*$E$92)*(C119-1))*IF(C$116=1,$B$12,1))*1</f>
        <v>137.165278593056</v>
      </c>
      <c r="D124" s="35" t="n">
        <f aca="false">IF(D$116=0,(0*$J$109+(1-0)*$E$105)*$B$12*$B$13/12*1,((0*$J$109+(1-0)*$E$105)+(0*$J$92+(1-0)*$E$92)*(D119-1))*IF(D$116=1,$B$12,1))*1</f>
        <v>182.947525850489</v>
      </c>
      <c r="E124" s="35" t="n">
        <f aca="false">IF(E$116=0,(0*$J$109+(1-0)*$E$105)*$B$12*$B$13/12*1,((0*$J$109+(1-0)*$E$105)+(0*$J$92+(1-0)*$E$92)*(E119-1))*IF(E$116=1,$B$12,1))*1</f>
        <v>183.008316015537</v>
      </c>
      <c r="F124" s="35" t="n">
        <f aca="false">IF(F$116=0,(0*$J$109+(1-0)*$E$105)*$B$12*$B$13/12*1,((0*$J$109+(1-0)*$E$105)+(0*$J$92+(1-0)*$E$92)*(F119-1))*IF(F$116=1,$B$12,1))*1</f>
        <v>183.069410131409</v>
      </c>
      <c r="G124" s="35" t="n">
        <f aca="false">IF(G$116=0,(0*$J$109+(1-0)*$E$105)*$B$12*$B$13/12*1,((0*$J$109+(1-0)*$E$105)+(0*$J$92+(1-0)*$E$92)*(G119-1))*IF(G$116=1,$B$12,1))*1</f>
        <v>183.130809717861</v>
      </c>
      <c r="H124" s="35" t="n">
        <f aca="false">IF(H$116=0,(0*$J$109+(1-0)*$E$105)*$B$12*$B$13/12*1,((0*$J$109+(1-0)*$E$105)+(0*$J$92+(1-0)*$E$92)*(H119-1))*IF(H$116=1,$B$12,1))*1</f>
        <v>183.192516302245</v>
      </c>
      <c r="I124" s="35" t="n">
        <f aca="false">IF(I$116=0,(0*$J$109+(1-0)*$E$105)*$B$12*$B$13/12*1,((0*$J$109+(1-0)*$E$105)+(0*$J$92+(1-0)*$E$92)*(I119-1))*IF(I$116=1,$B$12,1))*1</f>
        <v>183.254531419551</v>
      </c>
      <c r="J124" s="35" t="n">
        <f aca="false">IF(J$116=0,(0*$J$109+(1-0)*$E$105)*$B$12*$B$13/12*1,((0*$J$109+(1-0)*$E$105)+(0*$J$92+(1-0)*$E$92)*(J119-1))*IF(J$116=1,$B$12,1))*1</f>
        <v>183.316856612443</v>
      </c>
      <c r="K124" s="35" t="n">
        <f aca="false">IF(K$116=0,(0*$J$109+(1-0)*$E$105)*$B$12*$B$13/12*1,((0*$J$109+(1-0)*$E$105)+(0*$J$92+(1-0)*$E$92)*(K119-1))*IF(K$116=1,$B$12,1))*1</f>
        <v>183.3794934313</v>
      </c>
      <c r="L124" s="35" t="n">
        <f aca="false">IF(L$116=0,(0*$J$109+(1-0)*$E$105)*$B$12*$B$13/12*1,((0*$J$109+(1-0)*$E$105)+(0*$J$92+(1-0)*$E$92)*(L119-1))*IF(L$116=1,$B$12,1))*1</f>
        <v>183.442443434251</v>
      </c>
    </row>
    <row r="125" customFormat="false" ht="15" hidden="false" customHeight="false" outlineLevel="0" collapsed="false">
      <c r="A125" s="6" t="s">
        <v>261</v>
      </c>
      <c r="B125" s="35" t="n">
        <f aca="false">IF(B$116&lt;=1,0,(((0*$J$110+(1-0)*$E$106)-(0*$J$99+(1-0)*$E$99)+1*(0*$J$99+(1-0)*$E$99)-(1-1)*(0*$J$102+(1-0)*$E$102))+(1*(0*$J$99+(1-0)*$E$99)+1*(0*$J$102+(1-0)*$E$102))*(B119-1))*IF(B$116=2,$B$12,1)+IF(B$116=2,$B$14*1*(0*$J$102+(1-0)*$E$102)*B119,0))*1*1</f>
        <v>0</v>
      </c>
      <c r="C125" s="35" t="n">
        <f aca="false">IF(C$116&lt;=1,0,(((0*$J$110+(1-0)*$E$106)-(0*$J$99+(1-0)*$E$99)+1*(0*$J$99+(1-0)*$E$99)-(1-1)*(0*$J$102+(1-0)*$E$102))+(1*(0*$J$99+(1-0)*$E$99)+1*(0*$J$102+(1-0)*$E$102))*(C119-1))*IF(C$116=2,$B$12,1)+IF(C$116=2,$B$14*1*(0*$J$102+(1-0)*$E$102)*C119,0))*1*1</f>
        <v>0</v>
      </c>
      <c r="D125" s="35" t="n">
        <f aca="false">IF(D$116&lt;=1,0,(((0*$J$110+(1-0)*$E$106)-(0*$J$99+(1-0)*$E$99)+1*(0*$J$99+(1-0)*$E$99)-(1-1)*(0*$J$102+(1-0)*$E$102))+(1*(0*$J$99+(1-0)*$E$99)+1*(0*$J$102+(1-0)*$E$102))*(D119-1))*IF(D$116=2,$B$12,1)+IF(D$116=2,$B$14*1*(0*$J$102+(1-0)*$E$102)*D119,0))*1*1</f>
        <v>197.837804186257</v>
      </c>
      <c r="E125" s="35" t="n">
        <f aca="false">IF(E$116&lt;=1,0,(((0*$J$110+(1-0)*$E$106)-(0*$J$99+(1-0)*$E$99)+1*(0*$J$99+(1-0)*$E$99)-(1-1)*(0*$J$102+(1-0)*$E$102))+(1*(0*$J$99+(1-0)*$E$99)+1*(0*$J$102+(1-0)*$E$102))*(E119-1))*IF(E$116=2,$B$12,1)+IF(E$116=2,$B$14*1*(0*$J$102+(1-0)*$E$102)*E119,0))*1*1</f>
        <v>234.441939047038</v>
      </c>
      <c r="F125" s="35" t="n">
        <f aca="false">IF(F$116&lt;=1,0,(((0*$J$110+(1-0)*$E$106)-(0*$J$99+(1-0)*$E$99)+1*(0*$J$99+(1-0)*$E$99)-(1-1)*(0*$J$102+(1-0)*$E$102))+(1*(0*$J$99+(1-0)*$E$99)+1*(0*$J$102+(1-0)*$E$102))*(F119-1))*IF(F$116=2,$B$12,1)+IF(F$116=2,$B$14*1*(0*$J$102+(1-0)*$E$102)*F119,0))*1*1</f>
        <v>234.877078770292</v>
      </c>
      <c r="G125" s="35" t="n">
        <f aca="false">IF(G$116&lt;=1,0,(((0*$J$110+(1-0)*$E$106)-(0*$J$99+(1-0)*$E$99)+1*(0*$J$99+(1-0)*$E$99)-(1-1)*(0*$J$102+(1-0)*$E$102))+(1*(0*$J$99+(1-0)*$E$99)+1*(0*$J$102+(1-0)*$E$102))*(G119-1))*IF(G$116=2,$B$12,1)+IF(G$116=2,$B$14*1*(0*$J$102+(1-0)*$E$102)*G119,0))*1*1</f>
        <v>235.314394192163</v>
      </c>
      <c r="H125" s="35" t="n">
        <f aca="false">IF(H$116&lt;=1,0,(((0*$J$110+(1-0)*$E$106)-(0*$J$99+(1-0)*$E$99)+1*(0*$J$99+(1-0)*$E$99)-(1-1)*(0*$J$102+(1-0)*$E$102))+(1*(0*$J$99+(1-0)*$E$99)+1*(0*$J$102+(1-0)*$E$102))*(H119-1))*IF(H$116=2,$B$12,1)+IF(H$116=2,$B$14*1*(0*$J$102+(1-0)*$E$102)*H119,0))*1*1</f>
        <v>235.753896191143</v>
      </c>
      <c r="I125" s="35" t="n">
        <f aca="false">IF(I$116&lt;=1,0,(((0*$J$110+(1-0)*$E$106)-(0*$J$99+(1-0)*$E$99)+1*(0*$J$99+(1-0)*$E$99)-(1-1)*(0*$J$102+(1-0)*$E$102))+(1*(0*$J$99+(1-0)*$E$99)+1*(0*$J$102+(1-0)*$E$102))*(I119-1))*IF(I$116=2,$B$12,1)+IF(I$116=2,$B$14*1*(0*$J$102+(1-0)*$E$102)*I119,0))*1*1</f>
        <v>236.195595700118</v>
      </c>
      <c r="J125" s="35" t="n">
        <f aca="false">IF(J$116&lt;=1,0,(((0*$J$110+(1-0)*$E$106)-(0*$J$99+(1-0)*$E$99)+1*(0*$J$99+(1-0)*$E$99)-(1-1)*(0*$J$102+(1-0)*$E$102))+(1*(0*$J$99+(1-0)*$E$99)+1*(0*$J$102+(1-0)*$E$102))*(J119-1))*IF(J$116=2,$B$12,1)+IF(J$116=2,$B$14*1*(0*$J$102+(1-0)*$E$102)*J119,0))*1*1</f>
        <v>236.639503706638</v>
      </c>
      <c r="K125" s="35" t="n">
        <f aca="false">IF(K$116&lt;=1,0,(((0*$J$110+(1-0)*$E$106)-(0*$J$99+(1-0)*$E$99)+1*(0*$J$99+(1-0)*$E$99)-(1-1)*(0*$J$102+(1-0)*$E$102))+(1*(0*$J$99+(1-0)*$E$99)+1*(0*$J$102+(1-0)*$E$102))*(K119-1))*IF(K$116=2,$B$12,1)+IF(K$116=2,$B$14*1*(0*$J$102+(1-0)*$E$102)*K119,0))*1*1</f>
        <v>237.08563125319</v>
      </c>
      <c r="L125" s="35" t="n">
        <f aca="false">IF(L$116&lt;=1,0,(((0*$J$110+(1-0)*$E$106)-(0*$J$99+(1-0)*$E$99)+1*(0*$J$99+(1-0)*$E$99)-(1-1)*(0*$J$102+(1-0)*$E$102))+(1*(0*$J$99+(1-0)*$E$99)+1*(0*$J$102+(1-0)*$E$102))*(L119-1))*IF(L$116=2,$B$12,1)+IF(L$116=2,$B$14*1*(0*$J$102+(1-0)*$E$102)*L119,0))*1*1</f>
        <v>237.533989437476</v>
      </c>
    </row>
    <row r="126" customFormat="false" ht="15" hidden="false" customHeight="false" outlineLevel="0" collapsed="false">
      <c r="A126" s="5" t="s">
        <v>287</v>
      </c>
      <c r="B126" s="10" t="n">
        <f aca="false">B124+B125</f>
        <v>45.6373732102639</v>
      </c>
      <c r="C126" s="10" t="n">
        <f aca="false">C124+C125</f>
        <v>137.165278593056</v>
      </c>
      <c r="D126" s="10" t="n">
        <f aca="false">D124+D125</f>
        <v>380.785330036747</v>
      </c>
      <c r="E126" s="10" t="n">
        <f aca="false">E124+E125</f>
        <v>417.450255062574</v>
      </c>
      <c r="F126" s="10" t="n">
        <f aca="false">F124+F125</f>
        <v>417.946488901701</v>
      </c>
      <c r="G126" s="10" t="n">
        <f aca="false">G124+G125</f>
        <v>418.445203910024</v>
      </c>
      <c r="H126" s="10" t="n">
        <f aca="false">H124+H125</f>
        <v>418.946412493388</v>
      </c>
      <c r="I126" s="10" t="n">
        <f aca="false">I124+I125</f>
        <v>419.450127119669</v>
      </c>
      <c r="J126" s="10" t="n">
        <f aca="false">J124+J125</f>
        <v>419.956360319081</v>
      </c>
      <c r="K126" s="10" t="n">
        <f aca="false">K124+K125</f>
        <v>420.465124684491</v>
      </c>
      <c r="L126" s="10" t="n">
        <f aca="false">L124+L125</f>
        <v>420.976432871727</v>
      </c>
    </row>
    <row r="127" customFormat="false" ht="15" hidden="false" customHeight="false" outlineLevel="0" collapsed="false">
      <c r="A127" s="6" t="s">
        <v>288</v>
      </c>
      <c r="B127" s="35" t="n">
        <f aca="false">(IF(B$116&gt;=1,($B$21+$B$54)*$F$82*1+$B$22+'Beneficios y costos'!$B$118,0)+IF(B$116&gt;=2,(($B$21+$B$54)*$F$83*1+'Beneficios y costos'!$C$118)*1,0))*1</f>
        <v>0</v>
      </c>
      <c r="C127" s="35" t="n">
        <f aca="false">(IF(C$116&gt;=1,($B$21+$B$54)*$F$82*1+$B$22+'Beneficios y costos'!$B$118,0)+IF(C$116&gt;=2,(($B$21+$B$54)*$F$83*1+'Beneficios y costos'!$C$118)*1,0))*1</f>
        <v>36.8921528634167</v>
      </c>
      <c r="D127" s="35" t="n">
        <f aca="false">(IF(D$116&gt;=1,($B$21+$B$54)*$F$82*1+$B$22+'Beneficios y costos'!$B$118,0)+IF(D$116&gt;=2,(($B$21+$B$54)*$F$83*1+'Beneficios y costos'!$C$118)*1,0))*1</f>
        <v>88.8065043646377</v>
      </c>
      <c r="E127" s="35" t="n">
        <f aca="false">(IF(E$116&gt;=1,($B$21+$B$54)*$F$82*1+$B$22+'Beneficios y costos'!$B$118,0)+IF(E$116&gt;=2,(($B$21+$B$54)*$F$83*1+'Beneficios y costos'!$C$118)*1,0))*1</f>
        <v>88.8065043646377</v>
      </c>
      <c r="F127" s="35" t="n">
        <f aca="false">(IF(F$116&gt;=1,($B$21+$B$54)*$F$82*1+$B$22+'Beneficios y costos'!$B$118,0)+IF(F$116&gt;=2,(($B$21+$B$54)*$F$83*1+'Beneficios y costos'!$C$118)*1,0))*1</f>
        <v>88.8065043646377</v>
      </c>
      <c r="G127" s="35" t="n">
        <f aca="false">(IF(G$116&gt;=1,($B$21+$B$54)*$F$82*1+$B$22+'Beneficios y costos'!$B$118,0)+IF(G$116&gt;=2,(($B$21+$B$54)*$F$83*1+'Beneficios y costos'!$C$118)*1,0))*1</f>
        <v>88.8065043646377</v>
      </c>
      <c r="H127" s="35" t="n">
        <f aca="false">(IF(H$116&gt;=1,($B$21+$B$54)*$F$82*1+$B$22+'Beneficios y costos'!$B$118,0)+IF(H$116&gt;=2,(($B$21+$B$54)*$F$83*1+'Beneficios y costos'!$C$118)*1,0))*1</f>
        <v>88.8065043646377</v>
      </c>
      <c r="I127" s="35" t="n">
        <f aca="false">(IF(I$116&gt;=1,($B$21+$B$54)*$F$82*1+$B$22+'Beneficios y costos'!$B$118,0)+IF(I$116&gt;=2,(($B$21+$B$54)*$F$83*1+'Beneficios y costos'!$C$118)*1,0))*1</f>
        <v>88.8065043646377</v>
      </c>
      <c r="J127" s="35" t="n">
        <f aca="false">(IF(J$116&gt;=1,($B$21+$B$54)*$F$82*1+$B$22+'Beneficios y costos'!$B$118,0)+IF(J$116&gt;=2,(($B$21+$B$54)*$F$83*1+'Beneficios y costos'!$C$118)*1,0))*1</f>
        <v>88.8065043646377</v>
      </c>
      <c r="K127" s="35" t="n">
        <f aca="false">(IF(K$116&gt;=1,($B$21+$B$54)*$F$82*1+$B$22+'Beneficios y costos'!$B$118,0)+IF(K$116&gt;=2,(($B$21+$B$54)*$F$83*1+'Beneficios y costos'!$C$118)*1,0))*1</f>
        <v>88.8065043646377</v>
      </c>
      <c r="L127" s="35" t="n">
        <f aca="false">(IF(L$116&gt;=1,($B$21+$B$54)*$F$82*1+$B$22+'Beneficios y costos'!$B$118,0)+IF(L$116&gt;=2,(($B$21+$B$54)*$F$83*1+'Beneficios y costos'!$C$118)*1,0))*1</f>
        <v>88.8065043646377</v>
      </c>
    </row>
    <row r="128" customFormat="false" ht="15" hidden="false" customHeight="false" outlineLevel="0" collapsed="false">
      <c r="A128" s="6" t="s">
        <v>289</v>
      </c>
      <c r="B128" s="35" t="n">
        <f aca="false">IF(B$116=1,2*$B$33*$B$34/12*B119,0)*1</f>
        <v>0</v>
      </c>
      <c r="C128" s="35" t="n">
        <f aca="false">IF(C$116=1,2*$B$33*$B$34/12*C119,0)*1</f>
        <v>18.5166509433962</v>
      </c>
      <c r="D128" s="35" t="n">
        <f aca="false">IF(D$116=1,2*$B$33*$B$34/12*D119,0)*1</f>
        <v>0</v>
      </c>
      <c r="E128" s="35" t="n">
        <f aca="false">IF(E$116=1,2*$B$33*$B$34/12*E119,0)*1</f>
        <v>0</v>
      </c>
      <c r="F128" s="35" t="n">
        <f aca="false">IF(F$116=1,2*$B$33*$B$34/12*F119,0)*1</f>
        <v>0</v>
      </c>
      <c r="G128" s="35" t="n">
        <f aca="false">IF(G$116=1,2*$B$33*$B$34/12*G119,0)*1</f>
        <v>0</v>
      </c>
      <c r="H128" s="35" t="n">
        <f aca="false">IF(H$116=1,2*$B$33*$B$34/12*H119,0)*1</f>
        <v>0</v>
      </c>
      <c r="I128" s="35" t="n">
        <f aca="false">IF(I$116=1,2*$B$33*$B$34/12*I119,0)*1</f>
        <v>0</v>
      </c>
      <c r="J128" s="35" t="n">
        <f aca="false">IF(J$116=1,2*$B$33*$B$34/12*J119,0)*1</f>
        <v>0</v>
      </c>
      <c r="K128" s="35" t="n">
        <f aca="false">IF(K$116=1,2*$B$33*$B$34/12*K119,0)*1</f>
        <v>0</v>
      </c>
      <c r="L128" s="35" t="n">
        <f aca="false">IF(L$116=1,2*$B$33*$B$34/12*L119,0)*1</f>
        <v>0</v>
      </c>
    </row>
    <row r="129" customFormat="false" ht="15" hidden="false" customHeight="false" outlineLevel="0" collapsed="false">
      <c r="A129" s="6" t="s">
        <v>290</v>
      </c>
      <c r="B129" s="35" t="n">
        <f aca="false">$B$45*(B121+B122+B123+B127+B128)</f>
        <v>2.88636599924197</v>
      </c>
      <c r="C129" s="35" t="n">
        <f aca="false">$B$45*(C121+C122+C123+C127+C128)</f>
        <v>3.29312083686149</v>
      </c>
      <c r="D129" s="35" t="n">
        <f aca="false">$B$45*(D121+D122+D123+D127+D128)</f>
        <v>0.355226017458551</v>
      </c>
      <c r="E129" s="35" t="n">
        <f aca="false">$B$45*(E121+E122+E123+E127+E128)</f>
        <v>0.355226017458551</v>
      </c>
      <c r="F129" s="35" t="n">
        <f aca="false">$B$45*(F121+F122+F123+F127+F128)</f>
        <v>0.355226017458551</v>
      </c>
      <c r="G129" s="35" t="n">
        <f aca="false">$B$45*(G121+G122+G123+G127+G128)</f>
        <v>0.482159350791884</v>
      </c>
      <c r="H129" s="35" t="n">
        <f aca="false">$B$45*(H121+H122+H123+H127+H128)</f>
        <v>0.523275690008284</v>
      </c>
      <c r="I129" s="35" t="n">
        <f aca="false">$B$45*(I121+I122+I123+I127+I128)</f>
        <v>0.355226017458551</v>
      </c>
      <c r="J129" s="35" t="n">
        <f aca="false">$B$45*(J121+J122+J123+J127+J128)</f>
        <v>0.355226017458551</v>
      </c>
      <c r="K129" s="35" t="n">
        <f aca="false">$B$45*(K121+K122+K123+K127+K128)</f>
        <v>0.355226017458551</v>
      </c>
      <c r="L129" s="35" t="n">
        <f aca="false">$B$45*(L121+L122+L123+L127+L128)</f>
        <v>0.355226017458551</v>
      </c>
    </row>
    <row r="130" customFormat="false" ht="15" hidden="false" customHeight="false" outlineLevel="0" collapsed="false">
      <c r="A130" s="6" t="s">
        <v>291</v>
      </c>
      <c r="B130" s="35" t="n">
        <f aca="false">(IF(1=1,(SUMPRODUCT(($C$62:$C$77=0)*($J$62:$J$77&gt;0)*(B$116&gt;=1)*(B$116&lt;=$J$62:$J$77)*($H$62:$H$77&gt;0)*$F$62:$F$77*(1+$I$62:$I$77)/($J$62:$J$77+($J$62:$J$77=0)))+SUMPRODUCT(($C$62:$C$77=0)*($J$62:$J$77=0)*(B$116=0)*($H$62:$H$77&gt;0)*$F$62:$F$77*(1+$I$62:$I$77)))*$B$118+(SUMPRODUCT(($C$62:$C$77=1)*($J$62:$J$77&gt;0)*(B$116&gt;=2)*(B$116&lt;=$J$62:$J$77+1)*($H$62:$H$77&gt;0)*$F$62:$F$77*(1+$I$62:$I$77)/($J$62:$J$77+($J$62:$J$77=0)))+SUMPRODUCT(($C$62:$C$77=1)*($J$62:$J$77=0)*(B$116=1)*($H$62:$H$77&gt;0)*$F$62:$F$77*(1+$I$62:$I$77)))*$C$118*1,IF(AND(B$116&gt;=1,B$116&lt;=$B$11),$F$80/$B$11,0)*$B$118+IF(AND(B$116&gt;=2,B$116&lt;=$B$11+1),$F$81/$B$11,0)*$C$118*1)*1+IF(AND(B$116&gt;=6,B$116&lt;=10),$G122*$G118/5,0)+IF(AND(B$116&gt;=7,B$116&lt;=11),$H122*$H118/5,0))*B120</f>
        <v>99.3600691219113</v>
      </c>
      <c r="C130" s="35" t="n">
        <f aca="false">(IF(1=1,(SUMPRODUCT(($C$62:$C$77=0)*($J$62:$J$77&gt;0)*(C$116&gt;=1)*(C$116&lt;=$J$62:$J$77)*($H$62:$H$77&gt;0)*$F$62:$F$77*(1+$I$62:$I$77)/($J$62:$J$77+($J$62:$J$77=0)))+SUMPRODUCT(($C$62:$C$77=0)*($J$62:$J$77=0)*(C$116=0)*($H$62:$H$77&gt;0)*$F$62:$F$77*(1+$I$62:$I$77)))*$B$118+(SUMPRODUCT(($C$62:$C$77=1)*($J$62:$J$77&gt;0)*(C$116&gt;=2)*(C$116&lt;=$J$62:$J$77+1)*($H$62:$H$77&gt;0)*$F$62:$F$77*(1+$I$62:$I$77)/($J$62:$J$77+($J$62:$J$77=0)))+SUMPRODUCT(($C$62:$C$77=1)*($J$62:$J$77=0)*(C$116=1)*($H$62:$H$77&gt;0)*$F$62:$F$77*(1+$I$62:$I$77)))*$C$118*1,IF(AND(C$116&gt;=1,C$116&lt;=$B$11),$F$80/$B$11,0)*$B$118+IF(AND(C$116&gt;=2,C$116&lt;=$B$11+1),$F$81/$B$11,0)*$C$118*1)*1+IF(AND(C$116&gt;=6,C$116&lt;=10),$G122*$G118/5,0)+IF(AND(C$116&gt;=7,C$116&lt;=11),$H122*$H118/5,0))*C120</f>
        <v>57.1000211302053</v>
      </c>
      <c r="D130" s="35" t="n">
        <f aca="false">(IF(1=1,(SUMPRODUCT(($C$62:$C$77=0)*($J$62:$J$77&gt;0)*(D$116&gt;=1)*(D$116&lt;=$J$62:$J$77)*($H$62:$H$77&gt;0)*$F$62:$F$77*(1+$I$62:$I$77)/($J$62:$J$77+($J$62:$J$77=0)))+SUMPRODUCT(($C$62:$C$77=0)*($J$62:$J$77=0)*(D$116=0)*($H$62:$H$77&gt;0)*$F$62:$F$77*(1+$I$62:$I$77)))*$B$118+(SUMPRODUCT(($C$62:$C$77=1)*($J$62:$J$77&gt;0)*(D$116&gt;=2)*(D$116&lt;=$J$62:$J$77+1)*($H$62:$H$77&gt;0)*$F$62:$F$77*(1+$I$62:$I$77)/($J$62:$J$77+($J$62:$J$77=0)))+SUMPRODUCT(($C$62:$C$77=1)*($J$62:$J$77=0)*(D$116=1)*($H$62:$H$77&gt;0)*$F$62:$F$77*(1+$I$62:$I$77)))*$C$118*1,IF(AND(D$116&gt;=1,D$116&lt;=$B$11),$F$80/$B$11,0)*$B$118+IF(AND(D$116&gt;=2,D$116&lt;=$B$11+1),$F$81/$B$11,0)*$C$118*1)*1+IF(AND(D$116&gt;=6,D$116&lt;=10),$G122*$G118/5,0)+IF(AND(D$116&gt;=7,D$116&lt;=11),$H122*$H118/5,0))*D120</f>
        <v>116.389502380926</v>
      </c>
      <c r="E130" s="35" t="n">
        <f aca="false">(IF(1=1,(SUMPRODUCT(($C$62:$C$77=0)*($J$62:$J$77&gt;0)*(E$116&gt;=1)*(E$116&lt;=$J$62:$J$77)*($H$62:$H$77&gt;0)*$F$62:$F$77*(1+$I$62:$I$77)/($J$62:$J$77+($J$62:$J$77=0)))+SUMPRODUCT(($C$62:$C$77=0)*($J$62:$J$77=0)*(E$116=0)*($H$62:$H$77&gt;0)*$F$62:$F$77*(1+$I$62:$I$77)))*$B$118+(SUMPRODUCT(($C$62:$C$77=1)*($J$62:$J$77&gt;0)*(E$116&gt;=2)*(E$116&lt;=$J$62:$J$77+1)*($H$62:$H$77&gt;0)*$F$62:$F$77*(1+$I$62:$I$77)/($J$62:$J$77+($J$62:$J$77=0)))+SUMPRODUCT(($C$62:$C$77=1)*($J$62:$J$77=0)*(E$116=1)*($H$62:$H$77&gt;0)*$F$62:$F$77*(1+$I$62:$I$77)))*$C$118*1,IF(AND(E$116&gt;=1,E$116&lt;=$B$11),$F$80/$B$11,0)*$B$118+IF(AND(E$116&gt;=2,E$116&lt;=$B$11+1),$F$81/$B$11,0)*$C$118*1)*1+IF(AND(E$116&gt;=6,E$116&lt;=10),$G122*$G118/5,0)+IF(AND(E$116&gt;=7,E$116&lt;=11),$H122*$H118/5,0))*E120</f>
        <v>111.912983058583</v>
      </c>
      <c r="F130" s="35" t="n">
        <f aca="false">(IF(1=1,(SUMPRODUCT(($C$62:$C$77=0)*($J$62:$J$77&gt;0)*(F$116&gt;=1)*(F$116&lt;=$J$62:$J$77)*($H$62:$H$77&gt;0)*$F$62:$F$77*(1+$I$62:$I$77)/($J$62:$J$77+($J$62:$J$77=0)))+SUMPRODUCT(($C$62:$C$77=0)*($J$62:$J$77=0)*(F$116=0)*($H$62:$H$77&gt;0)*$F$62:$F$77*(1+$I$62:$I$77)))*$B$118+(SUMPRODUCT(($C$62:$C$77=1)*($J$62:$J$77&gt;0)*(F$116&gt;=2)*(F$116&lt;=$J$62:$J$77+1)*($H$62:$H$77&gt;0)*$F$62:$F$77*(1+$I$62:$I$77)/($J$62:$J$77+($J$62:$J$77=0)))+SUMPRODUCT(($C$62:$C$77=1)*($J$62:$J$77=0)*(F$116=1)*($H$62:$H$77&gt;0)*$F$62:$F$77*(1+$I$62:$I$77)))*$C$118*1,IF(AND(F$116&gt;=1,F$116&lt;=$B$11),$F$80/$B$11,0)*$B$118+IF(AND(F$116&gt;=2,F$116&lt;=$B$11+1),$F$81/$B$11,0)*$C$118*1)*1+IF(AND(F$116&gt;=6,F$116&lt;=10),$G122*$G118/5,0)+IF(AND(F$116&gt;=7,F$116&lt;=11),$H122*$H118/5,0))*F120</f>
        <v>107.608637556329</v>
      </c>
      <c r="G130" s="35" t="n">
        <f aca="false">(IF(1=1,(SUMPRODUCT(($C$62:$C$77=0)*($J$62:$J$77&gt;0)*(G$116&gt;=1)*(G$116&lt;=$J$62:$J$77)*($H$62:$H$77&gt;0)*$F$62:$F$77*(1+$I$62:$I$77)/($J$62:$J$77+($J$62:$J$77=0)))+SUMPRODUCT(($C$62:$C$77=0)*($J$62:$J$77=0)*(G$116=0)*($H$62:$H$77&gt;0)*$F$62:$F$77*(1+$I$62:$I$77)))*$B$118+(SUMPRODUCT(($C$62:$C$77=1)*($J$62:$J$77&gt;0)*(G$116&gt;=2)*(G$116&lt;=$J$62:$J$77+1)*($H$62:$H$77&gt;0)*$F$62:$F$77*(1+$I$62:$I$77)/($J$62:$J$77+($J$62:$J$77=0)))+SUMPRODUCT(($C$62:$C$77=1)*($J$62:$J$77=0)*(G$116=1)*($H$62:$H$77&gt;0)*$F$62:$F$77*(1+$I$62:$I$77)))*$C$118*1,IF(AND(G$116&gt;=1,G$116&lt;=$B$11),$F$80/$B$11,0)*$B$118+IF(AND(G$116&gt;=2,G$116&lt;=$B$11+1),$F$81/$B$11,0)*$C$118*1)*1+IF(AND(G$116&gt;=6,G$116&lt;=10),$G122*$G118/5,0)+IF(AND(G$116&gt;=7,G$116&lt;=11),$H122*$H118/5,0))*G120</f>
        <v>103.469843804163</v>
      </c>
      <c r="H130" s="35" t="n">
        <f aca="false">(IF(1=1,(SUMPRODUCT(($C$62:$C$77=0)*($J$62:$J$77&gt;0)*(H$116&gt;=1)*(H$116&lt;=$J$62:$J$77)*($H$62:$H$77&gt;0)*$F$62:$F$77*(1+$I$62:$I$77)/($J$62:$J$77+($J$62:$J$77=0)))+SUMPRODUCT(($C$62:$C$77=0)*($J$62:$J$77=0)*(H$116=0)*($H$62:$H$77&gt;0)*$F$62:$F$77*(1+$I$62:$I$77)))*$B$118+(SUMPRODUCT(($C$62:$C$77=1)*($J$62:$J$77&gt;0)*(H$116&gt;=2)*(H$116&lt;=$J$62:$J$77+1)*($H$62:$H$77&gt;0)*$F$62:$F$77*(1+$I$62:$I$77)/($J$62:$J$77+($J$62:$J$77=0)))+SUMPRODUCT(($C$62:$C$77=1)*($J$62:$J$77=0)*(H$116=1)*($H$62:$H$77&gt;0)*$F$62:$F$77*(1+$I$62:$I$77)))*$C$118*1,IF(AND(H$116&gt;=1,H$116&lt;=$B$11),$F$80/$B$11,0)*$B$118+IF(AND(H$116&gt;=2,H$116&lt;=$B$11+1),$F$81/$B$11,0)*$C$118*1)*1+IF(AND(H$116&gt;=6,H$116&lt;=10),$G122*$G118/5,0)+IF(AND(H$116&gt;=7,H$116&lt;=11),$H122*$H118/5,0))*H120</f>
        <v>92.6731239063542</v>
      </c>
      <c r="I130" s="35" t="n">
        <f aca="false">(IF(1=1,(SUMPRODUCT(($C$62:$C$77=0)*($J$62:$J$77&gt;0)*(I$116&gt;=1)*(I$116&lt;=$J$62:$J$77)*($H$62:$H$77&gt;0)*$F$62:$F$77*(1+$I$62:$I$77)/($J$62:$J$77+($J$62:$J$77=0)))+SUMPRODUCT(($C$62:$C$77=0)*($J$62:$J$77=0)*(I$116=0)*($H$62:$H$77&gt;0)*$F$62:$F$77*(1+$I$62:$I$77)))*$B$118+(SUMPRODUCT(($C$62:$C$77=1)*($J$62:$J$77&gt;0)*(I$116&gt;=2)*(I$116&lt;=$J$62:$J$77+1)*($H$62:$H$77&gt;0)*$F$62:$F$77*(1+$I$62:$I$77)/($J$62:$J$77+($J$62:$J$77=0)))+SUMPRODUCT(($C$62:$C$77=1)*($J$62:$J$77=0)*(I$116=1)*($H$62:$H$77&gt;0)*$F$62:$F$77*(1+$I$62:$I$77)))*$C$118*1,IF(AND(I$116&gt;=1,I$116&lt;=$B$11),$F$80/$B$11,0)*$B$118+IF(AND(I$116&gt;=2,I$116&lt;=$B$11+1),$F$81/$B$11,0)*$C$118*1)*1+IF(AND(I$116&gt;=6,I$116&lt;=10),$G122*$G118/5,0)+IF(AND(I$116&gt;=7,I$116&lt;=11),$H122*$H118/5,0))*I120</f>
        <v>95.8981101131611</v>
      </c>
      <c r="J130" s="35" t="n">
        <f aca="false">(IF(1=1,(SUMPRODUCT(($C$62:$C$77=0)*($J$62:$J$77&gt;0)*(J$116&gt;=1)*(J$116&lt;=$J$62:$J$77)*($H$62:$H$77&gt;0)*$F$62:$F$77*(1+$I$62:$I$77)/($J$62:$J$77+($J$62:$J$77=0)))+SUMPRODUCT(($C$62:$C$77=0)*($J$62:$J$77=0)*(J$116=0)*($H$62:$H$77&gt;0)*$F$62:$F$77*(1+$I$62:$I$77)))*$B$118+(SUMPRODUCT(($C$62:$C$77=1)*($J$62:$J$77&gt;0)*(J$116&gt;=2)*(J$116&lt;=$J$62:$J$77+1)*($H$62:$H$77&gt;0)*$F$62:$F$77*(1+$I$62:$I$77)/($J$62:$J$77+($J$62:$J$77=0)))+SUMPRODUCT(($C$62:$C$77=1)*($J$62:$J$77=0)*(J$116=1)*($H$62:$H$77&gt;0)*$F$62:$F$77*(1+$I$62:$I$77)))*$C$118*1,IF(AND(J$116&gt;=1,J$116&lt;=$B$11),$F$80/$B$11,0)*$B$118+IF(AND(J$116&gt;=2,J$116&lt;=$B$11+1),$F$81/$B$11,0)*$C$118*1)*1+IF(AND(J$116&gt;=6,J$116&lt;=10),$G122*$G118/5,0)+IF(AND(J$116&gt;=7,J$116&lt;=11),$H122*$H118/5,0))*J120</f>
        <v>92.2097212626549</v>
      </c>
      <c r="K130" s="35" t="n">
        <f aca="false">(IF(1=1,(SUMPRODUCT(($C$62:$C$77=0)*($J$62:$J$77&gt;0)*(K$116&gt;=1)*(K$116&lt;=$J$62:$J$77)*($H$62:$H$77&gt;0)*$F$62:$F$77*(1+$I$62:$I$77)/($J$62:$J$77+($J$62:$J$77=0)))+SUMPRODUCT(($C$62:$C$77=0)*($J$62:$J$77=0)*(K$116=0)*($H$62:$H$77&gt;0)*$F$62:$F$77*(1+$I$62:$I$77)))*$B$118+(SUMPRODUCT(($C$62:$C$77=1)*($J$62:$J$77&gt;0)*(K$116&gt;=2)*(K$116&lt;=$J$62:$J$77+1)*($H$62:$H$77&gt;0)*$F$62:$F$77*(1+$I$62:$I$77)/($J$62:$J$77+($J$62:$J$77=0)))+SUMPRODUCT(($C$62:$C$77=1)*($J$62:$J$77=0)*(K$116=1)*($H$62:$H$77&gt;0)*$F$62:$F$77*(1+$I$62:$I$77)))*$C$118*1,IF(AND(K$116&gt;=1,K$116&lt;=$B$11),$F$80/$B$11,0)*$B$118+IF(AND(K$116&gt;=2,K$116&lt;=$B$11+1),$F$81/$B$11,0)*$C$118*1)*1+IF(AND(K$116&gt;=6,K$116&lt;=10),$G122*$G118/5,0)+IF(AND(K$116&gt;=7,K$116&lt;=11),$H122*$H118/5,0))*K120</f>
        <v>88.6631935217835</v>
      </c>
      <c r="L130" s="35" t="n">
        <f aca="false">(IF(1=1,(SUMPRODUCT(($C$62:$C$77=0)*($J$62:$J$77&gt;0)*(L$116&gt;=1)*(L$116&lt;=$J$62:$J$77)*($H$62:$H$77&gt;0)*$F$62:$F$77*(1+$I$62:$I$77)/($J$62:$J$77+($J$62:$J$77=0)))+SUMPRODUCT(($C$62:$C$77=0)*($J$62:$J$77=0)*(L$116=0)*($H$62:$H$77&gt;0)*$F$62:$F$77*(1+$I$62:$I$77)))*$B$118+(SUMPRODUCT(($C$62:$C$77=1)*($J$62:$J$77&gt;0)*(L$116&gt;=2)*(L$116&lt;=$J$62:$J$77+1)*($H$62:$H$77&gt;0)*$F$62:$F$77*(1+$I$62:$I$77)/($J$62:$J$77+($J$62:$J$77=0)))+SUMPRODUCT(($C$62:$C$77=1)*($J$62:$J$77=0)*(L$116=1)*($H$62:$H$77&gt;0)*$F$62:$F$77*(1+$I$62:$I$77)))*$C$118*1,IF(AND(L$116&gt;=1,L$116&lt;=$B$11),$F$80/$B$11,0)*$B$118+IF(AND(L$116&gt;=2,L$116&lt;=$B$11+1),$F$81/$B$11,0)*$C$118*1)*1+IF(AND(L$116&gt;=6,L$116&lt;=10),$G122*$G118/5,0)+IF(AND(L$116&gt;=7,L$116&lt;=11),$H122*$H118/5,0))*L120</f>
        <v>85.2530706940226</v>
      </c>
    </row>
    <row r="131" customFormat="false" ht="15" hidden="false" customHeight="false" outlineLevel="0" collapsed="false">
      <c r="A131" s="9" t="s">
        <v>292</v>
      </c>
      <c r="B131" s="36" t="n">
        <f aca="false">IF(B$116=1,MIN(1*$B$35*$F$75*1*1,$B$50*$B$51),0)</f>
        <v>0</v>
      </c>
      <c r="C131" s="36" t="n">
        <f aca="false">IF(C$116=1,MIN(1*$B$35*$F$75*1*1,$B$50*$B$51),0)</f>
        <v>20</v>
      </c>
      <c r="D131" s="36" t="n">
        <f aca="false">IF(D$116=1,MIN(1*$B$35*$F$75*1*1,$B$50*$B$51),0)</f>
        <v>0</v>
      </c>
      <c r="E131" s="36" t="n">
        <f aca="false">IF(E$116=1,MIN(1*$B$35*$F$75*1*1,$B$50*$B$51),0)</f>
        <v>0</v>
      </c>
      <c r="F131" s="36" t="n">
        <f aca="false">IF(F$116=1,MIN(1*$B$35*$F$75*1*1,$B$50*$B$51),0)</f>
        <v>0</v>
      </c>
      <c r="G131" s="36" t="n">
        <f aca="false">IF(G$116=1,MIN(1*$B$35*$F$75*1*1,$B$50*$B$51),0)</f>
        <v>0</v>
      </c>
      <c r="H131" s="36" t="n">
        <f aca="false">IF(H$116=1,MIN(1*$B$35*$F$75*1*1,$B$50*$B$51),0)</f>
        <v>0</v>
      </c>
      <c r="I131" s="36" t="n">
        <f aca="false">IF(I$116=1,MIN(1*$B$35*$F$75*1*1,$B$50*$B$51),0)</f>
        <v>0</v>
      </c>
      <c r="J131" s="36" t="n">
        <f aca="false">IF(J$116=1,MIN(1*$B$35*$F$75*1*1,$B$50*$B$51),0)</f>
        <v>0</v>
      </c>
      <c r="K131" s="36" t="n">
        <f aca="false">IF(K$116=1,MIN(1*$B$35*$F$75*1*1,$B$50*$B$51),0)</f>
        <v>0</v>
      </c>
      <c r="L131" s="36" t="n">
        <f aca="false">IF(L$116=1,MIN(1*$B$35*$F$75*1*1,$B$50*$B$51),0)</f>
        <v>0</v>
      </c>
    </row>
    <row r="132" customFormat="false" ht="15" hidden="false" customHeight="false" outlineLevel="0" collapsed="false">
      <c r="A132" s="9" t="s">
        <v>293</v>
      </c>
      <c r="B132" s="36" t="n">
        <v>0</v>
      </c>
      <c r="C132" s="36" t="n">
        <f aca="false">$B$49*$B$52*$F$86*1*$B$118/C118</f>
        <v>166.879881289715</v>
      </c>
      <c r="D132" s="36" t="n">
        <v>0</v>
      </c>
      <c r="E132" s="36" t="n">
        <v>0</v>
      </c>
      <c r="F132" s="36" t="n">
        <v>0</v>
      </c>
      <c r="G132" s="36" t="n">
        <v>0</v>
      </c>
      <c r="H132" s="36" t="n">
        <v>0</v>
      </c>
      <c r="I132" s="36" t="n">
        <v>0</v>
      </c>
      <c r="J132" s="36" t="n">
        <v>0</v>
      </c>
      <c r="K132" s="36" t="n">
        <v>0</v>
      </c>
      <c r="L132" s="36" t="n">
        <v>0</v>
      </c>
    </row>
    <row r="133" customFormat="false" ht="15" hidden="false" customHeight="false" outlineLevel="0" collapsed="false">
      <c r="A133" s="9" t="s">
        <v>294</v>
      </c>
      <c r="B133" s="36" t="n">
        <f aca="false">0</f>
        <v>0</v>
      </c>
      <c r="C133" s="36" t="n">
        <f aca="false">B123*B118/C118</f>
        <v>94.6170242743742</v>
      </c>
      <c r="D133" s="36" t="n">
        <f aca="false">C123*C118/D118</f>
        <v>117.321834287022</v>
      </c>
      <c r="E133" s="36" t="n">
        <f aca="false">D123*D118/E118</f>
        <v>0</v>
      </c>
      <c r="F133" s="36" t="n">
        <f aca="false">E123*E118/F118</f>
        <v>0</v>
      </c>
      <c r="G133" s="36" t="n">
        <f aca="false">F123*F118/G118</f>
        <v>0</v>
      </c>
      <c r="H133" s="36" t="n">
        <f aca="false">G123*G118/H118</f>
        <v>4.87179487179487</v>
      </c>
      <c r="I133" s="36" t="n">
        <f aca="false">H123*H118/I118</f>
        <v>6.44987026996795</v>
      </c>
      <c r="J133" s="36" t="n">
        <f aca="false">I123*I118/J118</f>
        <v>0</v>
      </c>
      <c r="K133" s="36" t="n">
        <f aca="false">J123*J118/K118</f>
        <v>0</v>
      </c>
      <c r="L133" s="36" t="n">
        <f aca="false">K123*K118/L118</f>
        <v>0</v>
      </c>
    </row>
    <row r="134" customFormat="false" ht="15" hidden="false" customHeight="false" outlineLevel="0" collapsed="false">
      <c r="A134" s="6" t="s">
        <v>86</v>
      </c>
      <c r="B134" s="35" t="n">
        <f aca="false">$B$10*(B126-B127-B128-0.5*B129-B130)-B131-B132-B133</f>
        <v>-19.3080576189439</v>
      </c>
      <c r="C134" s="35" t="n">
        <f aca="false">$B$10*(C126-C127-C128-0.5*C129-C130)-C131-C132-C133</f>
        <v>-273.443442930927</v>
      </c>
      <c r="D134" s="35" t="n">
        <f aca="false">$B$10*(D126-D127-D128-0.5*D129-D130)-D131-D132-D133</f>
        <v>-55.9277356881633</v>
      </c>
      <c r="E134" s="35" t="n">
        <f aca="false">$B$10*(E126-E127-E128-0.5*E129-E130)-E131-E132-E133</f>
        <v>75.7936041207186</v>
      </c>
      <c r="F134" s="35" t="n">
        <f aca="false">$B$10*(F126-F127-F128-0.5*F129-F130)-F131-F132-F133</f>
        <v>77.4738068902017</v>
      </c>
      <c r="G134" s="35" t="n">
        <f aca="false">$B$10*(G126-G127-G128-0.5*G129-G130)-G131-G132-G133</f>
        <v>79.0747216230395</v>
      </c>
      <c r="H134" s="35" t="n">
        <f aca="false">$B$10*(H126-H127-H128-0.5*H129-H130)-H131-H132-H133</f>
        <v>78.1500063602923</v>
      </c>
      <c r="I134" s="35" t="n">
        <f aca="false">$B$10*(I126-I127-I128-0.5*I129-I130)-I131-I132-I133</f>
        <v>75.6488946016313</v>
      </c>
      <c r="J134" s="35" t="n">
        <f aca="false">$B$10*(J126-J127-J128-0.5*J129-J130)-J131-J132-J133</f>
        <v>83.5668825890707</v>
      </c>
      <c r="K134" s="35" t="n">
        <f aca="false">$B$10*(K126-K127-K128-0.5*K129-K130)-K131-K132-K133</f>
        <v>84.986234826269</v>
      </c>
      <c r="L134" s="35" t="n">
        <f aca="false">$B$10*(L126-L127-L128-0.5*L129-L130)-L131-L132-L133</f>
        <v>86.3587356815181</v>
      </c>
    </row>
    <row r="135" customFormat="false" ht="15" hidden="false" customHeight="false" outlineLevel="0" collapsed="false">
      <c r="A135" s="9" t="s">
        <v>295</v>
      </c>
      <c r="B135" s="36" t="n">
        <f aca="false">(IF(B$116&gt;=1,$G$107*IF(B$116=1,$B$12,1),$G$107*$B$12*$B$13/12*1)+IF(B$116&gt;=2,$G$108*1*IF(B$116=2,$B$12,1),0))*1</f>
        <v>26.8516916045565</v>
      </c>
      <c r="C135" s="36" t="n">
        <f aca="false">(IF(C$116&gt;=1,$G$107*IF(C$116=1,$B$12,1),$G$107*$B$12*$B$13/12*1)+IF(C$116&gt;=2,$G$108*1*IF(C$116=2,$B$12,1),0))*1</f>
        <v>80.5550748136695</v>
      </c>
      <c r="D135" s="36" t="n">
        <f aca="false">(IF(D$116&gt;=1,$G$107*IF(D$116=1,$B$12,1),$G$107*$B$12*$B$13/12*1)+IF(D$116&gt;=2,$G$108*1*IF(D$116=2,$B$12,1),0))*1</f>
        <v>189.651223070959</v>
      </c>
      <c r="E135" s="36" t="n">
        <f aca="false">(IF(E$116&gt;=1,$G$107*IF(E$116=1,$B$12,1),$G$107*$B$12*$B$13/12*1)+IF(E$116&gt;=2,$G$108*1*IF(E$116=2,$B$12,1),0))*1</f>
        <v>217.066041955203</v>
      </c>
      <c r="F135" s="36" t="n">
        <f aca="false">(IF(F$116&gt;=1,$G$107*IF(F$116=1,$B$12,1),$G$107*$B$12*$B$13/12*1)+IF(F$116&gt;=2,$G$108*1*IF(F$116=2,$B$12,1),0))*1</f>
        <v>217.066041955203</v>
      </c>
      <c r="G135" s="36" t="n">
        <f aca="false">(IF(G$116&gt;=1,$G$107*IF(G$116=1,$B$12,1),$G$107*$B$12*$B$13/12*1)+IF(G$116&gt;=2,$G$108*1*IF(G$116=2,$B$12,1),0))*1</f>
        <v>217.066041955203</v>
      </c>
      <c r="H135" s="36" t="n">
        <f aca="false">(IF(H$116&gt;=1,$G$107*IF(H$116=1,$B$12,1),$G$107*$B$12*$B$13/12*1)+IF(H$116&gt;=2,$G$108*1*IF(H$116=2,$B$12,1),0))*1</f>
        <v>217.066041955203</v>
      </c>
      <c r="I135" s="36" t="n">
        <f aca="false">(IF(I$116&gt;=1,$G$107*IF(I$116=1,$B$12,1),$G$107*$B$12*$B$13/12*1)+IF(I$116&gt;=2,$G$108*1*IF(I$116=2,$B$12,1),0))*1</f>
        <v>217.066041955203</v>
      </c>
      <c r="J135" s="36" t="n">
        <f aca="false">(IF(J$116&gt;=1,$G$107*IF(J$116=1,$B$12,1),$G$107*$B$12*$B$13/12*1)+IF(J$116&gt;=2,$G$108*1*IF(J$116=2,$B$12,1),0))*1</f>
        <v>217.066041955203</v>
      </c>
      <c r="K135" s="36" t="n">
        <f aca="false">(IF(K$116&gt;=1,$G$107*IF(K$116=1,$B$12,1),$G$107*$B$12*$B$13/12*1)+IF(K$116&gt;=2,$G$108*1*IF(K$116=2,$B$12,1),0))*1</f>
        <v>217.066041955203</v>
      </c>
      <c r="L135" s="36" t="n">
        <f aca="false">(IF(L$116&gt;=1,$G$107*IF(L$116=1,$B$12,1),$G$107*$B$12*$B$13/12*1)+IF(L$116&gt;=2,$G$108*1*IF(L$116=2,$B$12,1),0))*1</f>
        <v>217.066041955203</v>
      </c>
    </row>
    <row r="136" customFormat="false" ht="15" hidden="false" customHeight="false" outlineLevel="0" collapsed="false">
      <c r="A136" s="6" t="s">
        <v>296</v>
      </c>
      <c r="B136" s="35" t="n">
        <f aca="false">(B135*($B$23+$B$25*$B$24)/365-B127*$B$26/365)</f>
        <v>2.50861009237089</v>
      </c>
      <c r="C136" s="35" t="n">
        <f aca="false">(C135*($B$23+$B$25*$B$24)/365-C127*$B$26/365)-(B135*($B$23+$B$25*$B$24)/365-B127*$B$26/365)*B118/C118</f>
        <v>2.91304119724236</v>
      </c>
      <c r="D136" s="35" t="n">
        <f aca="false">(D135*($B$23+$B$25*$B$24)/365-D127*$B$26/365)-(C135*($B$23+$B$25*$B$24)/365-C127*$B$26/365)*C118/D118</f>
        <v>7.29151021833416</v>
      </c>
      <c r="E136" s="35" t="n">
        <f aca="false">(E135*($B$23+$B$25*$B$24)/365-E127*$B$26/365)-(D135*($B$23+$B$25*$B$24)/365-D127*$B$26/365)*D118/E118</f>
        <v>3.03681159467532</v>
      </c>
      <c r="F136" s="35" t="n">
        <f aca="false">(F135*($B$23+$B$25*$B$24)/365-F127*$B$26/365)-(E135*($B$23+$B$25*$B$24)/365-E127*$B$26/365)*E118/F118</f>
        <v>0.574099993113848</v>
      </c>
      <c r="G136" s="35" t="n">
        <f aca="false">(G135*($B$23+$B$25*$B$24)/365-G127*$B$26/365)-(F135*($B$23+$B$25*$B$24)/365-F127*$B$26/365)*F118/G118</f>
        <v>0.574099993113849</v>
      </c>
      <c r="H136" s="35" t="n">
        <f aca="false">(H135*($B$23+$B$25*$B$24)/365-H127*$B$26/365)-(G135*($B$23+$B$25*$B$24)/365-G127*$B$26/365)*G118/H118</f>
        <v>0.574099993113848</v>
      </c>
      <c r="I136" s="35" t="n">
        <f aca="false">(I135*($B$23+$B$25*$B$24)/365-I127*$B$26/365)-(H135*($B$23+$B$25*$B$24)/365-H127*$B$26/365)*H118/I118</f>
        <v>0.574099993113846</v>
      </c>
      <c r="J136" s="35" t="n">
        <f aca="false">(J135*($B$23+$B$25*$B$24)/365-J127*$B$26/365)-(I135*($B$23+$B$25*$B$24)/365-I127*$B$26/365)*I118/J118</f>
        <v>0.574099993113849</v>
      </c>
      <c r="K136" s="35" t="n">
        <f aca="false">(K135*($B$23+$B$25*$B$24)/365-K127*$B$26/365)-(J135*($B$23+$B$25*$B$24)/365-J127*$B$26/365)*J118/K118</f>
        <v>0.574099993113848</v>
      </c>
      <c r="L136" s="35" t="n">
        <f aca="false">-(K135*($B$23+$B$25*$B$24)/365-K127*$B$26/365)*K118/L118</f>
        <v>-14.3524998278462</v>
      </c>
    </row>
    <row r="137" customFormat="false" ht="15" hidden="false" customHeight="false" outlineLevel="0" collapsed="false">
      <c r="A137" s="6" t="s">
        <v>297</v>
      </c>
      <c r="B137" s="35" t="n">
        <v>0</v>
      </c>
      <c r="C137" s="35" t="n">
        <v>0</v>
      </c>
      <c r="D137" s="35" t="n">
        <v>0</v>
      </c>
      <c r="E137" s="35" t="n">
        <v>0</v>
      </c>
      <c r="F137" s="35" t="n">
        <v>0</v>
      </c>
      <c r="G137" s="35" t="n">
        <v>0</v>
      </c>
      <c r="H137" s="35" t="n">
        <v>0</v>
      </c>
      <c r="I137" s="35" t="n">
        <v>0</v>
      </c>
      <c r="J137" s="35" t="n">
        <v>0</v>
      </c>
      <c r="K137" s="35" t="n">
        <v>0</v>
      </c>
      <c r="L137" s="35" t="n">
        <f aca="false">1*$B$39*($F$82+$F$83*1)*1*(1-$B$10)</f>
        <v>56.0502928201667</v>
      </c>
    </row>
    <row r="138" customFormat="false" ht="15" hidden="false" customHeight="false" outlineLevel="0" collapsed="false">
      <c r="A138" s="5" t="s">
        <v>298</v>
      </c>
      <c r="B138" s="37" t="n">
        <f aca="false">B126-B127-B128-B129-B134-B121-B122-B123-B136+B137</f>
        <v>-662.041045072899</v>
      </c>
      <c r="C138" s="37" t="n">
        <f aca="false">C126-C127-C128-C129-C134-C121-C122-C123-C136+C137</f>
        <v>-418.877649725493</v>
      </c>
      <c r="D138" s="37" t="n">
        <f aca="false">D126-D127-D128-D129-D134-D121-D122-D123-D136+D137</f>
        <v>340.259825124479</v>
      </c>
      <c r="E138" s="37" t="n">
        <f aca="false">E126-E127-E128-E129-E134-E121-E122-E123-E136+E137</f>
        <v>249.458108965084</v>
      </c>
      <c r="F138" s="37" t="n">
        <f aca="false">F126-F127-F128-F129-F134-F121-F122-F123-F136+F137</f>
        <v>250.736851636289</v>
      </c>
      <c r="G138" s="37" t="n">
        <f aca="false">G126-G127-G128-G129-G134-G121-G122-G123-G136+G137</f>
        <v>217.774385245107</v>
      </c>
      <c r="H138" s="37" t="n">
        <f aca="false">H126-H127-H128-H129-H134-H121-H122-H123-H136+H137</f>
        <v>208.880107947902</v>
      </c>
      <c r="I138" s="37" t="n">
        <f aca="false">I126-I127-I128-I129-I134-I121-I122-I123-I136+I137</f>
        <v>254.065402142827</v>
      </c>
      <c r="J138" s="37" t="n">
        <f aca="false">J126-J127-J128-J129-J134-J121-J122-J123-J136+J137</f>
        <v>246.6536473548</v>
      </c>
      <c r="K138" s="37" t="n">
        <f aca="false">K126-K127-K128-K129-K134-K121-K122-K123-K136+K137</f>
        <v>245.743059483011</v>
      </c>
      <c r="L138" s="37" t="n">
        <f aca="false">L126-L127-L128-L129-L134-L121-L122-L123-L136+L137</f>
        <v>315.858759456126</v>
      </c>
    </row>
    <row r="139" customFormat="false" ht="15" hidden="false" customHeight="false" outlineLevel="0" collapsed="false">
      <c r="A139" s="9" t="s">
        <v>299</v>
      </c>
      <c r="B139" s="36" t="n">
        <f aca="false">B138*B118</f>
        <v>-701.763507777273</v>
      </c>
      <c r="C139" s="36" t="n">
        <f aca="false">C138*C118</f>
        <v>-466.210824144474</v>
      </c>
      <c r="D139" s="36" t="n">
        <f aca="false">D138*D118</f>
        <v>395.751098704905</v>
      </c>
      <c r="E139" s="36" t="n">
        <f aca="false">E138*E118</f>
        <v>301.746624052281</v>
      </c>
      <c r="F139" s="36" t="n">
        <f aca="false">F138*F118</f>
        <v>315.425138005962</v>
      </c>
      <c r="G139" s="36" t="n">
        <f aca="false">G138*G118</f>
        <v>284.916938514219</v>
      </c>
      <c r="H139" s="36" t="n">
        <f aca="false">H138*H118</f>
        <v>284.211662626415</v>
      </c>
      <c r="I139" s="36" t="n">
        <f aca="false">I138*I118</f>
        <v>359.520516869641</v>
      </c>
      <c r="J139" s="36" t="n">
        <f aca="false">J138*J118</f>
        <v>362.993653910916</v>
      </c>
      <c r="K139" s="36" t="n">
        <f aca="false">K138*K118</f>
        <v>376.119708438521</v>
      </c>
      <c r="L139" s="36" t="n">
        <f aca="false">L138*L118</f>
        <v>502.772012991512</v>
      </c>
    </row>
    <row r="140" customFormat="false" ht="15" hidden="false" customHeight="false" outlineLevel="0" collapsed="false">
      <c r="A140" s="6" t="s">
        <v>300</v>
      </c>
      <c r="B140" s="35" t="n">
        <f aca="false">B138</f>
        <v>-662.041045072899</v>
      </c>
      <c r="C140" s="35" t="n">
        <f aca="false">B140+C138</f>
        <v>-1080.91869479839</v>
      </c>
      <c r="D140" s="35" t="n">
        <f aca="false">C140+D138</f>
        <v>-740.658869673913</v>
      </c>
      <c r="E140" s="35" t="n">
        <f aca="false">D140+E138</f>
        <v>-491.200760708829</v>
      </c>
      <c r="F140" s="35" t="n">
        <f aca="false">E140+F138</f>
        <v>-240.463909072539</v>
      </c>
      <c r="G140" s="35" t="n">
        <f aca="false">F140+G138</f>
        <v>-22.689523827432</v>
      </c>
      <c r="H140" s="35" t="n">
        <f aca="false">G140+H138</f>
        <v>186.19058412047</v>
      </c>
      <c r="I140" s="35" t="n">
        <f aca="false">H140+I138</f>
        <v>440.255986263298</v>
      </c>
      <c r="J140" s="35" t="n">
        <f aca="false">I140+J138</f>
        <v>686.909633618098</v>
      </c>
      <c r="K140" s="35" t="n">
        <f aca="false">J140+K138</f>
        <v>932.652693101109</v>
      </c>
      <c r="L140" s="35" t="n">
        <f aca="false">K140+L138</f>
        <v>1248.51145255723</v>
      </c>
    </row>
    <row r="141" customFormat="false" ht="15" hidden="false" customHeight="false" outlineLevel="0" collapsed="false">
      <c r="A141" s="9" t="s">
        <v>301</v>
      </c>
      <c r="B141" s="38" t="n">
        <v>0</v>
      </c>
      <c r="C141" s="38" t="n">
        <f aca="false">IF(AND(B140&lt;0,C140&gt;=0),B$116+(-B140)/C138,0)</f>
        <v>0</v>
      </c>
      <c r="D141" s="38" t="n">
        <f aca="false">IF(AND(C140&lt;0,D140&gt;=0),C$116+(-C140)/D138,0)</f>
        <v>0</v>
      </c>
      <c r="E141" s="38" t="n">
        <f aca="false">IF(AND(D140&lt;0,E140&gt;=0),D$116+(-D140)/E138,0)</f>
        <v>0</v>
      </c>
      <c r="F141" s="38" t="n">
        <f aca="false">IF(AND(E140&lt;0,F140&gt;=0),E$116+(-E140)/F138,0)</f>
        <v>0</v>
      </c>
      <c r="G141" s="38" t="n">
        <f aca="false">IF(AND(F140&lt;0,G140&gt;=0),F$116+(-F140)/G138,0)</f>
        <v>0</v>
      </c>
      <c r="H141" s="38" t="n">
        <f aca="false">IF(AND(G140&lt;0,H140&gt;=0),G$116+(-G140)/H138,0)</f>
        <v>5.10862462706641</v>
      </c>
      <c r="I141" s="38" t="n">
        <f aca="false">IF(AND(H140&lt;0,I140&gt;=0),H$116+(-H140)/I138,0)</f>
        <v>0</v>
      </c>
      <c r="J141" s="38" t="n">
        <f aca="false">IF(AND(I140&lt;0,J140&gt;=0),I$116+(-I140)/J138,0)</f>
        <v>0</v>
      </c>
      <c r="K141" s="38" t="n">
        <f aca="false">IF(AND(J140&lt;0,K140&gt;=0),J$116+(-J140)/K138,0)</f>
        <v>0</v>
      </c>
      <c r="L141" s="38" t="n">
        <f aca="false">IF(AND(K140&lt;0,L140&gt;=0),K$116+(-K140)/L138,0)</f>
        <v>0</v>
      </c>
    </row>
    <row r="142" customFormat="false" ht="15" hidden="false" customHeight="false" outlineLevel="0" collapsed="false">
      <c r="A142" s="9" t="s">
        <v>302</v>
      </c>
      <c r="B142" s="34" t="n">
        <f aca="false">(B118/$B$118)/(1+$B$8)^B$116</f>
        <v>1</v>
      </c>
      <c r="C142" s="34" t="n">
        <f aca="false">(C118/$B$118)/(1+$B$8)^C$116</f>
        <v>0.921735848062819</v>
      </c>
      <c r="D142" s="34" t="n">
        <f aca="false">(D118/$B$118)/(1+$B$8)^D$116</f>
        <v>0.845551273729778</v>
      </c>
      <c r="E142" s="34" t="n">
        <f aca="false">(E118/$B$118)/(1+$B$8)^E$116</f>
        <v>0.771952302082657</v>
      </c>
      <c r="F142" s="34" t="n">
        <f aca="false">(F118/$B$118)/(1+$B$8)^F$116</f>
        <v>0.704759575444925</v>
      </c>
      <c r="G142" s="34" t="n">
        <f aca="false">(G118/$B$118)/(1+$B$8)^G$116</f>
        <v>0.643415477667852</v>
      </c>
      <c r="H142" s="34" t="n">
        <f aca="false">(H118/$B$118)/(1+$B$8)^H$116</f>
        <v>0.587410928955732</v>
      </c>
      <c r="I142" s="34" t="n">
        <f aca="false">(I118/$B$118)/(1+$B$8)^I$116</f>
        <v>0.536281161136071</v>
      </c>
      <c r="J142" s="34" t="n">
        <f aca="false">(J118/$B$118)/(1+$B$8)^J$116</f>
        <v>0.489601860661204</v>
      </c>
      <c r="K142" s="34" t="n">
        <f aca="false">(K118/$B$118)/(1+$B$8)^K$116</f>
        <v>0.446985647333025</v>
      </c>
      <c r="L142" s="34" t="n">
        <f aca="false">(L118/$B$118)/(1+$B$8)^L$116</f>
        <v>0.408078859528639</v>
      </c>
    </row>
    <row r="143" customFormat="false" ht="15" hidden="false" customHeight="false" outlineLevel="0" collapsed="false">
      <c r="A143" s="9" t="s">
        <v>303</v>
      </c>
      <c r="B143" s="36" t="n">
        <f aca="false">B138*B142</f>
        <v>-662.041045072899</v>
      </c>
      <c r="C143" s="36" t="n">
        <f aca="false">C138*C142</f>
        <v>-386.094545704288</v>
      </c>
      <c r="D143" s="36" t="n">
        <f aca="false">D138*D142</f>
        <v>287.707128533075</v>
      </c>
      <c r="E143" s="36" t="n">
        <f aca="false">E138*E142</f>
        <v>192.569761488783</v>
      </c>
      <c r="F143" s="36" t="n">
        <f aca="false">F138*F142</f>
        <v>176.709197107588</v>
      </c>
      <c r="G143" s="36" t="n">
        <f aca="false">G138*G142</f>
        <v>140.119410106304</v>
      </c>
      <c r="H143" s="36" t="n">
        <f aca="false">H138*H142</f>
        <v>122.698458250051</v>
      </c>
      <c r="I143" s="36" t="n">
        <f aca="false">I138*I142</f>
        <v>136.250488865658</v>
      </c>
      <c r="J143" s="36" t="n">
        <f aca="false">J138*J142</f>
        <v>120.762084683783</v>
      </c>
      <c r="K143" s="36" t="n">
        <f aca="false">K138*K142</f>
        <v>109.843620520612</v>
      </c>
      <c r="L143" s="36" t="n">
        <f aca="false">L138*L142</f>
        <v>128.895282330986</v>
      </c>
    </row>
    <row r="144" customFormat="false" ht="15" hidden="false" customHeight="false" outlineLevel="0" collapsed="false">
      <c r="A144" s="9" t="s">
        <v>304</v>
      </c>
      <c r="B144" s="36" t="n">
        <f aca="false">B143</f>
        <v>-662.041045072899</v>
      </c>
      <c r="C144" s="36" t="n">
        <f aca="false">B144+C143</f>
        <v>-1048.13559077719</v>
      </c>
      <c r="D144" s="36" t="n">
        <f aca="false">C144+D143</f>
        <v>-760.428462244112</v>
      </c>
      <c r="E144" s="36" t="n">
        <f aca="false">D144+E143</f>
        <v>-567.858700755329</v>
      </c>
      <c r="F144" s="36" t="n">
        <f aca="false">E144+F143</f>
        <v>-391.14950364774</v>
      </c>
      <c r="G144" s="36" t="n">
        <f aca="false">F144+G143</f>
        <v>-251.030093541437</v>
      </c>
      <c r="H144" s="36" t="n">
        <f aca="false">G144+H143</f>
        <v>-128.331635291386</v>
      </c>
      <c r="I144" s="36" t="n">
        <f aca="false">H144+I143</f>
        <v>7.91885357427253</v>
      </c>
      <c r="J144" s="36" t="n">
        <f aca="false">I144+J143</f>
        <v>128.680938258055</v>
      </c>
      <c r="K144" s="36" t="n">
        <f aca="false">J144+K143</f>
        <v>238.524558778667</v>
      </c>
      <c r="L144" s="36" t="n">
        <f aca="false">K144+L143</f>
        <v>367.419841109653</v>
      </c>
    </row>
    <row r="145" customFormat="false" ht="15" hidden="false" customHeight="false" outlineLevel="0" collapsed="false">
      <c r="A145" s="9" t="s">
        <v>305</v>
      </c>
      <c r="B145" s="38" t="n">
        <v>0</v>
      </c>
      <c r="C145" s="38" t="n">
        <f aca="false">IF(AND(B144&lt;0,C144&gt;=0),B$116+(-B144)/C143,0)</f>
        <v>0</v>
      </c>
      <c r="D145" s="38" t="n">
        <f aca="false">IF(AND(C144&lt;0,D144&gt;=0),C$116+(-C144)/D143,0)</f>
        <v>0</v>
      </c>
      <c r="E145" s="38" t="n">
        <f aca="false">IF(AND(D144&lt;0,E144&gt;=0),D$116+(-D144)/E143,0)</f>
        <v>0</v>
      </c>
      <c r="F145" s="38" t="n">
        <f aca="false">IF(AND(E144&lt;0,F144&gt;=0),E$116+(-E144)/F143,0)</f>
        <v>0</v>
      </c>
      <c r="G145" s="38" t="n">
        <f aca="false">IF(AND(F144&lt;0,G144&gt;=0),F$116+(-F144)/G143,0)</f>
        <v>0</v>
      </c>
      <c r="H145" s="38" t="n">
        <f aca="false">IF(AND(G144&lt;0,H144&gt;=0),G$116+(-G144)/H143,0)</f>
        <v>0</v>
      </c>
      <c r="I145" s="38" t="n">
        <f aca="false">IF(AND(H144&lt;0,I144&gt;=0),H$116+(-H144)/I143,0)</f>
        <v>6.94188018230099</v>
      </c>
      <c r="J145" s="38" t="n">
        <f aca="false">IF(AND(I144&lt;0,J144&gt;=0),I$116+(-I144)/J143,0)</f>
        <v>0</v>
      </c>
      <c r="K145" s="38" t="n">
        <f aca="false">IF(AND(J144&lt;0,K144&gt;=0),J$116+(-J144)/K143,0)</f>
        <v>0</v>
      </c>
      <c r="L145" s="38" t="n">
        <f aca="false">IF(AND(K144&lt;0,L144&gt;=0),K$116+(-K144)/L143,0)</f>
        <v>0</v>
      </c>
    </row>
    <row r="146" customFormat="false" ht="15" hidden="false" customHeight="false" outlineLevel="0" collapsed="false">
      <c r="A146" s="9" t="s">
        <v>306</v>
      </c>
      <c r="B146" s="36" t="n">
        <f aca="false">IF(B$116&lt;0,0,($B$40*$B$121*$B$118)*(1-MAX(0,MIN(B$116-0-$B$43,($B$42-$B$43)))/($B$42-$B$43)))+IF(B$116&lt;1,0,($B$40*$C$121*$C$118)*(1-MAX(0,MIN(B$116-1-$B$43,($B$42-$B$43)))/($B$42-$B$43)))</f>
        <v>461.704769247221</v>
      </c>
      <c r="C146" s="36" t="n">
        <f aca="false">IF(C$116&lt;0,0,($B$40*$B$121*$B$118)*(1-MAX(0,MIN(C$116-0-$B$43,($B$42-$B$43)))/($B$42-$B$43)))+IF(C$116&lt;1,0,($B$40*$C$121*$C$118)*(1-MAX(0,MIN(C$116-1-$B$43,($B$42-$B$43)))/($B$42-$B$43)))</f>
        <v>964.434695258825</v>
      </c>
      <c r="D146" s="36" t="n">
        <f aca="false">IF(D$116&lt;0,0,($B$40*$B$121*$B$118)*(1-MAX(0,MIN(D$116-0-$B$43,($B$42-$B$43)))/($B$42-$B$43)))+IF(D$116&lt;1,0,($B$40*$C$121*$C$118)*(1-MAX(0,MIN(D$116-1-$B$43,($B$42-$B$43)))/($B$42-$B$43)))</f>
        <v>887.483900384289</v>
      </c>
      <c r="E146" s="36" t="n">
        <f aca="false">IF(E$116&lt;0,0,($B$40*$B$121*$B$118)*(1-MAX(0,MIN(E$116-0-$B$43,($B$42-$B$43)))/($B$42-$B$43)))+IF(E$116&lt;1,0,($B$40*$C$121*$C$118)*(1-MAX(0,MIN(E$116-1-$B$43,($B$42-$B$43)))/($B$42-$B$43)))</f>
        <v>726.744784507818</v>
      </c>
      <c r="F146" s="36" t="n">
        <f aca="false">IF(F$116&lt;0,0,($B$40*$B$121*$B$118)*(1-MAX(0,MIN(F$116-0-$B$43,($B$42-$B$43)))/($B$42-$B$43)))+IF(F$116&lt;1,0,($B$40*$C$121*$C$118)*(1-MAX(0,MIN(F$116-1-$B$43,($B$42-$B$43)))/($B$42-$B$43)))</f>
        <v>566.005668631347</v>
      </c>
      <c r="G146" s="36" t="n">
        <f aca="false">IF(G$116&lt;0,0,($B$40*$B$121*$B$118)*(1-MAX(0,MIN(G$116-0-$B$43,($B$42-$B$43)))/($B$42-$B$43)))+IF(G$116&lt;1,0,($B$40*$C$121*$C$118)*(1-MAX(0,MIN(G$116-1-$B$43,($B$42-$B$43)))/($B$42-$B$43)))</f>
        <v>405.266552754876</v>
      </c>
      <c r="H146" s="36" t="n">
        <f aca="false">IF(H$116&lt;0,0,($B$40*$B$121*$B$118)*(1-MAX(0,MIN(H$116-0-$B$43,($B$42-$B$43)))/($B$42-$B$43)))+IF(H$116&lt;1,0,($B$40*$C$121*$C$118)*(1-MAX(0,MIN(H$116-1-$B$43,($B$42-$B$43)))/($B$42-$B$43)))</f>
        <v>244.527436878405</v>
      </c>
      <c r="I146" s="36" t="n">
        <f aca="false">IF(I$116&lt;0,0,($B$40*$B$121*$B$118)*(1-MAX(0,MIN(I$116-0-$B$43,($B$42-$B$43)))/($B$42-$B$43)))+IF(I$116&lt;1,0,($B$40*$C$121*$C$118)*(1-MAX(0,MIN(I$116-1-$B$43,($B$42-$B$43)))/($B$42-$B$43)))</f>
        <v>83.788321001934</v>
      </c>
      <c r="J146" s="36" t="n">
        <f aca="false">IF(J$116&lt;0,0,($B$40*$B$121*$B$118)*(1-MAX(0,MIN(J$116-0-$B$43,($B$42-$B$43)))/($B$42-$B$43)))+IF(J$116&lt;1,0,($B$40*$C$121*$C$118)*(1-MAX(0,MIN(J$116-1-$B$43,($B$42-$B$43)))/($B$42-$B$43)))</f>
        <v>0</v>
      </c>
      <c r="K146" s="36" t="n">
        <f aca="false">IF(K$116&lt;0,0,($B$40*$B$121*$B$118)*(1-MAX(0,MIN(K$116-0-$B$43,($B$42-$B$43)))/($B$42-$B$43)))+IF(K$116&lt;1,0,($B$40*$C$121*$C$118)*(1-MAX(0,MIN(K$116-1-$B$43,($B$42-$B$43)))/($B$42-$B$43)))</f>
        <v>0</v>
      </c>
      <c r="L146" s="36" t="n">
        <f aca="false">IF(L$116&lt;0,0,($B$40*$B$121*$B$118)*(1-MAX(0,MIN(L$116-0-$B$43,($B$42-$B$43)))/($B$42-$B$43)))+IF(L$116&lt;1,0,($B$40*$C$121*$C$118)*(1-MAX(0,MIN(L$116-1-$B$43,($B$42-$B$43)))/($B$42-$B$43)))</f>
        <v>0</v>
      </c>
    </row>
    <row r="147" customFormat="false" ht="15" hidden="false" customHeight="false" outlineLevel="0" collapsed="false">
      <c r="A147" s="6" t="s">
        <v>307</v>
      </c>
      <c r="B147" s="35" t="n">
        <f aca="false">$B$40*B121</f>
        <v>435.57053702568</v>
      </c>
      <c r="C147" s="35" t="n">
        <f aca="false">$B$40*C121</f>
        <v>451.689062005035</v>
      </c>
      <c r="D147" s="35" t="n">
        <f aca="false">$B$40*D121</f>
        <v>0</v>
      </c>
      <c r="E147" s="35" t="n">
        <f aca="false">$B$40*E121</f>
        <v>0</v>
      </c>
      <c r="F147" s="35" t="n">
        <f aca="false">$B$40*F121</f>
        <v>0</v>
      </c>
      <c r="G147" s="35" t="n">
        <f aca="false">$B$40*G121</f>
        <v>0</v>
      </c>
      <c r="H147" s="35" t="n">
        <f aca="false">$B$40*H121</f>
        <v>0</v>
      </c>
      <c r="I147" s="35" t="n">
        <f aca="false">$B$40*I121</f>
        <v>0</v>
      </c>
      <c r="J147" s="35" t="n">
        <f aca="false">$B$40*J121</f>
        <v>0</v>
      </c>
      <c r="K147" s="35" t="n">
        <f aca="false">$B$40*K121</f>
        <v>0</v>
      </c>
      <c r="L147" s="35" t="n">
        <f aca="false">$B$40*L121</f>
        <v>0</v>
      </c>
    </row>
    <row r="148" customFormat="false" ht="15" hidden="false" customHeight="false" outlineLevel="0" collapsed="false">
      <c r="A148" s="6" t="s">
        <v>308</v>
      </c>
      <c r="B148" s="35" t="n">
        <f aca="false">(IF(AND(B$116&gt;0,B$116&lt;=0+$B$42),($B$41+0)*(($B$40*$B$121*$B$118)-($B$40*$B$121*$B$118)/($B$42-$B$43)*MAX(0,MIN(B$116-1-0-$B$43,($B$42-$B$43)))),0)+IF(AND(B$116&gt;1,B$116&lt;=1+$B$42),($B$41+0)*(($B$40*$C$121*$C$118)-($B$40*$C$121*$C$118)/($B$42-$B$43)*MAX(0,MIN(B$116-1-1-$B$43,($B$42-$B$43)))),0))*B120</f>
        <v>0</v>
      </c>
      <c r="C148" s="35" t="n">
        <f aca="false">(IF(AND(C$116&gt;0,C$116&lt;=0+$B$42),($B$41+0)*(($B$40*$B$121*$B$118)-($B$40*$B$121*$B$118)/($B$42-$B$43)*MAX(0,MIN(C$116-1-0-$B$43,($B$42-$B$43)))),0)+IF(AND(C$116&gt;1,C$116&lt;=1+$B$42),($B$41+0)*(($B$40*$C$121*$C$118)-($B$40*$C$121*$C$118)/($B$42-$B$43)*MAX(0,MIN(C$116-1-1-$B$43,($B$42-$B$43)))),0))*C120</f>
        <v>58.4909006863056</v>
      </c>
      <c r="D148" s="35" t="n">
        <f aca="false">(IF(AND(D$116&gt;0,D$116&lt;=0+$B$42),($B$41+0)*(($B$40*$B$121*$B$118)-($B$40*$B$121*$B$118)/($B$42-$B$43)*MAX(0,MIN(D$116-1-0-$B$43,($B$42-$B$43)))),0)+IF(AND(D$116&gt;1,D$116&lt;=1+$B$42),($B$41+0)*(($B$40*$C$121*$C$118)-($B$40*$C$121*$C$118)/($B$42-$B$43)*MAX(0,MIN(D$116-1-1-$B$43,($B$42-$B$43)))),0))*D120</f>
        <v>116.917759262216</v>
      </c>
      <c r="E148" s="35" t="n">
        <f aca="false">(IF(AND(E$116&gt;0,E$116&lt;=0+$B$42),($B$41+0)*(($B$40*$B$121*$B$118)-($B$40*$B$121*$B$118)/($B$42-$B$43)*MAX(0,MIN(E$116-1-0-$B$43,($B$42-$B$43)))),0)+IF(AND(E$116&gt;1,E$116&lt;=1+$B$42),($B$41+0)*(($B$40*$C$121*$C$118)-($B$40*$C$121*$C$118)/($B$42-$B$43)*MAX(0,MIN(E$116-1-1-$B$43,($B$42-$B$43)))),0))*E120</f>
        <v>103.451025930528</v>
      </c>
      <c r="F148" s="35" t="n">
        <f aca="false">(IF(AND(F$116&gt;0,F$116&lt;=0+$B$42),($B$41+0)*(($B$40*$B$121*$B$118)-($B$40*$B$121*$B$118)/($B$42-$B$43)*MAX(0,MIN(F$116-1-0-$B$43,($B$42-$B$43)))),0)+IF(AND(F$116&gt;1,F$116&lt;=1+$B$42),($B$41+0)*(($B$40*$C$121*$C$118)-($B$40*$C$121*$C$118)/($B$42-$B$43)*MAX(0,MIN(F$116-1-1-$B$43,($B$42-$B$43)))),0))*F120</f>
        <v>81.455966861483</v>
      </c>
      <c r="G148" s="35" t="n">
        <f aca="false">(IF(AND(G$116&gt;0,G$116&lt;=0+$B$42),($B$41+0)*(($B$40*$B$121*$B$118)-($B$40*$B$121*$B$118)/($B$42-$B$43)*MAX(0,MIN(G$116-1-0-$B$43,($B$42-$B$43)))),0)+IF(AND(G$116&gt;1,G$116&lt;=1+$B$42),($B$41+0)*(($B$40*$C$121*$C$118)-($B$40*$C$121*$C$118)/($B$42-$B$43)*MAX(0,MIN(G$116-1-1-$B$43,($B$42-$B$43)))),0))*G120</f>
        <v>60.9998013511061</v>
      </c>
      <c r="H148" s="35" t="n">
        <f aca="false">(IF(AND(H$116&gt;0,H$116&lt;=0+$B$42),($B$41+0)*(($B$40*$B$121*$B$118)-($B$40*$B$121*$B$118)/($B$42-$B$43)*MAX(0,MIN(H$116-1-0-$B$43,($B$42-$B$43)))),0)+IF(AND(H$116&gt;1,H$116&lt;=1+$B$42),($B$41+0)*(($B$40*$C$121*$C$118)-($B$40*$C$121*$C$118)/($B$42-$B$43)*MAX(0,MIN(H$116-1-1-$B$43,($B$42-$B$43)))),0))*H120</f>
        <v>41.9966900414366</v>
      </c>
      <c r="I148" s="35" t="n">
        <f aca="false">(IF(AND(I$116&gt;0,I$116&lt;=0+$B$42),($B$41+0)*(($B$40*$B$121*$B$118)-($B$40*$B$121*$B$118)/($B$42-$B$43)*MAX(0,MIN(I$116-1-0-$B$43,($B$42-$B$43)))),0)+IF(AND(I$116&gt;1,I$116&lt;=1+$B$42),($B$41+0)*(($B$40*$C$121*$C$118)-($B$40*$C$121*$C$118)/($B$42-$B$43)*MAX(0,MIN(I$116-1-1-$B$43,($B$42-$B$43)))),0))*I120</f>
        <v>24.3651201322873</v>
      </c>
      <c r="J148" s="35" t="n">
        <f aca="false">(IF(AND(J$116&gt;0,J$116&lt;=0+$B$42),($B$41+0)*(($B$40*$B$121*$B$118)-($B$40*$B$121*$B$118)/($B$42-$B$43)*MAX(0,MIN(J$116-1-0-$B$43,($B$42-$B$43)))),0)+IF(AND(J$116&gt;1,J$116&lt;=1+$B$42),($B$41+0)*(($B$40*$C$121*$C$118)-($B$40*$C$121*$C$118)/($B$42-$B$43)*MAX(0,MIN(J$116-1-1-$B$43,($B$42-$B$43)))),0))*J120</f>
        <v>8.02769955040774</v>
      </c>
      <c r="K148" s="35" t="n">
        <f aca="false">(IF(AND(K$116&gt;0,K$116&lt;=0+$B$42),($B$41+0)*(($B$40*$B$121*$B$118)-($B$40*$B$121*$B$118)/($B$42-$B$43)*MAX(0,MIN(K$116-1-0-$B$43,($B$42-$B$43)))),0)+IF(AND(K$116&gt;1,K$116&lt;=1+$B$42),($B$41+0)*(($B$40*$C$121*$C$118)-($B$40*$C$121*$C$118)/($B$42-$B$43)*MAX(0,MIN(K$116-1-1-$B$43,($B$42-$B$43)))),0))*K120</f>
        <v>0</v>
      </c>
      <c r="L148" s="35" t="n">
        <f aca="false">(IF(AND(L$116&gt;0,L$116&lt;=0+$B$42),($B$41+0)*(($B$40*$B$121*$B$118)-($B$40*$B$121*$B$118)/($B$42-$B$43)*MAX(0,MIN(L$116-1-0-$B$43,($B$42-$B$43)))),0)+IF(AND(L$116&gt;1,L$116&lt;=1+$B$42),($B$41+0)*(($B$40*$C$121*$C$118)-($B$40*$C$121*$C$118)/($B$42-$B$43)*MAX(0,MIN(L$116-1-1-$B$43,($B$42-$B$43)))),0))*L120</f>
        <v>0</v>
      </c>
    </row>
    <row r="149" customFormat="false" ht="15" hidden="false" customHeight="false" outlineLevel="0" collapsed="false">
      <c r="A149" s="6" t="s">
        <v>309</v>
      </c>
      <c r="B149" s="35" t="n">
        <f aca="false">(IF(AND(B$116&gt;0+$B$43,B$116&lt;=0+$B$42),($B$40*$B$121*$B$118)/($B$42-$B$43),0)+IF(AND(B$116&gt;1+$B$43,B$116&lt;=1+$B$42),($B$40*$C$121*$C$118)/($B$42-$B$43),0))*B120</f>
        <v>0</v>
      </c>
      <c r="C149" s="35" t="n">
        <f aca="false">(IF(AND(C$116&gt;0+$B$43,C$116&lt;=0+$B$42),($B$40*$B$121*$B$118)/($B$42-$B$43),0)+IF(AND(C$116&gt;1+$B$43,C$116&lt;=1+$B$42),($B$40*$C$121*$C$118)/($B$42-$B$43),0))*C120</f>
        <v>0</v>
      </c>
      <c r="D149" s="35" t="n">
        <f aca="false">(IF(AND(D$116&gt;0+$B$43,D$116&lt;=0+$B$42),($B$40*$B$121*$B$118)/($B$42-$B$43),0)+IF(AND(D$116&gt;1+$B$43,D$116&lt;=1+$B$42),($B$40*$C$121*$C$118)/($B$42-$B$43),0))*D120</f>
        <v>66.1609382586284</v>
      </c>
      <c r="E149" s="35" t="n">
        <f aca="false">(IF(AND(E$116&gt;0+$B$43,E$116&lt;=0+$B$42),($B$40*$B$121*$B$118)/($B$42-$B$43),0)+IF(AND(E$116&gt;1+$B$43,E$116&lt;=1+$B$42),($B$40*$C$121*$C$118)/($B$42-$B$43),0))*E120</f>
        <v>132.885251025432</v>
      </c>
      <c r="F149" s="35" t="n">
        <f aca="false">(IF(AND(F$116&gt;0+$B$43,F$116&lt;=0+$B$42),($B$40*$B$121*$B$118)/($B$42-$B$43),0)+IF(AND(F$116&gt;1+$B$43,F$116&lt;=1+$B$42),($B$40*$C$121*$C$118)/($B$42-$B$43),0))*F120</f>
        <v>127.774279832146</v>
      </c>
      <c r="G149" s="35" t="n">
        <f aca="false">(IF(AND(G$116&gt;0+$B$43,G$116&lt;=0+$B$42),($B$40*$B$121*$B$118)/($B$42-$B$43),0)+IF(AND(G$116&gt;1+$B$43,G$116&lt;=1+$B$42),($B$40*$C$121*$C$118)/($B$42-$B$43),0))*G120</f>
        <v>122.859884453986</v>
      </c>
      <c r="H149" s="35" t="n">
        <f aca="false">(IF(AND(H$116&gt;0+$B$43,H$116&lt;=0+$B$42),($B$40*$B$121*$B$118)/($B$42-$B$43),0)+IF(AND(H$116&gt;1+$B$43,H$116&lt;=1+$B$42),($B$40*$C$121*$C$118)/($B$42-$B$43),0))*H120</f>
        <v>118.134504282679</v>
      </c>
      <c r="I149" s="35" t="n">
        <f aca="false">(IF(AND(I$116&gt;0+$B$43,I$116&lt;=0+$B$42),($B$40*$B$121*$B$118)/($B$42-$B$43),0)+IF(AND(I$116&gt;1+$B$43,I$116&lt;=1+$B$42),($B$40*$C$121*$C$118)/($B$42-$B$43),0))*I120</f>
        <v>113.590869502576</v>
      </c>
      <c r="J149" s="35" t="n">
        <f aca="false">(IF(AND(J$116&gt;0+$B$43,J$116&lt;=0+$B$42),($B$40*$B$121*$B$118)/($B$42-$B$43),0)+IF(AND(J$116&gt;1+$B$43,J$116&lt;=1+$B$42),($B$40*$C$121*$C$118)/($B$42-$B$43),0))*J120</f>
        <v>56.9340393645939</v>
      </c>
      <c r="K149" s="35" t="n">
        <f aca="false">(IF(AND(K$116&gt;0+$B$43,K$116&lt;=0+$B$42),($B$40*$B$121*$B$118)/($B$42-$B$43),0)+IF(AND(K$116&gt;1+$B$43,K$116&lt;=1+$B$42),($B$40*$C$121*$C$118)/($B$42-$B$43),0))*K120</f>
        <v>0</v>
      </c>
      <c r="L149" s="35" t="n">
        <f aca="false">(IF(AND(L$116&gt;0+$B$43,L$116&lt;=0+$B$42),($B$40*$B$121*$B$118)/($B$42-$B$43),0)+IF(AND(L$116&gt;1+$B$43,L$116&lt;=1+$B$42),($B$40*$C$121*$C$118)/($B$42-$B$43),0))*L120</f>
        <v>0</v>
      </c>
    </row>
    <row r="150" customFormat="false" ht="15" hidden="false" customHeight="false" outlineLevel="0" collapsed="false">
      <c r="A150" s="6" t="s">
        <v>310</v>
      </c>
      <c r="B150" s="35" t="n">
        <f aca="false">$B$48*$B$44*(1+0.19)*B146*B120+(1-$B$48)*IF(B$116=0,$B$53,0)</f>
        <v>4</v>
      </c>
      <c r="C150" s="35" t="n">
        <f aca="false">$B$48*$B$44*(1+0.19)*C146*C120+(1-$B$48)*IF(C$116=0,$B$53,0)</f>
        <v>0</v>
      </c>
      <c r="D150" s="35" t="n">
        <f aca="false">$B$48*$B$44*(1+0.19)*D146*D120+(1-$B$48)*IF(D$116=0,$B$53,0)</f>
        <v>0</v>
      </c>
      <c r="E150" s="35" t="n">
        <f aca="false">$B$48*$B$44*(1+0.19)*E146*E120+(1-$B$48)*IF(E$116=0,$B$53,0)</f>
        <v>0</v>
      </c>
      <c r="F150" s="35" t="n">
        <f aca="false">$B$48*$B$44*(1+0.19)*F146*F120+(1-$B$48)*IF(F$116=0,$B$53,0)</f>
        <v>0</v>
      </c>
      <c r="G150" s="35" t="n">
        <f aca="false">$B$48*$B$44*(1+0.19)*G146*G120+(1-$B$48)*IF(G$116=0,$B$53,0)</f>
        <v>0</v>
      </c>
      <c r="H150" s="35" t="n">
        <f aca="false">$B$48*$B$44*(1+0.19)*H146*H120+(1-$B$48)*IF(H$116=0,$B$53,0)</f>
        <v>0</v>
      </c>
      <c r="I150" s="35" t="n">
        <f aca="false">$B$48*$B$44*(1+0.19)*I146*I120+(1-$B$48)*IF(I$116=0,$B$53,0)</f>
        <v>0</v>
      </c>
      <c r="J150" s="35" t="n">
        <f aca="false">$B$48*$B$44*(1+0.19)*J146*J120+(1-$B$48)*IF(J$116=0,$B$53,0)</f>
        <v>0</v>
      </c>
      <c r="K150" s="35" t="n">
        <f aca="false">$B$48*$B$44*(1+0.19)*K146*K120+(1-$B$48)*IF(K$116=0,$B$53,0)</f>
        <v>0</v>
      </c>
      <c r="L150" s="35" t="n">
        <f aca="false">$B$48*$B$44*(1+0.19)*L146*L120+(1-$B$48)*IF(L$116=0,$B$53,0)</f>
        <v>0</v>
      </c>
    </row>
    <row r="151" customFormat="false" ht="15" hidden="false" customHeight="false" outlineLevel="0" collapsed="false">
      <c r="A151" s="6" t="s">
        <v>311</v>
      </c>
      <c r="B151" s="35" t="n">
        <f aca="false">$B$45*(B148+B149+B150)</f>
        <v>0.016</v>
      </c>
      <c r="C151" s="35" t="n">
        <f aca="false">$B$45*(C148+C149+C150)</f>
        <v>0.233963602745223</v>
      </c>
      <c r="D151" s="35" t="n">
        <f aca="false">$B$45*(D148+D149+D150)</f>
        <v>0.732314790083377</v>
      </c>
      <c r="E151" s="35" t="n">
        <f aca="false">$B$45*(E148+E149+E150)</f>
        <v>0.94534510782384</v>
      </c>
      <c r="F151" s="35" t="n">
        <f aca="false">$B$45*(F148+F149+F150)</f>
        <v>0.836920986774515</v>
      </c>
      <c r="G151" s="35" t="n">
        <f aca="false">$B$45*(G148+G149+G150)</f>
        <v>0.73543874322037</v>
      </c>
      <c r="H151" s="35" t="n">
        <f aca="false">$B$45*(H148+H149+H150)</f>
        <v>0.640524777296463</v>
      </c>
      <c r="I151" s="35" t="n">
        <f aca="false">$B$45*(I148+I149+I150)</f>
        <v>0.551823958539454</v>
      </c>
      <c r="J151" s="35" t="n">
        <f aca="false">$B$45*(J148+J149+J150)</f>
        <v>0.259846955660007</v>
      </c>
      <c r="K151" s="35" t="n">
        <f aca="false">$B$45*(K148+K149+K150)</f>
        <v>0</v>
      </c>
      <c r="L151" s="35" t="n">
        <f aca="false">$B$45*(L148+L149+L150)</f>
        <v>0</v>
      </c>
    </row>
    <row r="152" customFormat="false" ht="15" hidden="false" customHeight="false" outlineLevel="0" collapsed="false">
      <c r="A152" s="6" t="s">
        <v>312</v>
      </c>
      <c r="B152" s="35" t="n">
        <f aca="false">$B$10*(B148+B150+0.5*B151)</f>
        <v>1.4028</v>
      </c>
      <c r="C152" s="35" t="n">
        <f aca="false">$B$10*(C148+C150+0.5*C151)</f>
        <v>20.5127588706874</v>
      </c>
      <c r="D152" s="35" t="n">
        <f aca="false">$B$10*(D148+D150+0.5*D151)</f>
        <v>41.0493708300401</v>
      </c>
      <c r="E152" s="35" t="n">
        <f aca="false">$B$10*(E148+E150+0.5*E151)</f>
        <v>36.373294469554</v>
      </c>
      <c r="F152" s="35" t="n">
        <f aca="false">$B$10*(F148+F150+0.5*F151)</f>
        <v>28.6560495742046</v>
      </c>
      <c r="G152" s="35" t="n">
        <f aca="false">$B$10*(G148+G150+0.5*G151)</f>
        <v>21.4786322529507</v>
      </c>
      <c r="H152" s="35" t="n">
        <f aca="false">$B$10*(H148+H150+0.5*H151)</f>
        <v>14.8109333505297</v>
      </c>
      <c r="I152" s="35" t="n">
        <f aca="false">$B$10*(I148+I150+0.5*I151)</f>
        <v>8.62436123904496</v>
      </c>
      <c r="J152" s="35" t="n">
        <f aca="false">$B$10*(J148+J150+0.5*J151)</f>
        <v>2.85516805988321</v>
      </c>
      <c r="K152" s="35" t="n">
        <f aca="false">$B$10*(K148+K150+0.5*K151)</f>
        <v>0</v>
      </c>
      <c r="L152" s="35" t="n">
        <f aca="false">$B$10*(L148+L150+0.5*L151)</f>
        <v>0</v>
      </c>
    </row>
    <row r="153" customFormat="false" ht="15" hidden="false" customHeight="false" outlineLevel="0" collapsed="false">
      <c r="A153" s="5" t="s">
        <v>313</v>
      </c>
      <c r="B153" s="37" t="n">
        <f aca="false">B138+B147-B148-B149-B150-B151+B152</f>
        <v>-229.083708047218</v>
      </c>
      <c r="C153" s="37" t="n">
        <f aca="false">C138+C147-C148-C149-C150-C151+C152</f>
        <v>-5.40069313882179</v>
      </c>
      <c r="D153" s="37" t="n">
        <f aca="false">D138+D147-D148-D149-D150-D151+D152</f>
        <v>197.498183643592</v>
      </c>
      <c r="E153" s="37" t="n">
        <f aca="false">E138+E147-E148-E149-E150-E151+E152</f>
        <v>48.5497813708543</v>
      </c>
      <c r="F153" s="37" t="n">
        <f aca="false">F138+F147-F148-F149-F150-F151+F152</f>
        <v>69.3257335300906</v>
      </c>
      <c r="G153" s="37" t="n">
        <f aca="false">G138+G147-G148-G149-G150-G151+G152</f>
        <v>54.6578929497451</v>
      </c>
      <c r="H153" s="37" t="n">
        <f aca="false">H138+H147-H148-H149-H150-H151+H152</f>
        <v>62.9193221970198</v>
      </c>
      <c r="I153" s="37" t="n">
        <f aca="false">I138+I147-I148-I149-I150-I151+I152</f>
        <v>124.181949788469</v>
      </c>
      <c r="J153" s="37" t="n">
        <f aca="false">J138+J147-J148-J149-J150-J151+J152</f>
        <v>184.287229544022</v>
      </c>
      <c r="K153" s="37" t="n">
        <f aca="false">K138+K147-K148-K149-K150-K151+K152</f>
        <v>245.743059483011</v>
      </c>
      <c r="L153" s="37" t="n">
        <f aca="false">L138+L147-L148-L149-L150-L151+L152</f>
        <v>315.858759456126</v>
      </c>
    </row>
    <row r="154" customFormat="false" ht="15" hidden="false" customHeight="false" outlineLevel="0" collapsed="false">
      <c r="A154" s="9" t="s">
        <v>314</v>
      </c>
      <c r="B154" s="36" t="n">
        <f aca="false">B153*B118</f>
        <v>-242.828730530051</v>
      </c>
      <c r="C154" s="36" t="n">
        <f aca="false">C153*C118</f>
        <v>-6.01097146350866</v>
      </c>
      <c r="D154" s="36" t="n">
        <f aca="false">D153*D118</f>
        <v>229.707174923107</v>
      </c>
      <c r="E154" s="36" t="n">
        <f aca="false">E153*E118</f>
        <v>58.7262233643489</v>
      </c>
      <c r="F154" s="36" t="n">
        <f aca="false">F153*F118</f>
        <v>87.2112691987256</v>
      </c>
      <c r="G154" s="36" t="n">
        <f aca="false">G153*G118</f>
        <v>71.5096015876788</v>
      </c>
      <c r="H154" s="36" t="n">
        <f aca="false">H153*H118</f>
        <v>85.6108575805706</v>
      </c>
      <c r="I154" s="36" t="n">
        <f aca="false">I153*I118</f>
        <v>175.726243704492</v>
      </c>
      <c r="J154" s="36" t="n">
        <f aca="false">J153*J118</f>
        <v>271.210645124086</v>
      </c>
      <c r="K154" s="36" t="n">
        <f aca="false">K153*K118</f>
        <v>376.119708438521</v>
      </c>
      <c r="L154" s="36" t="n">
        <f aca="false">L153*L118</f>
        <v>502.772012991512</v>
      </c>
    </row>
    <row r="155" customFormat="false" ht="15" hidden="false" customHeight="false" outlineLevel="0" collapsed="false">
      <c r="A155" s="9" t="s">
        <v>315</v>
      </c>
      <c r="B155" s="34" t="n">
        <f aca="false">(B118/$B$118)/(1+$B$46+0)^B$116</f>
        <v>1</v>
      </c>
      <c r="C155" s="34" t="n">
        <f aca="false">(C118/$B$118)/(1+$B$46+0)^C$116</f>
        <v>0.84</v>
      </c>
      <c r="D155" s="34" t="n">
        <f aca="false">(D118/$B$118)/(1+$B$46+0)^D$116</f>
        <v>0.70224</v>
      </c>
      <c r="E155" s="34" t="n">
        <f aca="false">(E118/$B$118)/(1+$B$46+0)^E$116</f>
        <v>0.58426368</v>
      </c>
      <c r="F155" s="34" t="n">
        <f aca="false">(F118/$B$118)/(1+$B$46+0)^F$116</f>
        <v>0.48610738176</v>
      </c>
      <c r="G155" s="34" t="n">
        <f aca="false">(G118/$B$118)/(1+$B$46+0)^G$116</f>
        <v>0.40444134162432</v>
      </c>
      <c r="H155" s="34" t="n">
        <f aca="false">(H118/$B$118)/(1+$B$46+0)^H$116</f>
        <v>0.336495196231434</v>
      </c>
      <c r="I155" s="34" t="n">
        <f aca="false">(I118/$B$118)/(1+$B$46+0)^I$116</f>
        <v>0.279964003264553</v>
      </c>
      <c r="J155" s="34" t="n">
        <f aca="false">(J118/$B$118)/(1+$B$46+0)^J$116</f>
        <v>0.232930050716108</v>
      </c>
      <c r="K155" s="34" t="n">
        <f aca="false">(K118/$B$118)/(1+$B$46+0)^K$116</f>
        <v>0.193797802195802</v>
      </c>
      <c r="L155" s="34" t="n">
        <f aca="false">(L118/$B$118)/(1+$B$46+0)^L$116</f>
        <v>0.161239771426907</v>
      </c>
    </row>
    <row r="156" customFormat="false" ht="15" hidden="false" customHeight="false" outlineLevel="0" collapsed="false">
      <c r="A156" s="9" t="s">
        <v>316</v>
      </c>
      <c r="B156" s="36" t="n">
        <f aca="false">B138+B121+B123+B152</f>
        <v>60.9532547375949</v>
      </c>
      <c r="C156" s="36" t="n">
        <f aca="false">C138+C121+C123+C152</f>
        <v>369.506514553754</v>
      </c>
      <c r="D156" s="36" t="n">
        <f aca="false">D138+D121+D123+D152</f>
        <v>381.30919595452</v>
      </c>
      <c r="E156" s="36" t="n">
        <f aca="false">E138+E121+E123+E152</f>
        <v>285.831403434638</v>
      </c>
      <c r="F156" s="36" t="n">
        <f aca="false">F138+F121+F123+F152</f>
        <v>279.392901210494</v>
      </c>
      <c r="G156" s="36" t="n">
        <f aca="false">G138+G121+G123+G152</f>
        <v>244.319684164725</v>
      </c>
      <c r="H156" s="36" t="n">
        <f aca="false">H138+H121+H123+H152</f>
        <v>230.398906379199</v>
      </c>
      <c r="I156" s="36" t="n">
        <f aca="false">I138+I121+I123+I152</f>
        <v>262.689763381872</v>
      </c>
      <c r="J156" s="36" t="n">
        <f aca="false">J138+J121+J123+J152</f>
        <v>249.508815414683</v>
      </c>
      <c r="K156" s="36" t="n">
        <f aca="false">K138+K121+K123+K152</f>
        <v>245.743059483011</v>
      </c>
      <c r="L156" s="36" t="n">
        <f aca="false">L138+L121+L123+L152</f>
        <v>315.858759456126</v>
      </c>
    </row>
    <row r="157" customFormat="false" ht="15" hidden="false" customHeight="false" outlineLevel="0" collapsed="false">
      <c r="A157" s="5" t="s">
        <v>317</v>
      </c>
      <c r="B157" s="12" t="str">
        <f aca="false">IF(AND(B$116&gt;=1,(B148+B149+B150)&gt;0.001),B156/(B148+B149+B150),"")</f>
        <v/>
      </c>
      <c r="C157" s="12" t="n">
        <f aca="false">IF(AND(C$116&gt;=1,(C148+C149+C150)&gt;0.001),C156/(C148+C149+C150),"")</f>
        <v>6.3173332983102</v>
      </c>
      <c r="D157" s="12" t="n">
        <f aca="false">IF(AND(D$116&gt;=1,(D148+D149+D150)&gt;0.001),D156/(D148+D149+D150),"")</f>
        <v>2.08276113561003</v>
      </c>
      <c r="E157" s="12" t="n">
        <f aca="false">IF(AND(E$116&gt;=1,(E148+E149+E150)&gt;0.001),E156/(E148+E149+E150),"")</f>
        <v>1.20942669960017</v>
      </c>
      <c r="F157" s="12" t="n">
        <f aca="false">IF(AND(F$116&gt;=1,(F148+F149+F150)&gt;0.001),F156/(F148+F149+F150),"")</f>
        <v>1.33533705391842</v>
      </c>
      <c r="G157" s="12" t="n">
        <f aca="false">IF(AND(G$116&gt;=1,(G148+G149+G150)&gt;0.001),G156/(G148+G149+G150),"")</f>
        <v>1.32883771173048</v>
      </c>
      <c r="H157" s="12" t="n">
        <f aca="false">IF(AND(H$116&gt;=1,(H148+H149+H150)&gt;0.001),H156/(H148+H149+H150),"")</f>
        <v>1.43881338893193</v>
      </c>
      <c r="I157" s="12" t="n">
        <f aca="false">IF(AND(I$116&gt;=1,(I148+I149+I150)&gt;0.001),I156/(I148+I149+I150),"")</f>
        <v>1.90415627532483</v>
      </c>
      <c r="J157" s="12" t="n">
        <f aca="false">IF(AND(J$116&gt;=1,(J148+J149+J150)&gt;0.001),J156/(J148+J149+J150),"")</f>
        <v>3.84085801245484</v>
      </c>
      <c r="K157" s="12" t="str">
        <f aca="false">IF(AND(K$116&gt;=1,(K148+K149+K150)&gt;0.001),K156/(K148+K149+K150),"")</f>
        <v/>
      </c>
      <c r="L157" s="12" t="str">
        <f aca="false">IF(AND(L$116&gt;=1,(L148+L149+L150)&gt;0.001),L156/(L148+L149+L150),"")</f>
        <v/>
      </c>
    </row>
    <row r="158" customFormat="false" ht="15" hidden="false" customHeight="false" outlineLevel="0" collapsed="false">
      <c r="A158" s="9" t="s">
        <v>318</v>
      </c>
    </row>
    <row r="160" customFormat="false" ht="15" hidden="false" customHeight="false" outlineLevel="0" collapsed="false">
      <c r="A160" s="3" t="s">
        <v>11</v>
      </c>
      <c r="B160" s="4"/>
      <c r="C160" s="4"/>
      <c r="D160" s="4"/>
      <c r="E160" s="4"/>
      <c r="F160" s="4"/>
      <c r="G160" s="4"/>
      <c r="H160" s="4"/>
      <c r="I160" s="4"/>
      <c r="J160" s="4"/>
      <c r="K160" s="4"/>
      <c r="L160" s="4"/>
    </row>
    <row r="161" customFormat="false" ht="15" hidden="false" customHeight="false" outlineLevel="0" collapsed="false">
      <c r="A161" s="6" t="s">
        <v>83</v>
      </c>
      <c r="B161" s="22" t="n">
        <f aca="false">$B$8</f>
        <v>0.139155</v>
      </c>
    </row>
    <row r="162" customFormat="false" ht="15" hidden="false" customHeight="false" outlineLevel="0" collapsed="false">
      <c r="A162" s="5" t="s">
        <v>319</v>
      </c>
      <c r="B162" s="39" t="n">
        <f aca="false">IRR(B139:L139)</f>
        <v>0.214213873656107</v>
      </c>
    </row>
    <row r="163" customFormat="false" ht="15" hidden="false" customHeight="false" outlineLevel="0" collapsed="false">
      <c r="A163" s="6" t="s">
        <v>16</v>
      </c>
      <c r="B163" s="22" t="n">
        <f aca="false">IRR(B138:L138)</f>
        <v>0.164670456073589</v>
      </c>
    </row>
    <row r="164" customFormat="false" ht="15" hidden="false" customHeight="false" outlineLevel="0" collapsed="false">
      <c r="A164" s="6" t="s">
        <v>320</v>
      </c>
      <c r="B164" s="22" t="n">
        <f aca="false">(1+$B$8)/L118^(1/11)-1</f>
        <v>0.0920191638661017</v>
      </c>
    </row>
    <row r="165" customFormat="false" ht="15" hidden="false" customHeight="false" outlineLevel="0" collapsed="false">
      <c r="A165" s="5" t="s">
        <v>20</v>
      </c>
      <c r="B165" s="40" t="n">
        <f aca="false">SUMPRODUCT(B138:L138,B142:L142)</f>
        <v>367.419841109654</v>
      </c>
    </row>
    <row r="166" customFormat="false" ht="15" hidden="false" customHeight="false" outlineLevel="0" collapsed="false">
      <c r="A166" s="5" t="s">
        <v>321</v>
      </c>
      <c r="B166" s="41" t="n">
        <f aca="false">SUM(B141:L141)</f>
        <v>5.10862462706641</v>
      </c>
    </row>
    <row r="167" customFormat="false" ht="15" hidden="false" customHeight="false" outlineLevel="0" collapsed="false">
      <c r="A167" s="6" t="s">
        <v>322</v>
      </c>
      <c r="B167" s="42" t="n">
        <f aca="false">IF(SUM(B145:L145)=0,"Más de 10",SUM(B145:L145))</f>
        <v>6.94188018230099</v>
      </c>
    </row>
    <row r="168" customFormat="false" ht="15" hidden="false" customHeight="false" outlineLevel="0" collapsed="false">
      <c r="A168" s="5" t="s">
        <v>323</v>
      </c>
      <c r="B168" s="43" t="n">
        <f aca="false">SUM(B138:L138)/SUM(B121:L121)</f>
        <v>0.985008240817927</v>
      </c>
    </row>
    <row r="169" customFormat="false" ht="15" hidden="false" customHeight="false" outlineLevel="0" collapsed="false">
      <c r="A169" s="5" t="s">
        <v>324</v>
      </c>
      <c r="B169" s="39" t="n">
        <f aca="false">IRR(B154:L154)</f>
        <v>0.412209259873484</v>
      </c>
    </row>
    <row r="170" customFormat="false" ht="15" hidden="false" customHeight="false" outlineLevel="0" collapsed="false">
      <c r="A170" s="6" t="s">
        <v>325</v>
      </c>
      <c r="B170" s="22" t="n">
        <f aca="false">IRR(B153:L153)</f>
        <v>0.353430324166221</v>
      </c>
    </row>
    <row r="171" customFormat="false" ht="15" hidden="false" customHeight="false" outlineLevel="0" collapsed="false">
      <c r="A171" s="6" t="s">
        <v>326</v>
      </c>
      <c r="B171" s="35" t="n">
        <f aca="false">SUMPRODUCT(B153:L153,B155:L155)</f>
        <v>186.66038869484</v>
      </c>
    </row>
    <row r="172" customFormat="false" ht="15" hidden="false" customHeight="false" outlineLevel="0" collapsed="false">
      <c r="A172" s="5" t="s">
        <v>327</v>
      </c>
      <c r="B172" s="44" t="n">
        <f aca="false">MIN(D157:L157)</f>
        <v>1.20942669960017</v>
      </c>
    </row>
    <row r="173" customFormat="false" ht="15" hidden="false" customHeight="false" outlineLevel="0" collapsed="false">
      <c r="A173" s="6" t="s">
        <v>328</v>
      </c>
      <c r="B173" s="35" t="n">
        <f aca="false">-(B153+C153)</f>
        <v>234.48440118604</v>
      </c>
    </row>
    <row r="174" customFormat="false" ht="15" hidden="false" customHeight="false" outlineLevel="0" collapsed="false">
      <c r="A174" s="6" t="s">
        <v>329</v>
      </c>
      <c r="B174" s="35" t="n">
        <f aca="false">$F$85</f>
        <v>1267.51371290102</v>
      </c>
    </row>
    <row r="175" customFormat="false" ht="15" hidden="false" customHeight="false" outlineLevel="0" collapsed="false">
      <c r="A175" s="6" t="s">
        <v>330</v>
      </c>
      <c r="B175" s="35" t="n">
        <f aca="false">$E$111</f>
        <v>413.723487237197</v>
      </c>
    </row>
    <row r="176" customFormat="false" ht="15" hidden="false" customHeight="false" outlineLevel="0" collapsed="false">
      <c r="A176" s="6" t="s">
        <v>331</v>
      </c>
      <c r="B176" s="35" t="n">
        <f aca="false">$E$112</f>
        <v>88.8065043646377</v>
      </c>
    </row>
    <row r="178" customFormat="false" ht="15" hidden="false" customHeight="false" outlineLevel="0" collapsed="false">
      <c r="A178" s="3" t="s">
        <v>332</v>
      </c>
      <c r="B178" s="4"/>
      <c r="C178" s="4"/>
      <c r="D178" s="4"/>
      <c r="E178" s="4"/>
      <c r="F178" s="4"/>
      <c r="G178" s="4"/>
      <c r="H178" s="4"/>
      <c r="I178" s="4"/>
      <c r="J178" s="4"/>
      <c r="K178" s="4"/>
      <c r="L178" s="4"/>
    </row>
    <row r="179" customFormat="false" ht="15" hidden="false" customHeight="false" outlineLevel="0" collapsed="false">
      <c r="A179" s="9" t="s">
        <v>333</v>
      </c>
    </row>
    <row r="180" customFormat="false" ht="15" hidden="false" customHeight="false" outlineLevel="0" collapsed="false">
      <c r="A180" s="9" t="s">
        <v>334</v>
      </c>
    </row>
    <row r="181" customFormat="false" ht="15" hidden="false" customHeight="false" outlineLevel="0" collapsed="false">
      <c r="A181" s="9" t="s">
        <v>335</v>
      </c>
    </row>
    <row r="182" customFormat="false" ht="15" hidden="false" customHeight="false" outlineLevel="0" collapsed="false">
      <c r="A182" s="9" t="s">
        <v>336</v>
      </c>
    </row>
    <row r="183" customFormat="false" ht="15" hidden="false" customHeight="false" outlineLevel="0" collapsed="false">
      <c r="A183" s="9" t="s">
        <v>337</v>
      </c>
    </row>
    <row r="184" customFormat="false" ht="15" hidden="false" customHeight="false" outlineLevel="0" collapsed="false">
      <c r="A184" s="9" t="s">
        <v>338</v>
      </c>
    </row>
    <row r="185" customFormat="false" ht="15" hidden="false" customHeight="false" outlineLevel="0" collapsed="false">
      <c r="A185" s="9" t="s">
        <v>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13" min="2" style="0" width="9.51"/>
  </cols>
  <sheetData>
    <row r="1" customFormat="false" ht="17.35" hidden="false" customHeight="false" outlineLevel="0" collapsed="false">
      <c r="A1" s="16" t="s">
        <v>340</v>
      </c>
    </row>
    <row r="2" customFormat="false" ht="15" hidden="false" customHeight="false" outlineLevel="0" collapsed="false">
      <c r="A2" s="9" t="s">
        <v>341</v>
      </c>
    </row>
    <row r="4" customFormat="false" ht="15" hidden="false" customHeight="false" outlineLevel="0" collapsed="false">
      <c r="A4" s="3" t="s">
        <v>342</v>
      </c>
      <c r="B4" s="4"/>
      <c r="C4" s="4"/>
      <c r="D4" s="4"/>
      <c r="E4" s="4"/>
      <c r="F4" s="4"/>
      <c r="G4" s="4"/>
      <c r="H4" s="4"/>
      <c r="I4" s="4"/>
      <c r="J4" s="4"/>
      <c r="K4" s="4"/>
      <c r="L4" s="4"/>
      <c r="M4" s="4"/>
    </row>
    <row r="5" customFormat="false" ht="15" hidden="false" customHeight="false" outlineLevel="0" collapsed="false">
      <c r="A5" s="17"/>
      <c r="B5" s="18" t="s">
        <v>269</v>
      </c>
      <c r="C5" s="18" t="s">
        <v>270</v>
      </c>
      <c r="D5" s="18" t="s">
        <v>271</v>
      </c>
      <c r="E5" s="18" t="s">
        <v>272</v>
      </c>
      <c r="F5" s="18" t="s">
        <v>273</v>
      </c>
      <c r="G5" s="18" t="s">
        <v>274</v>
      </c>
      <c r="H5" s="18" t="s">
        <v>275</v>
      </c>
      <c r="I5" s="18" t="s">
        <v>276</v>
      </c>
      <c r="J5" s="18" t="s">
        <v>277</v>
      </c>
      <c r="K5" s="18" t="s">
        <v>278</v>
      </c>
      <c r="L5" s="18" t="s">
        <v>279</v>
      </c>
      <c r="M5" s="18" t="s">
        <v>343</v>
      </c>
    </row>
    <row r="6" customFormat="false" ht="15" hidden="false" customHeight="false" outlineLevel="0" collapsed="false">
      <c r="A6" s="9" t="s">
        <v>344</v>
      </c>
      <c r="B6" s="32" t="n">
        <v>2027</v>
      </c>
      <c r="C6" s="32" t="n">
        <v>2028</v>
      </c>
      <c r="D6" s="32" t="n">
        <v>2029</v>
      </c>
      <c r="E6" s="32" t="n">
        <v>2030</v>
      </c>
      <c r="F6" s="32" t="n">
        <v>2031</v>
      </c>
      <c r="G6" s="32" t="n">
        <v>2032</v>
      </c>
      <c r="H6" s="32" t="n">
        <v>2033</v>
      </c>
      <c r="I6" s="32" t="n">
        <v>2034</v>
      </c>
      <c r="J6" s="32" t="n">
        <v>2035</v>
      </c>
      <c r="K6" s="32" t="n">
        <v>2036</v>
      </c>
      <c r="L6" s="32" t="n">
        <v>2037</v>
      </c>
    </row>
    <row r="7" customFormat="false" ht="15" hidden="false" customHeight="false" outlineLevel="0" collapsed="false">
      <c r="A7" s="5" t="s">
        <v>345</v>
      </c>
      <c r="B7" s="20" t="n">
        <v>0.06</v>
      </c>
      <c r="C7" s="20" t="n">
        <v>0.05</v>
      </c>
      <c r="D7" s="20" t="n">
        <v>0.045</v>
      </c>
      <c r="E7" s="20" t="n">
        <v>0.04</v>
      </c>
      <c r="F7" s="20" t="n">
        <v>0.04</v>
      </c>
      <c r="G7" s="20" t="n">
        <v>0.04</v>
      </c>
      <c r="H7" s="20" t="n">
        <v>0.04</v>
      </c>
      <c r="I7" s="20" t="n">
        <v>0.04</v>
      </c>
      <c r="J7" s="20" t="n">
        <v>0.04</v>
      </c>
      <c r="K7" s="20" t="n">
        <v>0.04</v>
      </c>
      <c r="L7" s="20" t="n">
        <v>0.04</v>
      </c>
      <c r="M7" s="8" t="n">
        <f aca="false">EXP(SUMPRODUCT(LN(1+B7:L7))/11)-1</f>
        <v>0.043163927606382</v>
      </c>
    </row>
    <row r="8" customFormat="false" ht="15" hidden="false" customHeight="false" outlineLevel="0" collapsed="false">
      <c r="A8" s="6" t="s">
        <v>346</v>
      </c>
      <c r="B8" s="20" t="n">
        <v>0.059</v>
      </c>
      <c r="C8" s="20" t="n">
        <v>0.045</v>
      </c>
      <c r="D8" s="20" t="n">
        <v>0.037</v>
      </c>
      <c r="E8" s="20" t="n">
        <v>0.034</v>
      </c>
      <c r="F8" s="20" t="n">
        <v>0.034</v>
      </c>
      <c r="G8" s="20" t="n">
        <v>0.034</v>
      </c>
      <c r="H8" s="20" t="n">
        <v>0.034</v>
      </c>
      <c r="I8" s="20" t="n">
        <v>0.034</v>
      </c>
      <c r="J8" s="20" t="n">
        <v>0.034</v>
      </c>
      <c r="K8" s="20" t="n">
        <v>0.034</v>
      </c>
      <c r="L8" s="20" t="n">
        <v>0.034</v>
      </c>
      <c r="M8" s="8" t="n">
        <f aca="false">EXP(SUMPRODUCT(LN(1+B8:L8))/11)-1</f>
        <v>0.0375187115400344</v>
      </c>
    </row>
    <row r="9" customFormat="false" ht="15" hidden="false" customHeight="false" outlineLevel="0" collapsed="false">
      <c r="A9" s="6" t="s">
        <v>347</v>
      </c>
      <c r="B9" s="20" t="n">
        <v>0.065</v>
      </c>
      <c r="C9" s="20" t="n">
        <v>0.065</v>
      </c>
      <c r="D9" s="20" t="n">
        <v>0.065</v>
      </c>
      <c r="E9" s="20" t="n">
        <v>0.065</v>
      </c>
      <c r="F9" s="20" t="n">
        <v>0.065</v>
      </c>
      <c r="G9" s="20" t="n">
        <v>0.065</v>
      </c>
      <c r="H9" s="20" t="n">
        <v>0.065</v>
      </c>
      <c r="I9" s="20" t="n">
        <v>0.065</v>
      </c>
      <c r="J9" s="20" t="n">
        <v>0.065</v>
      </c>
      <c r="K9" s="20" t="n">
        <v>0.065</v>
      </c>
      <c r="L9" s="20" t="n">
        <v>0.065</v>
      </c>
      <c r="M9" s="8" t="n">
        <f aca="false">EXP(SUMPRODUCT(LN(1+B9:L9))/11)-1</f>
        <v>0.065</v>
      </c>
    </row>
    <row r="10" customFormat="false" ht="15" hidden="false" customHeight="false" outlineLevel="0" collapsed="false">
      <c r="A10" s="9" t="s">
        <v>348</v>
      </c>
    </row>
    <row r="12" customFormat="false" ht="15" hidden="false" customHeight="false" outlineLevel="0" collapsed="false">
      <c r="A12" s="6" t="s">
        <v>349</v>
      </c>
      <c r="B12" s="24" t="n">
        <v>0.085</v>
      </c>
      <c r="D12" s="9" t="s">
        <v>350</v>
      </c>
    </row>
    <row r="13" customFormat="false" ht="15" hidden="false" customHeight="false" outlineLevel="0" collapsed="false">
      <c r="A13" s="6" t="s">
        <v>351</v>
      </c>
      <c r="B13" s="20" t="n">
        <v>0.005</v>
      </c>
      <c r="D13" s="9" t="s">
        <v>352</v>
      </c>
    </row>
    <row r="14" customFormat="false" ht="15" hidden="false" customHeight="false" outlineLevel="0" collapsed="false">
      <c r="A14" s="6" t="s">
        <v>353</v>
      </c>
      <c r="B14" s="45" t="n">
        <f aca="false">(1+B12)/(1+B7)</f>
        <v>1.02358490566038</v>
      </c>
      <c r="D14" s="9" t="s">
        <v>354</v>
      </c>
    </row>
    <row r="15" customFormat="false" ht="15" hidden="false" customHeight="false" outlineLevel="0" collapsed="false">
      <c r="A15" s="6" t="s">
        <v>355</v>
      </c>
      <c r="B15" s="45" t="n">
        <f aca="false">B14*(1+B13)</f>
        <v>1.02870283018868</v>
      </c>
      <c r="D15" s="9" t="s">
        <v>356</v>
      </c>
    </row>
    <row r="16" customFormat="false" ht="15" hidden="false" customHeight="false" outlineLevel="0" collapsed="false">
      <c r="A16" s="6" t="s">
        <v>357</v>
      </c>
      <c r="B16" s="46" t="n">
        <f aca="false">1750905*(1+B12)</f>
        <v>1899731.925</v>
      </c>
      <c r="D16" s="9" t="s">
        <v>358</v>
      </c>
    </row>
    <row r="17" customFormat="false" ht="15" hidden="false" customHeight="false" outlineLevel="0" collapsed="false">
      <c r="A17" s="9" t="s">
        <v>359</v>
      </c>
    </row>
    <row r="19" customFormat="false" ht="15" hidden="false" customHeight="false" outlineLevel="0" collapsed="false">
      <c r="A19" s="3" t="s">
        <v>360</v>
      </c>
      <c r="B19" s="4"/>
      <c r="C19" s="4"/>
      <c r="D19" s="4"/>
      <c r="E19" s="4"/>
      <c r="F19" s="4"/>
      <c r="G19" s="4"/>
      <c r="H19" s="4"/>
      <c r="I19" s="4"/>
      <c r="J19" s="4"/>
      <c r="K19" s="4"/>
      <c r="L19" s="4"/>
      <c r="M19" s="4"/>
    </row>
    <row r="20" customFormat="false" ht="15" hidden="false" customHeight="false" outlineLevel="0" collapsed="false">
      <c r="A20" s="9" t="s">
        <v>361</v>
      </c>
    </row>
    <row r="21" customFormat="false" ht="15" hidden="false" customHeight="false" outlineLevel="0" collapsed="false">
      <c r="A21" s="9" t="s">
        <v>362</v>
      </c>
    </row>
    <row r="22" customFormat="false" ht="15" hidden="false" customHeight="false" outlineLevel="0" collapsed="false">
      <c r="A22" s="9" t="s">
        <v>363</v>
      </c>
    </row>
    <row r="24" customFormat="false" ht="15" hidden="false" customHeight="false" outlineLevel="0" collapsed="false">
      <c r="A24" s="3" t="s">
        <v>364</v>
      </c>
      <c r="B24" s="4"/>
      <c r="C24" s="4"/>
      <c r="D24" s="4"/>
      <c r="E24" s="4"/>
      <c r="F24" s="4"/>
      <c r="G24" s="4"/>
      <c r="H24" s="4"/>
      <c r="I24" s="4"/>
      <c r="J24" s="4"/>
      <c r="K24" s="4"/>
      <c r="L24" s="4"/>
      <c r="M24" s="4"/>
    </row>
    <row r="25" customFormat="false" ht="15" hidden="false" customHeight="false" outlineLevel="0" collapsed="false">
      <c r="A25" s="9" t="s">
        <v>365</v>
      </c>
    </row>
    <row r="26" customFormat="false" ht="15" hidden="false" customHeight="false" outlineLevel="0" collapsed="false">
      <c r="A26" s="9" t="s">
        <v>366</v>
      </c>
    </row>
    <row r="27" customFormat="false" ht="15" hidden="false" customHeight="false" outlineLevel="0" collapsed="false">
      <c r="A27" s="9" t="s">
        <v>367</v>
      </c>
    </row>
    <row r="28" customFormat="false" ht="15" hidden="false" customHeight="false" outlineLevel="0" collapsed="false">
      <c r="A28" s="9" t="s">
        <v>368</v>
      </c>
    </row>
    <row r="29" customFormat="false" ht="15" hidden="false" customHeight="false" outlineLevel="0" collapsed="false">
      <c r="A29" s="9" t="s">
        <v>369</v>
      </c>
    </row>
    <row r="31" customFormat="false" ht="15" hidden="false" customHeight="false" outlineLevel="0" collapsed="false">
      <c r="A31" s="3" t="s">
        <v>370</v>
      </c>
      <c r="B31" s="4"/>
      <c r="C31" s="4"/>
      <c r="D31" s="4"/>
      <c r="E31" s="4"/>
      <c r="F31" s="4"/>
      <c r="G31" s="4"/>
      <c r="H31" s="4"/>
      <c r="I31" s="4"/>
      <c r="J31" s="4"/>
      <c r="K31" s="4"/>
      <c r="L31" s="4"/>
      <c r="M31" s="4"/>
    </row>
    <row r="32" customFormat="false" ht="15" hidden="false" customHeight="false" outlineLevel="0" collapsed="false">
      <c r="A32" s="9" t="s">
        <v>371</v>
      </c>
    </row>
    <row r="33" customFormat="false" ht="15" hidden="false" customHeight="false" outlineLevel="0" collapsed="false">
      <c r="A33" s="9" t="s">
        <v>372</v>
      </c>
    </row>
    <row r="34" customFormat="false" ht="15" hidden="false" customHeight="false" outlineLevel="0" collapsed="false">
      <c r="A34" s="9" t="s">
        <v>373</v>
      </c>
    </row>
    <row r="35" customFormat="false" ht="15" hidden="false" customHeight="false" outlineLevel="0" collapsed="false">
      <c r="A35" s="9" t="s">
        <v>374</v>
      </c>
    </row>
    <row r="37" customFormat="false" ht="15" hidden="false" customHeight="false" outlineLevel="0" collapsed="false">
      <c r="A37" s="3" t="s">
        <v>375</v>
      </c>
      <c r="B37" s="4"/>
      <c r="C37" s="4"/>
      <c r="D37" s="4"/>
      <c r="E37" s="4"/>
      <c r="F37" s="4"/>
      <c r="G37" s="4"/>
      <c r="H37" s="4"/>
      <c r="I37" s="4"/>
      <c r="J37" s="4"/>
      <c r="K37" s="4"/>
      <c r="L37" s="4"/>
      <c r="M37" s="4"/>
    </row>
    <row r="38" customFormat="false" ht="15" hidden="false" customHeight="false" outlineLevel="0" collapsed="false">
      <c r="A38" s="9" t="s">
        <v>376</v>
      </c>
    </row>
    <row r="39" customFormat="false" ht="15" hidden="false" customHeight="false" outlineLevel="0" collapsed="false">
      <c r="A39" s="9" t="s">
        <v>377</v>
      </c>
    </row>
    <row r="40" customFormat="false" ht="15" hidden="false" customHeight="false" outlineLevel="0" collapsed="false">
      <c r="A40" s="9" t="s">
        <v>378</v>
      </c>
    </row>
    <row r="41" customFormat="false" ht="15" hidden="false" customHeight="false" outlineLevel="0" collapsed="false">
      <c r="A41" s="9" t="s">
        <v>379</v>
      </c>
    </row>
    <row r="42" customFormat="false" ht="15" hidden="false" customHeight="false" outlineLevel="0" collapsed="false">
      <c r="A42" s="9" t="s">
        <v>380</v>
      </c>
    </row>
    <row r="43" customFormat="false" ht="15" hidden="false" customHeight="false" outlineLevel="0" collapsed="false">
      <c r="A43" s="9" t="s">
        <v>381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11" min="2" style="0" width="12"/>
  </cols>
  <sheetData>
    <row r="1" customFormat="false" ht="17.35" hidden="false" customHeight="false" outlineLevel="0" collapsed="false">
      <c r="A1" s="16" t="s">
        <v>382</v>
      </c>
    </row>
    <row r="2" customFormat="false" ht="15" hidden="false" customHeight="false" outlineLevel="0" collapsed="false">
      <c r="A2" s="9" t="s">
        <v>383</v>
      </c>
    </row>
    <row r="4" customFormat="false" ht="15" hidden="false" customHeight="false" outlineLevel="0" collapsed="false">
      <c r="A4" s="3" t="s">
        <v>384</v>
      </c>
      <c r="B4" s="4"/>
      <c r="C4" s="4"/>
      <c r="D4" s="4"/>
      <c r="E4" s="4"/>
      <c r="F4" s="4"/>
      <c r="G4" s="4"/>
      <c r="H4" s="4"/>
      <c r="I4" s="4"/>
      <c r="J4" s="4"/>
      <c r="K4" s="4"/>
    </row>
    <row r="5" customFormat="false" ht="23.85" hidden="false" customHeight="false" outlineLevel="0" collapsed="false">
      <c r="A5" s="17" t="s">
        <v>385</v>
      </c>
      <c r="B5" s="18" t="s">
        <v>74</v>
      </c>
      <c r="C5" s="18" t="s">
        <v>75</v>
      </c>
      <c r="D5" s="18" t="s">
        <v>76</v>
      </c>
    </row>
    <row r="6" customFormat="false" ht="15" hidden="false" customHeight="false" outlineLevel="0" collapsed="false">
      <c r="A6" s="6" t="s">
        <v>386</v>
      </c>
      <c r="B6" s="23" t="n">
        <v>294</v>
      </c>
      <c r="C6" s="9" t="s">
        <v>120</v>
      </c>
      <c r="D6" s="9" t="s">
        <v>387</v>
      </c>
    </row>
    <row r="7" customFormat="false" ht="15" hidden="false" customHeight="false" outlineLevel="0" collapsed="false">
      <c r="A7" s="6" t="s">
        <v>388</v>
      </c>
      <c r="B7" s="47" t="n">
        <v>1.03</v>
      </c>
      <c r="C7" s="9" t="s">
        <v>389</v>
      </c>
      <c r="D7" s="9" t="s">
        <v>390</v>
      </c>
    </row>
    <row r="8" customFormat="false" ht="15" hidden="false" customHeight="false" outlineLevel="0" collapsed="false">
      <c r="A8" s="6" t="s">
        <v>391</v>
      </c>
      <c r="B8" s="27" t="n">
        <v>0.036</v>
      </c>
      <c r="C8" s="9" t="s">
        <v>392</v>
      </c>
      <c r="D8" s="9" t="s">
        <v>393</v>
      </c>
    </row>
    <row r="9" customFormat="false" ht="15" hidden="false" customHeight="false" outlineLevel="0" collapsed="false">
      <c r="A9" s="6" t="s">
        <v>394</v>
      </c>
      <c r="B9" s="20" t="n">
        <v>0.4</v>
      </c>
      <c r="C9" s="9" t="s">
        <v>392</v>
      </c>
      <c r="D9" s="9" t="s">
        <v>395</v>
      </c>
    </row>
    <row r="10" customFormat="false" ht="15" hidden="false" customHeight="false" outlineLevel="0" collapsed="false">
      <c r="A10" s="6" t="s">
        <v>396</v>
      </c>
      <c r="B10" s="27" t="n">
        <v>0.0008</v>
      </c>
      <c r="C10" s="9" t="s">
        <v>397</v>
      </c>
      <c r="D10" s="9" t="s">
        <v>398</v>
      </c>
    </row>
    <row r="11" customFormat="false" ht="15" hidden="false" customHeight="false" outlineLevel="0" collapsed="false">
      <c r="A11" s="6" t="s">
        <v>399</v>
      </c>
      <c r="B11" s="27" t="n">
        <v>0.0003</v>
      </c>
      <c r="C11" s="9" t="s">
        <v>397</v>
      </c>
      <c r="D11" s="9" t="s">
        <v>400</v>
      </c>
    </row>
    <row r="12" customFormat="false" ht="15" hidden="false" customHeight="false" outlineLevel="0" collapsed="false">
      <c r="A12" s="6" t="s">
        <v>401</v>
      </c>
      <c r="B12" s="26" t="n">
        <v>30</v>
      </c>
      <c r="C12" s="9" t="s">
        <v>402</v>
      </c>
      <c r="D12" s="9" t="s">
        <v>403</v>
      </c>
    </row>
    <row r="13" customFormat="false" ht="15" hidden="false" customHeight="false" outlineLevel="0" collapsed="false">
      <c r="A13" s="6" t="s">
        <v>404</v>
      </c>
      <c r="B13" s="20" t="n">
        <v>0.03</v>
      </c>
      <c r="C13" s="9" t="s">
        <v>405</v>
      </c>
      <c r="D13" s="9" t="s">
        <v>406</v>
      </c>
    </row>
    <row r="14" customFormat="false" ht="15" hidden="false" customHeight="false" outlineLevel="0" collapsed="false">
      <c r="A14" s="6" t="s">
        <v>407</v>
      </c>
      <c r="B14" s="27" t="n">
        <v>0.0015</v>
      </c>
      <c r="C14" s="9" t="s">
        <v>405</v>
      </c>
      <c r="D14" s="9" t="s">
        <v>408</v>
      </c>
    </row>
    <row r="15" customFormat="false" ht="15" hidden="false" customHeight="false" outlineLevel="0" collapsed="false">
      <c r="A15" s="6" t="s">
        <v>409</v>
      </c>
      <c r="B15" s="20" t="n">
        <v>0.02</v>
      </c>
      <c r="C15" s="9" t="s">
        <v>410</v>
      </c>
      <c r="D15" s="9" t="s">
        <v>411</v>
      </c>
    </row>
    <row r="16" customFormat="false" ht="15" hidden="false" customHeight="false" outlineLevel="0" collapsed="false">
      <c r="A16" s="6" t="s">
        <v>412</v>
      </c>
      <c r="B16" s="20" t="n">
        <v>0.01</v>
      </c>
      <c r="C16" s="9" t="s">
        <v>413</v>
      </c>
      <c r="D16" s="9" t="s">
        <v>414</v>
      </c>
    </row>
    <row r="17" customFormat="false" ht="15" hidden="false" customHeight="false" outlineLevel="0" collapsed="false">
      <c r="A17" s="6" t="s">
        <v>415</v>
      </c>
      <c r="B17" s="20" t="n">
        <v>0.005</v>
      </c>
      <c r="C17" s="9" t="s">
        <v>413</v>
      </c>
      <c r="D17" s="9" t="s">
        <v>416</v>
      </c>
    </row>
    <row r="18" customFormat="false" ht="15" hidden="false" customHeight="false" outlineLevel="0" collapsed="false">
      <c r="A18" s="6" t="s">
        <v>417</v>
      </c>
      <c r="B18" s="20" t="n">
        <v>0.04</v>
      </c>
      <c r="C18" s="9" t="s">
        <v>418</v>
      </c>
      <c r="D18" s="9" t="s">
        <v>419</v>
      </c>
    </row>
    <row r="19" customFormat="false" ht="15" hidden="false" customHeight="false" outlineLevel="0" collapsed="false">
      <c r="A19" s="6" t="s">
        <v>420</v>
      </c>
      <c r="B19" s="20" t="n">
        <v>0.02</v>
      </c>
      <c r="C19" s="9" t="s">
        <v>421</v>
      </c>
      <c r="D19" s="9" t="s">
        <v>422</v>
      </c>
    </row>
    <row r="20" customFormat="false" ht="15" hidden="false" customHeight="false" outlineLevel="0" collapsed="false">
      <c r="A20" s="6" t="s">
        <v>423</v>
      </c>
      <c r="B20" s="20" t="n">
        <v>0.015</v>
      </c>
      <c r="C20" s="9" t="s">
        <v>421</v>
      </c>
      <c r="D20" s="9" t="s">
        <v>424</v>
      </c>
    </row>
    <row r="21" customFormat="false" ht="15" hidden="false" customHeight="false" outlineLevel="0" collapsed="false">
      <c r="A21" s="6" t="s">
        <v>425</v>
      </c>
      <c r="B21" s="25" t="n">
        <v>457</v>
      </c>
      <c r="C21" s="9" t="s">
        <v>117</v>
      </c>
      <c r="D21" s="9" t="s">
        <v>422</v>
      </c>
    </row>
    <row r="22" customFormat="false" ht="15" hidden="false" customHeight="false" outlineLevel="0" collapsed="false">
      <c r="A22" s="6" t="s">
        <v>426</v>
      </c>
      <c r="B22" s="20" t="n">
        <v>0.2</v>
      </c>
      <c r="C22" s="9" t="s">
        <v>427</v>
      </c>
      <c r="D22" s="9" t="s">
        <v>428</v>
      </c>
    </row>
    <row r="23" customFormat="false" ht="15" hidden="false" customHeight="false" outlineLevel="0" collapsed="false">
      <c r="A23" s="6" t="s">
        <v>429</v>
      </c>
      <c r="B23" s="25" t="n">
        <v>1218</v>
      </c>
      <c r="C23" s="9" t="s">
        <v>117</v>
      </c>
      <c r="D23" s="9" t="s">
        <v>422</v>
      </c>
    </row>
    <row r="24" customFormat="false" ht="15" hidden="false" customHeight="false" outlineLevel="0" collapsed="false">
      <c r="A24" s="6" t="s">
        <v>430</v>
      </c>
      <c r="B24" s="20" t="n">
        <v>0.1</v>
      </c>
      <c r="C24" s="9" t="s">
        <v>431</v>
      </c>
      <c r="D24" s="9" t="s">
        <v>432</v>
      </c>
    </row>
    <row r="25" customFormat="false" ht="15" hidden="false" customHeight="false" outlineLevel="0" collapsed="false">
      <c r="A25" s="6" t="s">
        <v>433</v>
      </c>
      <c r="B25" s="22" t="n">
        <f aca="false">1/3</f>
        <v>0.333333333333333</v>
      </c>
      <c r="C25" s="9" t="s">
        <v>81</v>
      </c>
      <c r="D25" s="9" t="s">
        <v>434</v>
      </c>
    </row>
    <row r="26" customFormat="false" ht="15" hidden="false" customHeight="false" outlineLevel="0" collapsed="false">
      <c r="A26" s="6" t="s">
        <v>435</v>
      </c>
      <c r="B26" s="48" t="n">
        <v>0.5</v>
      </c>
      <c r="C26" s="9" t="s">
        <v>436</v>
      </c>
      <c r="D26" s="9" t="s">
        <v>437</v>
      </c>
    </row>
    <row r="27" customFormat="false" ht="15" hidden="false" customHeight="false" outlineLevel="0" collapsed="false">
      <c r="A27" s="6" t="s">
        <v>438</v>
      </c>
      <c r="B27" s="23" t="n">
        <v>4</v>
      </c>
      <c r="C27" s="9" t="s">
        <v>439</v>
      </c>
      <c r="D27" s="9" t="s">
        <v>440</v>
      </c>
    </row>
    <row r="28" customFormat="false" ht="15" hidden="false" customHeight="false" outlineLevel="0" collapsed="false">
      <c r="A28" s="6" t="s">
        <v>441</v>
      </c>
      <c r="B28" s="26" t="n">
        <v>20000</v>
      </c>
      <c r="C28" s="9" t="s">
        <v>442</v>
      </c>
      <c r="D28" s="9" t="s">
        <v>443</v>
      </c>
    </row>
    <row r="29" customFormat="false" ht="15" hidden="false" customHeight="false" outlineLevel="0" collapsed="false">
      <c r="A29" s="6" t="s">
        <v>444</v>
      </c>
      <c r="B29" s="26" t="n">
        <v>9000</v>
      </c>
      <c r="C29" s="9" t="s">
        <v>445</v>
      </c>
      <c r="D29" s="9" t="s">
        <v>446</v>
      </c>
    </row>
    <row r="30" customFormat="false" ht="15" hidden="false" customHeight="false" outlineLevel="0" collapsed="false">
      <c r="A30" s="6" t="s">
        <v>447</v>
      </c>
      <c r="B30" s="26" t="n">
        <v>3100</v>
      </c>
      <c r="C30" s="9" t="s">
        <v>448</v>
      </c>
      <c r="D30" s="9" t="s">
        <v>449</v>
      </c>
    </row>
    <row r="31" customFormat="false" ht="15" hidden="false" customHeight="false" outlineLevel="0" collapsed="false">
      <c r="A31" s="6" t="s">
        <v>450</v>
      </c>
      <c r="B31" s="26" t="n">
        <v>30</v>
      </c>
      <c r="C31" s="9" t="s">
        <v>445</v>
      </c>
      <c r="D31" s="9" t="s">
        <v>132</v>
      </c>
    </row>
    <row r="32" customFormat="false" ht="15" hidden="false" customHeight="false" outlineLevel="0" collapsed="false">
      <c r="A32" s="6" t="s">
        <v>451</v>
      </c>
      <c r="B32" s="26" t="n">
        <v>45</v>
      </c>
      <c r="C32" s="9" t="s">
        <v>445</v>
      </c>
      <c r="D32" s="9" t="s">
        <v>452</v>
      </c>
    </row>
    <row r="33" customFormat="false" ht="15" hidden="false" customHeight="false" outlineLevel="0" collapsed="false">
      <c r="A33" s="6" t="s">
        <v>453</v>
      </c>
      <c r="B33" s="23" t="n">
        <v>2</v>
      </c>
      <c r="C33" s="9" t="s">
        <v>439</v>
      </c>
      <c r="D33" s="9" t="s">
        <v>454</v>
      </c>
    </row>
    <row r="35" customFormat="false" ht="15" hidden="false" customHeight="false" outlineLevel="0" collapsed="false">
      <c r="A35" s="3" t="s">
        <v>455</v>
      </c>
      <c r="B35" s="4"/>
      <c r="C35" s="4"/>
      <c r="D35" s="4"/>
      <c r="E35" s="4"/>
      <c r="F35" s="4"/>
      <c r="G35" s="4"/>
      <c r="H35" s="4"/>
      <c r="I35" s="4"/>
      <c r="J35" s="4"/>
      <c r="K35" s="4"/>
    </row>
    <row r="36" customFormat="false" ht="35.05" hidden="false" customHeight="false" outlineLevel="0" collapsed="false">
      <c r="A36" s="17" t="s">
        <v>456</v>
      </c>
      <c r="B36" s="18" t="s">
        <v>457</v>
      </c>
      <c r="C36" s="18" t="s">
        <v>458</v>
      </c>
      <c r="D36" s="18" t="s">
        <v>459</v>
      </c>
      <c r="E36" s="18" t="s">
        <v>460</v>
      </c>
      <c r="F36" s="18" t="s">
        <v>461</v>
      </c>
    </row>
    <row r="37" customFormat="false" ht="15" hidden="false" customHeight="false" outlineLevel="0" collapsed="false">
      <c r="A37" s="6" t="s">
        <v>462</v>
      </c>
      <c r="B37" s="26" t="n">
        <v>4500</v>
      </c>
      <c r="C37" s="27" t="n">
        <v>0.026</v>
      </c>
      <c r="D37" s="20" t="n">
        <v>0.12</v>
      </c>
      <c r="E37" s="26" t="n">
        <v>19500</v>
      </c>
      <c r="F37" s="26" t="n">
        <v>750</v>
      </c>
    </row>
    <row r="38" customFormat="false" ht="15" hidden="false" customHeight="false" outlineLevel="0" collapsed="false">
      <c r="A38" s="6" t="s">
        <v>463</v>
      </c>
      <c r="B38" s="26" t="n">
        <v>3000</v>
      </c>
      <c r="C38" s="49" t="n">
        <f aca="false">$B$8</f>
        <v>0.036</v>
      </c>
      <c r="D38" s="20" t="n">
        <v>0.13</v>
      </c>
      <c r="E38" s="26" t="n">
        <v>22000</v>
      </c>
      <c r="F38" s="26" t="n">
        <v>900</v>
      </c>
    </row>
    <row r="39" customFormat="false" ht="15" hidden="false" customHeight="false" outlineLevel="0" collapsed="false">
      <c r="A39" s="6" t="s">
        <v>464</v>
      </c>
      <c r="B39" s="26" t="n">
        <v>1500</v>
      </c>
      <c r="C39" s="27" t="n">
        <v>0.026</v>
      </c>
      <c r="D39" s="20" t="n">
        <v>0.1</v>
      </c>
      <c r="E39" s="26" t="n">
        <v>24000</v>
      </c>
      <c r="F39" s="26" t="n">
        <v>800</v>
      </c>
    </row>
    <row r="40" customFormat="false" ht="15" hidden="false" customHeight="false" outlineLevel="0" collapsed="false">
      <c r="A40" s="9" t="s">
        <v>465</v>
      </c>
    </row>
    <row r="42" customFormat="false" ht="15" hidden="false" customHeight="false" outlineLevel="0" collapsed="false">
      <c r="A42" s="3" t="s">
        <v>466</v>
      </c>
      <c r="B42" s="4"/>
      <c r="C42" s="4"/>
      <c r="D42" s="4"/>
      <c r="E42" s="4"/>
      <c r="F42" s="4"/>
      <c r="G42" s="4"/>
      <c r="H42" s="4"/>
      <c r="I42" s="4"/>
      <c r="J42" s="4"/>
      <c r="K42" s="4"/>
    </row>
    <row r="43" customFormat="false" ht="23.85" hidden="false" customHeight="false" outlineLevel="0" collapsed="false">
      <c r="A43" s="17" t="s">
        <v>456</v>
      </c>
      <c r="B43" s="18" t="s">
        <v>457</v>
      </c>
      <c r="C43" s="18" t="s">
        <v>458</v>
      </c>
      <c r="D43" s="18" t="s">
        <v>467</v>
      </c>
      <c r="E43" s="18" t="s">
        <v>468</v>
      </c>
      <c r="F43" s="18" t="s">
        <v>469</v>
      </c>
    </row>
    <row r="44" customFormat="false" ht="15" hidden="false" customHeight="false" outlineLevel="0" collapsed="false">
      <c r="A44" s="6" t="s">
        <v>470</v>
      </c>
      <c r="B44" s="26" t="n">
        <v>6500</v>
      </c>
      <c r="C44" s="27" t="n">
        <v>0.03</v>
      </c>
      <c r="D44" s="29" t="n">
        <f aca="false">MAX(0,B44*$B$7*($B$8-(C44+$B$10))/($B$9-(C44+$B$10)))</f>
        <v>94.2957746478873</v>
      </c>
      <c r="E44" s="29" t="n">
        <f aca="false">MAX(0,B44*$B$7*($B$8-(C44+$B$11))/($B$9-(C44+$B$11)))</f>
        <v>103.222883418988</v>
      </c>
      <c r="F44" s="29" t="n">
        <f aca="false">E44-D44</f>
        <v>8.92710877110098</v>
      </c>
    </row>
    <row r="45" customFormat="false" ht="15" hidden="false" customHeight="false" outlineLevel="0" collapsed="false">
      <c r="A45" s="6" t="s">
        <v>471</v>
      </c>
      <c r="B45" s="26" t="n">
        <v>3500</v>
      </c>
      <c r="C45" s="27" t="n">
        <v>0.015</v>
      </c>
      <c r="D45" s="29" t="n">
        <f aca="false">MAX(0,B45*$B$7*($B$8-(C45+$B$10))/($B$9-(C45+$B$10)))</f>
        <v>189.539302446642</v>
      </c>
      <c r="E45" s="29" t="n">
        <f aca="false">MAX(0,B45*$B$7*($B$8-(C45+$B$11))/($B$9-(C45+$B$11)))</f>
        <v>193.978424746556</v>
      </c>
      <c r="F45" s="29" t="n">
        <f aca="false">E45-D45</f>
        <v>4.43912229991338</v>
      </c>
    </row>
    <row r="46" customFormat="false" ht="15" hidden="false" customHeight="false" outlineLevel="0" collapsed="false">
      <c r="A46" s="6" t="s">
        <v>472</v>
      </c>
      <c r="B46" s="26" t="n">
        <v>2000</v>
      </c>
      <c r="C46" s="27" t="n">
        <v>0.02</v>
      </c>
      <c r="D46" s="29" t="n">
        <f aca="false">MAX(0,B46*$B$7*($B$8-(C46+$B$10))/($B$9-(C46+$B$10)))</f>
        <v>82.5738396624472</v>
      </c>
      <c r="E46" s="29" t="n">
        <f aca="false">MAX(0,B46*$B$7*($B$8-(C46+$B$11))/($B$9-(C46+$B$11)))</f>
        <v>85.1777719252041</v>
      </c>
      <c r="F46" s="29" t="n">
        <f aca="false">E46-D46</f>
        <v>2.60393226275684</v>
      </c>
    </row>
    <row r="47" customFormat="false" ht="15" hidden="false" customHeight="false" outlineLevel="0" collapsed="false">
      <c r="A47" s="6" t="s">
        <v>462</v>
      </c>
      <c r="B47" s="35" t="n">
        <f aca="false">B37</f>
        <v>4500</v>
      </c>
      <c r="C47" s="49" t="n">
        <f aca="false">C37</f>
        <v>0.026</v>
      </c>
      <c r="D47" s="29" t="n">
        <f aca="false">MAX(0,B47*$B$7*($B$8-(C47+$B$10))/($B$9-(C47+$B$10)))</f>
        <v>114.260450160772</v>
      </c>
      <c r="E47" s="29" t="n">
        <f aca="false">MAX(0,B47*$B$7*($B$8-(C47+$B$11))/($B$9-(C47+$B$11)))</f>
        <v>120.309071447685</v>
      </c>
      <c r="F47" s="29" t="n">
        <f aca="false">E47-D47</f>
        <v>6.04862128691357</v>
      </c>
    </row>
    <row r="48" customFormat="false" ht="15" hidden="false" customHeight="false" outlineLevel="0" collapsed="false">
      <c r="A48" s="6" t="s">
        <v>464</v>
      </c>
      <c r="B48" s="35" t="n">
        <f aca="false">B39</f>
        <v>1500</v>
      </c>
      <c r="C48" s="49" t="n">
        <f aca="false">C39</f>
        <v>0.026</v>
      </c>
      <c r="D48" s="29" t="n">
        <f aca="false">MAX(0,B48*$B$7*($B$8-(C48+$B$10))/($B$9-(C48+$B$10)))</f>
        <v>38.0868167202572</v>
      </c>
      <c r="E48" s="29" t="n">
        <f aca="false">MAX(0,B48*$B$7*($B$8-(C48+$B$11))/($B$9-(C48+$B$11)))</f>
        <v>40.1030238158951</v>
      </c>
      <c r="F48" s="29" t="n">
        <f aca="false">E48-D48</f>
        <v>2.01620709563786</v>
      </c>
    </row>
    <row r="49" customFormat="false" ht="15" hidden="false" customHeight="false" outlineLevel="0" collapsed="false">
      <c r="A49" s="6" t="s">
        <v>473</v>
      </c>
      <c r="B49" s="26" t="n">
        <v>1400</v>
      </c>
      <c r="C49" s="27" t="n">
        <v>0.03</v>
      </c>
      <c r="D49" s="29" t="n">
        <f aca="false">MAX(0,B49*$B$7*($B$8-(C49+$B$10))/($B$9-(C49+$B$10)))</f>
        <v>20.3098591549296</v>
      </c>
      <c r="E49" s="29" t="n">
        <f aca="false">MAX(0,B49*$B$7*($B$8-(C49+$B$11))/($B$9-(C49+$B$11)))</f>
        <v>22.2326210440898</v>
      </c>
      <c r="F49" s="29" t="n">
        <f aca="false">E49-D49</f>
        <v>1.92276188916021</v>
      </c>
    </row>
    <row r="50" customFormat="false" ht="15" hidden="false" customHeight="false" outlineLevel="0" collapsed="false">
      <c r="A50" s="6" t="s">
        <v>474</v>
      </c>
      <c r="B50" s="26" t="n">
        <v>1400</v>
      </c>
      <c r="C50" s="27" t="n">
        <v>0.03</v>
      </c>
      <c r="D50" s="29" t="n">
        <f aca="false">MAX(0,B50*$B$7*($B$8-(C50+$B$10))/($B$9-(C50+$B$10)))</f>
        <v>20.3098591549296</v>
      </c>
      <c r="E50" s="29" t="n">
        <f aca="false">MAX(0,B50*$B$7*($B$8-(C50+$B$11))/($B$9-(C50+$B$11)))</f>
        <v>22.2326210440898</v>
      </c>
      <c r="F50" s="29" t="n">
        <f aca="false">E50-D50</f>
        <v>1.92276188916021</v>
      </c>
    </row>
    <row r="51" customFormat="false" ht="15" hidden="false" customHeight="false" outlineLevel="0" collapsed="false">
      <c r="A51" s="6" t="s">
        <v>475</v>
      </c>
      <c r="B51" s="26" t="n">
        <v>1200</v>
      </c>
      <c r="C51" s="27" t="n">
        <v>0.03</v>
      </c>
      <c r="D51" s="29" t="n">
        <f aca="false">MAX(0,B51*$B$7*($B$8-(C51+$B$10))/($B$9-(C51+$B$10)))</f>
        <v>17.4084507042254</v>
      </c>
      <c r="E51" s="29" t="n">
        <f aca="false">MAX(0,B51*$B$7*($B$8-(C51+$B$11))/($B$9-(C51+$B$11)))</f>
        <v>19.0565323235055</v>
      </c>
      <c r="F51" s="29" t="n">
        <f aca="false">E51-D51</f>
        <v>1.64808161928018</v>
      </c>
    </row>
    <row r="52" customFormat="false" ht="15" hidden="false" customHeight="false" outlineLevel="0" collapsed="false">
      <c r="A52" s="5" t="s">
        <v>476</v>
      </c>
      <c r="B52" s="10" t="n">
        <f aca="false">SUM(B44:B51)</f>
        <v>22000</v>
      </c>
      <c r="D52" s="30" t="n">
        <f aca="false">SUM(D44:D51)</f>
        <v>576.78435265209</v>
      </c>
      <c r="E52" s="30" t="n">
        <f aca="false">SUM(E44:E51)</f>
        <v>606.312949766014</v>
      </c>
      <c r="F52" s="30" t="n">
        <f aca="false">SUM(F44:F51)</f>
        <v>29.5285971139232</v>
      </c>
    </row>
    <row r="53" customFormat="false" ht="15" hidden="false" customHeight="false" outlineLevel="0" collapsed="false">
      <c r="A53" s="9" t="s">
        <v>477</v>
      </c>
    </row>
    <row r="55" customFormat="false" ht="15" hidden="false" customHeight="false" outlineLevel="0" collapsed="false">
      <c r="A55" s="3" t="s">
        <v>478</v>
      </c>
      <c r="B55" s="4"/>
      <c r="C55" s="4"/>
      <c r="D55" s="4"/>
      <c r="E55" s="4"/>
      <c r="F55" s="4"/>
      <c r="G55" s="4"/>
      <c r="H55" s="4"/>
      <c r="I55" s="4"/>
      <c r="J55" s="4"/>
      <c r="K55" s="4"/>
    </row>
    <row r="56" customFormat="false" ht="23.85" hidden="false" customHeight="false" outlineLevel="0" collapsed="false">
      <c r="A56" s="17" t="s">
        <v>479</v>
      </c>
      <c r="B56" s="18" t="s">
        <v>462</v>
      </c>
      <c r="C56" s="18" t="s">
        <v>480</v>
      </c>
      <c r="D56" s="18" t="s">
        <v>464</v>
      </c>
      <c r="E56" s="18" t="s">
        <v>476</v>
      </c>
    </row>
    <row r="57" customFormat="false" ht="15" hidden="false" customHeight="false" outlineLevel="0" collapsed="false">
      <c r="A57" s="6" t="s">
        <v>481</v>
      </c>
      <c r="B57" s="29" t="n">
        <f aca="false">B37*$B$7</f>
        <v>4635</v>
      </c>
      <c r="C57" s="29" t="n">
        <f aca="false">B38*$B$7</f>
        <v>3090</v>
      </c>
      <c r="D57" s="29" t="n">
        <f aca="false">B39*$B$7</f>
        <v>1545</v>
      </c>
      <c r="E57" s="29" t="n">
        <f aca="false">SUM(B57:D57)</f>
        <v>9270</v>
      </c>
    </row>
    <row r="58" customFormat="false" ht="15" hidden="false" customHeight="false" outlineLevel="0" collapsed="false">
      <c r="A58" s="6" t="s">
        <v>482</v>
      </c>
      <c r="B58" s="29" t="n">
        <f aca="false">D47</f>
        <v>114.260450160772</v>
      </c>
      <c r="C58" s="29" t="n">
        <f aca="false">0</f>
        <v>0</v>
      </c>
      <c r="D58" s="29" t="n">
        <f aca="false">D48</f>
        <v>38.0868167202572</v>
      </c>
      <c r="E58" s="29" t="n">
        <f aca="false">SUM(B58:D58)</f>
        <v>152.347266881029</v>
      </c>
    </row>
    <row r="59" customFormat="false" ht="15" hidden="false" customHeight="false" outlineLevel="0" collapsed="false">
      <c r="A59" s="6" t="s">
        <v>483</v>
      </c>
      <c r="B59" s="29" t="n">
        <f aca="false">0</f>
        <v>0</v>
      </c>
      <c r="C59" s="29" t="n">
        <f aca="false">$B$12</f>
        <v>30</v>
      </c>
      <c r="D59" s="29" t="n">
        <f aca="false">0</f>
        <v>0</v>
      </c>
      <c r="E59" s="29" t="n">
        <f aca="false">SUM(B59:D59)</f>
        <v>30</v>
      </c>
    </row>
    <row r="60" customFormat="false" ht="15" hidden="false" customHeight="false" outlineLevel="0" collapsed="false">
      <c r="A60" s="6" t="s">
        <v>484</v>
      </c>
      <c r="B60" s="29" t="n">
        <f aca="false">B57-B58</f>
        <v>4520.73954983923</v>
      </c>
      <c r="C60" s="29" t="n">
        <f aca="false">C57-C58</f>
        <v>3090</v>
      </c>
      <c r="D60" s="29" t="n">
        <f aca="false">D57-D58</f>
        <v>1506.91318327974</v>
      </c>
      <c r="E60" s="29" t="n">
        <f aca="false">SUM(B60:D60)</f>
        <v>9117.65273311897</v>
      </c>
    </row>
    <row r="61" customFormat="false" ht="15" hidden="false" customHeight="false" outlineLevel="0" collapsed="false">
      <c r="A61" s="6" t="s">
        <v>485</v>
      </c>
      <c r="B61" s="29" t="n">
        <f aca="false">B60*$B$13</f>
        <v>135.622186495177</v>
      </c>
      <c r="C61" s="29" t="n">
        <f aca="false">0</f>
        <v>0</v>
      </c>
      <c r="D61" s="29" t="n">
        <f aca="false">0</f>
        <v>0</v>
      </c>
      <c r="E61" s="29" t="n">
        <f aca="false">SUM(B61:D61)</f>
        <v>135.622186495177</v>
      </c>
    </row>
    <row r="62" customFormat="false" ht="15" hidden="false" customHeight="false" outlineLevel="0" collapsed="false">
      <c r="A62" s="5" t="s">
        <v>486</v>
      </c>
      <c r="B62" s="30" t="n">
        <f aca="false">B60*D37</f>
        <v>542.488745980707</v>
      </c>
      <c r="C62" s="30" t="n">
        <f aca="false">C60*D38</f>
        <v>401.7</v>
      </c>
      <c r="D62" s="30" t="n">
        <f aca="false">D60*D39</f>
        <v>150.691318327974</v>
      </c>
      <c r="E62" s="30" t="n">
        <f aca="false">SUM(B62:D62)</f>
        <v>1094.88006430868</v>
      </c>
    </row>
    <row r="63" customFormat="false" ht="15" hidden="false" customHeight="false" outlineLevel="0" collapsed="false">
      <c r="A63" s="6" t="s">
        <v>487</v>
      </c>
      <c r="B63" s="29" t="n">
        <f aca="false">B60+B59+B61-B62</f>
        <v>4113.8729903537</v>
      </c>
      <c r="C63" s="29" t="n">
        <f aca="false">C60+C59+C61-C62</f>
        <v>2718.3</v>
      </c>
      <c r="D63" s="29" t="n">
        <f aca="false">D60+D59+D61-D62</f>
        <v>1356.22186495177</v>
      </c>
      <c r="E63" s="29" t="n">
        <f aca="false">SUM(B63:D63)</f>
        <v>8188.39485530547</v>
      </c>
    </row>
    <row r="64" customFormat="false" ht="15" hidden="false" customHeight="false" outlineLevel="0" collapsed="false">
      <c r="A64" s="6" t="s">
        <v>488</v>
      </c>
      <c r="B64" s="29" t="n">
        <f aca="false">(B57+B59+B61)-(B58+B62+B63)</f>
        <v>0</v>
      </c>
      <c r="C64" s="29" t="n">
        <f aca="false">(C57+C59+C61)-(C58+C62+C63)</f>
        <v>0</v>
      </c>
      <c r="D64" s="29" t="n">
        <f aca="false">(D57+D59+D61)-(D58+D62+D63)</f>
        <v>0</v>
      </c>
      <c r="E64" s="29" t="n">
        <f aca="false">SUM(B64:D64)</f>
        <v>0</v>
      </c>
    </row>
    <row r="65" customFormat="false" ht="15" hidden="false" customHeight="false" outlineLevel="0" collapsed="false">
      <c r="A65" s="6" t="s">
        <v>489</v>
      </c>
      <c r="B65" s="29" t="n">
        <f aca="false">B60*$B$14</f>
        <v>6.78110932475884</v>
      </c>
      <c r="C65" s="29" t="n">
        <f aca="false">0</f>
        <v>0</v>
      </c>
      <c r="D65" s="29" t="n">
        <f aca="false">D60*$B$14</f>
        <v>2.26036977491961</v>
      </c>
      <c r="E65" s="29" t="n">
        <f aca="false">SUM(B65:D65)</f>
        <v>9.04147909967846</v>
      </c>
    </row>
    <row r="66" customFormat="false" ht="15" hidden="false" customHeight="false" outlineLevel="0" collapsed="false">
      <c r="A66" s="6" t="s">
        <v>490</v>
      </c>
      <c r="B66" s="29" t="n">
        <f aca="false">0</f>
        <v>0</v>
      </c>
      <c r="C66" s="29" t="n">
        <f aca="false">(C62+C65)*$B$15</f>
        <v>8.034</v>
      </c>
      <c r="D66" s="29" t="n">
        <f aca="false">(D62+D65)*$B$15</f>
        <v>3.05903376205788</v>
      </c>
      <c r="E66" s="29" t="n">
        <f aca="false">SUM(B66:D66)</f>
        <v>11.0930337620579</v>
      </c>
    </row>
    <row r="67" customFormat="false" ht="15" hidden="false" customHeight="false" outlineLevel="0" collapsed="false">
      <c r="A67" s="6" t="s">
        <v>491</v>
      </c>
      <c r="B67" s="29" t="n">
        <f aca="false">0</f>
        <v>0</v>
      </c>
      <c r="C67" s="29" t="n">
        <f aca="false">C62+C65+C66</f>
        <v>409.734</v>
      </c>
      <c r="D67" s="29" t="n">
        <f aca="false">D62+D65+D66</f>
        <v>156.010721864952</v>
      </c>
      <c r="E67" s="29" t="n">
        <f aca="false">SUM(B67:D67)</f>
        <v>565.744721864952</v>
      </c>
    </row>
    <row r="68" customFormat="false" ht="15" hidden="false" customHeight="false" outlineLevel="0" collapsed="false">
      <c r="A68" s="6" t="s">
        <v>492</v>
      </c>
      <c r="B68" s="50" t="n">
        <f aca="false">(E65+E66)/E62</f>
        <v>0.018389697208022</v>
      </c>
      <c r="D68" s="9" t="s">
        <v>493</v>
      </c>
    </row>
    <row r="69" customFormat="false" ht="15" hidden="false" customHeight="false" outlineLevel="0" collapsed="false">
      <c r="A69" s="9" t="s">
        <v>494</v>
      </c>
    </row>
    <row r="71" customFormat="false" ht="15" hidden="false" customHeight="false" outlineLevel="0" collapsed="false">
      <c r="A71" s="3" t="s">
        <v>240</v>
      </c>
      <c r="B71" s="4"/>
      <c r="C71" s="4"/>
      <c r="D71" s="4"/>
      <c r="E71" s="4"/>
      <c r="F71" s="4"/>
      <c r="G71" s="4"/>
      <c r="H71" s="4"/>
      <c r="I71" s="4"/>
      <c r="J71" s="4"/>
      <c r="K71" s="4"/>
    </row>
    <row r="72" customFormat="false" ht="30" hidden="false" customHeight="true" outlineLevel="0" collapsed="false">
      <c r="A72" s="17" t="s">
        <v>241</v>
      </c>
      <c r="B72" s="18" t="s">
        <v>204</v>
      </c>
      <c r="C72" s="18" t="s">
        <v>495</v>
      </c>
      <c r="D72" s="18" t="s">
        <v>496</v>
      </c>
      <c r="E72" s="18" t="s">
        <v>497</v>
      </c>
    </row>
    <row r="73" customFormat="false" ht="15" hidden="false" customHeight="false" outlineLevel="0" collapsed="false">
      <c r="A73" s="6" t="s">
        <v>498</v>
      </c>
      <c r="B73" s="51" t="n">
        <v>1</v>
      </c>
      <c r="C73" s="29" t="n">
        <f aca="false">$B$26*$B$27*$B$6*$B$28/1000000</f>
        <v>11.76</v>
      </c>
      <c r="D73" s="29" t="n">
        <f aca="false">0</f>
        <v>0</v>
      </c>
      <c r="E73" s="9" t="s">
        <v>499</v>
      </c>
    </row>
    <row r="74" customFormat="false" ht="15" hidden="false" customHeight="false" outlineLevel="0" collapsed="false">
      <c r="A74" s="6" t="s">
        <v>500</v>
      </c>
      <c r="B74" s="51" t="n">
        <v>1</v>
      </c>
      <c r="C74" s="29" t="n">
        <f aca="false">(B65*(E37-F37)+D65*(E39-F39))*$B$6/1000000</f>
        <v>52.7983953135048</v>
      </c>
      <c r="D74" s="29" t="n">
        <f aca="false">(B65*E37+D65*E39)*$B$6/1000000</f>
        <v>54.8252688906753</v>
      </c>
      <c r="E74" s="9" t="s">
        <v>501</v>
      </c>
    </row>
    <row r="75" customFormat="false" ht="15" hidden="false" customHeight="false" outlineLevel="0" collapsed="false">
      <c r="A75" s="6" t="s">
        <v>502</v>
      </c>
      <c r="B75" s="51" t="n">
        <v>1</v>
      </c>
      <c r="C75" s="29" t="n">
        <f aca="false">F52*$B$6*($B$29-$B$30/$B$7)/1000000</f>
        <v>52.0041597987519</v>
      </c>
      <c r="D75" s="29" t="n">
        <f aca="false">F52*$B$6*($B$29-$B$30/$B$7)/1000000</f>
        <v>52.0041597987519</v>
      </c>
      <c r="E75" s="9" t="s">
        <v>503</v>
      </c>
    </row>
    <row r="76" customFormat="false" ht="15" hidden="false" customHeight="false" outlineLevel="0" collapsed="false">
      <c r="A76" s="6" t="s">
        <v>504</v>
      </c>
      <c r="B76" s="51" t="n">
        <v>1</v>
      </c>
      <c r="C76" s="29" t="n">
        <f aca="false">($B$19-$B$20)*Quesería!$B$31</f>
        <v>152.285</v>
      </c>
      <c r="D76" s="29" t="n">
        <f aca="false">0</f>
        <v>0</v>
      </c>
      <c r="E76" s="9" t="s">
        <v>505</v>
      </c>
    </row>
    <row r="77" customFormat="false" ht="15" hidden="false" customHeight="false" outlineLevel="0" collapsed="false">
      <c r="A77" s="6" t="s">
        <v>506</v>
      </c>
      <c r="B77" s="51" t="n">
        <v>1</v>
      </c>
      <c r="C77" s="29" t="n">
        <f aca="false">$B$22*$B$21</f>
        <v>91.4</v>
      </c>
      <c r="D77" s="29" t="n">
        <f aca="false">0</f>
        <v>0</v>
      </c>
      <c r="E77" s="9" t="s">
        <v>507</v>
      </c>
    </row>
    <row r="78" customFormat="false" ht="15" hidden="false" customHeight="false" outlineLevel="0" collapsed="false">
      <c r="A78" s="6" t="s">
        <v>508</v>
      </c>
      <c r="B78" s="51" t="n">
        <v>1</v>
      </c>
      <c r="C78" s="29" t="n">
        <f aca="false">($B$16-$B$17)*Quesería!$B$30*(1-$B$18)</f>
        <v>32.5056</v>
      </c>
      <c r="D78" s="29" t="n">
        <f aca="false">($B$16-$B$17)*Quesería!$B$30</f>
        <v>33.86</v>
      </c>
      <c r="E78" s="9" t="s">
        <v>509</v>
      </c>
    </row>
    <row r="79" customFormat="false" ht="15" hidden="false" customHeight="false" outlineLevel="0" collapsed="false">
      <c r="A79" s="6" t="s">
        <v>253</v>
      </c>
      <c r="B79" s="51" t="n">
        <v>2</v>
      </c>
      <c r="C79" s="29" t="n">
        <f aca="false">(C66*(E38-F38)+D66*(E39-F39))*$B$6/1000000</f>
        <v>70.7031730842444</v>
      </c>
      <c r="D79" s="29" t="n">
        <f aca="false">(C66*E38+D66*E39)*$B$6/1000000</f>
        <v>73.5484542250804</v>
      </c>
      <c r="E79" s="9" t="s">
        <v>501</v>
      </c>
    </row>
    <row r="80" customFormat="false" ht="15" hidden="false" customHeight="false" outlineLevel="0" collapsed="false">
      <c r="A80" s="6" t="s">
        <v>510</v>
      </c>
      <c r="B80" s="51" t="n">
        <v>2</v>
      </c>
      <c r="C80" s="29" t="n">
        <f aca="false">$B$26*$B$27*$B$6*$B$28/1000000</f>
        <v>11.76</v>
      </c>
      <c r="D80" s="29" t="n">
        <f aca="false">0</f>
        <v>0</v>
      </c>
      <c r="E80" s="9" t="s">
        <v>511</v>
      </c>
    </row>
    <row r="81" customFormat="false" ht="15" hidden="false" customHeight="false" outlineLevel="0" collapsed="false">
      <c r="A81" s="6" t="s">
        <v>512</v>
      </c>
      <c r="B81" s="51" t="n">
        <v>2</v>
      </c>
      <c r="C81" s="29" t="n">
        <f aca="false">$B$24*$B$23</f>
        <v>121.8</v>
      </c>
      <c r="D81" s="29" t="n">
        <f aca="false">0</f>
        <v>0</v>
      </c>
      <c r="E81" s="9" t="s">
        <v>513</v>
      </c>
    </row>
    <row r="82" customFormat="false" ht="15" hidden="false" customHeight="false" outlineLevel="0" collapsed="false">
      <c r="A82" s="6" t="s">
        <v>256</v>
      </c>
      <c r="B82" s="51" t="n">
        <v>2</v>
      </c>
      <c r="C82" s="29" t="n">
        <f aca="false">E63*$B$6*($B$32-$B$31)/1000000</f>
        <v>36.1108213118971</v>
      </c>
      <c r="D82" s="29" t="n">
        <f aca="false">E63*$B$6*($B$32-$B$31)/1000000</f>
        <v>36.1108213118971</v>
      </c>
      <c r="E82" s="9" t="s">
        <v>514</v>
      </c>
    </row>
    <row r="83" customFormat="false" ht="15" hidden="false" customHeight="false" outlineLevel="0" collapsed="false">
      <c r="A83" s="6" t="s">
        <v>515</v>
      </c>
      <c r="B83" s="51" t="n">
        <v>2</v>
      </c>
      <c r="C83" s="29" t="n">
        <f aca="false">$B$33*Quesería!$B$33</f>
        <v>72</v>
      </c>
      <c r="D83" s="29" t="n">
        <f aca="false">0</f>
        <v>0</v>
      </c>
      <c r="E83" s="9" t="s">
        <v>516</v>
      </c>
    </row>
    <row r="85" customFormat="false" ht="15" hidden="false" customHeight="false" outlineLevel="0" collapsed="false">
      <c r="A85" s="3" t="s">
        <v>288</v>
      </c>
      <c r="B85" s="4"/>
      <c r="C85" s="4"/>
      <c r="D85" s="4"/>
      <c r="E85" s="4"/>
      <c r="F85" s="4"/>
      <c r="G85" s="4"/>
      <c r="H85" s="4"/>
      <c r="I85" s="4"/>
      <c r="J85" s="4"/>
      <c r="K85" s="4"/>
    </row>
    <row r="86" customFormat="false" ht="23.85" hidden="false" customHeight="false" outlineLevel="0" collapsed="false">
      <c r="A86" s="17" t="s">
        <v>385</v>
      </c>
      <c r="B86" s="18" t="s">
        <v>74</v>
      </c>
      <c r="C86" s="18" t="s">
        <v>75</v>
      </c>
      <c r="D86" s="18" t="s">
        <v>76</v>
      </c>
    </row>
    <row r="87" customFormat="false" ht="15" hidden="false" customHeight="false" outlineLevel="0" collapsed="false">
      <c r="A87" s="6" t="s">
        <v>517</v>
      </c>
      <c r="B87" s="26" t="n">
        <v>1036</v>
      </c>
      <c r="C87" s="9" t="s">
        <v>518</v>
      </c>
      <c r="D87" s="9" t="s">
        <v>519</v>
      </c>
    </row>
    <row r="88" customFormat="false" ht="15" hidden="false" customHeight="false" outlineLevel="0" collapsed="false">
      <c r="A88" s="6" t="s">
        <v>520</v>
      </c>
      <c r="B88" s="48" t="n">
        <v>20</v>
      </c>
      <c r="C88" s="9" t="s">
        <v>521</v>
      </c>
      <c r="D88" s="9" t="s">
        <v>522</v>
      </c>
    </row>
    <row r="89" customFormat="false" ht="15" hidden="false" customHeight="false" outlineLevel="0" collapsed="false">
      <c r="A89" s="6" t="s">
        <v>523</v>
      </c>
      <c r="B89" s="52" t="n">
        <f aca="false">Cotizaciones!$B$6</f>
        <v>3170.46</v>
      </c>
      <c r="C89" s="9" t="s">
        <v>524</v>
      </c>
      <c r="D89" s="9" t="s">
        <v>525</v>
      </c>
    </row>
    <row r="90" customFormat="false" ht="15" hidden="false" customHeight="false" outlineLevel="0" collapsed="false">
      <c r="A90" s="6" t="s">
        <v>526</v>
      </c>
      <c r="B90" s="48" t="n">
        <v>2.7</v>
      </c>
      <c r="C90" s="9" t="s">
        <v>527</v>
      </c>
      <c r="D90" s="9" t="s">
        <v>528</v>
      </c>
    </row>
    <row r="91" customFormat="false" ht="15" hidden="false" customHeight="false" outlineLevel="0" collapsed="false">
      <c r="A91" s="6" t="s">
        <v>529</v>
      </c>
      <c r="B91" s="20" t="n">
        <v>0.8</v>
      </c>
      <c r="C91" s="9" t="s">
        <v>81</v>
      </c>
      <c r="D91" s="9" t="s">
        <v>530</v>
      </c>
    </row>
    <row r="92" customFormat="false" ht="15" hidden="false" customHeight="false" outlineLevel="0" collapsed="false">
      <c r="A92" s="6" t="s">
        <v>531</v>
      </c>
      <c r="B92" s="35" t="n">
        <f aca="false">B90/B91/1055*B88*B89</f>
        <v>202.849336492891</v>
      </c>
      <c r="C92" s="9" t="s">
        <v>445</v>
      </c>
      <c r="D92" s="9" t="s">
        <v>532</v>
      </c>
    </row>
    <row r="93" customFormat="false" ht="15" hidden="false" customHeight="false" outlineLevel="0" collapsed="false">
      <c r="A93" s="6" t="s">
        <v>533</v>
      </c>
      <c r="B93" s="47" t="n">
        <v>0.15</v>
      </c>
      <c r="C93" s="9" t="s">
        <v>534</v>
      </c>
      <c r="D93" s="9" t="s">
        <v>535</v>
      </c>
    </row>
    <row r="94" customFormat="false" ht="15" hidden="false" customHeight="false" outlineLevel="0" collapsed="false">
      <c r="A94" s="6" t="s">
        <v>536</v>
      </c>
      <c r="B94" s="48" t="n">
        <v>3.9</v>
      </c>
      <c r="C94" s="9" t="s">
        <v>537</v>
      </c>
      <c r="D94" s="9"/>
    </row>
    <row r="95" customFormat="false" ht="15" hidden="false" customHeight="false" outlineLevel="0" collapsed="false">
      <c r="A95" s="6" t="s">
        <v>538</v>
      </c>
      <c r="B95" s="23" t="n">
        <v>16</v>
      </c>
      <c r="C95" s="9" t="s">
        <v>539</v>
      </c>
      <c r="D95" s="9" t="s">
        <v>540</v>
      </c>
    </row>
    <row r="96" customFormat="false" ht="15" hidden="false" customHeight="false" outlineLevel="0" collapsed="false">
      <c r="A96" s="6" t="s">
        <v>541</v>
      </c>
      <c r="B96" s="48" t="n">
        <v>3</v>
      </c>
      <c r="C96" s="9" t="s">
        <v>542</v>
      </c>
      <c r="D96" s="9" t="s">
        <v>543</v>
      </c>
    </row>
    <row r="98" customFormat="false" ht="30" hidden="false" customHeight="true" outlineLevel="0" collapsed="false">
      <c r="A98" s="17" t="s">
        <v>544</v>
      </c>
      <c r="B98" s="18" t="s">
        <v>204</v>
      </c>
      <c r="C98" s="18" t="s">
        <v>545</v>
      </c>
      <c r="D98" s="18" t="s">
        <v>436</v>
      </c>
      <c r="E98" s="18" t="s">
        <v>546</v>
      </c>
      <c r="F98" s="18" t="s">
        <v>547</v>
      </c>
      <c r="G98" s="18" t="s">
        <v>548</v>
      </c>
      <c r="H98" s="18" t="s">
        <v>117</v>
      </c>
      <c r="I98" s="18" t="s">
        <v>207</v>
      </c>
      <c r="J98" s="18" t="s">
        <v>549</v>
      </c>
    </row>
    <row r="99" customFormat="false" ht="15" hidden="false" customHeight="false" outlineLevel="0" collapsed="false">
      <c r="A99" s="6" t="s">
        <v>550</v>
      </c>
      <c r="B99" s="28" t="n">
        <v>1</v>
      </c>
      <c r="C99" s="48" t="n">
        <v>1.2</v>
      </c>
      <c r="D99" s="48" t="n">
        <v>8</v>
      </c>
      <c r="E99" s="29" t="n">
        <f aca="false">C99*D99</f>
        <v>9.6</v>
      </c>
      <c r="F99" s="53" t="n">
        <f aca="false">$B$6</f>
        <v>294</v>
      </c>
      <c r="G99" s="35" t="n">
        <f aca="false">E99*F99</f>
        <v>2822.4</v>
      </c>
      <c r="H99" s="29" t="n">
        <f aca="false">G99*$B$87/1000000</f>
        <v>2.9240064</v>
      </c>
      <c r="I99" s="20" t="n">
        <v>1</v>
      </c>
      <c r="J99" s="29" t="n">
        <f aca="false">H99*I99</f>
        <v>2.9240064</v>
      </c>
    </row>
    <row r="100" customFormat="false" ht="15" hidden="false" customHeight="false" outlineLevel="0" collapsed="false">
      <c r="A100" s="6" t="s">
        <v>551</v>
      </c>
      <c r="B100" s="28" t="n">
        <v>1</v>
      </c>
      <c r="C100" s="48" t="n">
        <v>0.3</v>
      </c>
      <c r="D100" s="48" t="n">
        <v>10</v>
      </c>
      <c r="E100" s="29" t="n">
        <f aca="false">C100*D100</f>
        <v>3</v>
      </c>
      <c r="F100" s="53" t="n">
        <f aca="false">$B$6</f>
        <v>294</v>
      </c>
      <c r="G100" s="35" t="n">
        <f aca="false">E100*F100</f>
        <v>882</v>
      </c>
      <c r="H100" s="29" t="n">
        <f aca="false">G100*$B$87/1000000</f>
        <v>0.913752</v>
      </c>
      <c r="I100" s="22" t="n">
        <f aca="false">Quesería!$B$29</f>
        <v>0.36</v>
      </c>
      <c r="J100" s="29" t="n">
        <f aca="false">H100*I100</f>
        <v>0.32895072</v>
      </c>
    </row>
    <row r="101" customFormat="false" ht="15" hidden="false" customHeight="false" outlineLevel="0" collapsed="false">
      <c r="A101" s="6" t="s">
        <v>552</v>
      </c>
      <c r="B101" s="28" t="n">
        <v>1</v>
      </c>
      <c r="C101" s="48" t="n">
        <v>0.6</v>
      </c>
      <c r="D101" s="48" t="n">
        <v>24</v>
      </c>
      <c r="E101" s="29" t="n">
        <f aca="false">C101*D101</f>
        <v>14.4</v>
      </c>
      <c r="F101" s="23" t="n">
        <v>365</v>
      </c>
      <c r="G101" s="35" t="n">
        <f aca="false">E101*F101</f>
        <v>5256</v>
      </c>
      <c r="H101" s="29" t="n">
        <f aca="false">G101*$B$87/1000000</f>
        <v>5.445216</v>
      </c>
      <c r="I101" s="20" t="n">
        <v>1</v>
      </c>
      <c r="J101" s="29" t="n">
        <f aca="false">H101*I101</f>
        <v>5.445216</v>
      </c>
    </row>
    <row r="102" customFormat="false" ht="15" hidden="false" customHeight="false" outlineLevel="0" collapsed="false">
      <c r="A102" s="6" t="s">
        <v>553</v>
      </c>
      <c r="B102" s="28" t="n">
        <v>2</v>
      </c>
      <c r="C102" s="48" t="n">
        <v>7.5</v>
      </c>
      <c r="D102" s="48" t="n">
        <v>4</v>
      </c>
      <c r="E102" s="29" t="n">
        <f aca="false">C102*D102</f>
        <v>30</v>
      </c>
      <c r="F102" s="53" t="n">
        <f aca="false">$B$6</f>
        <v>294</v>
      </c>
      <c r="G102" s="35" t="n">
        <f aca="false">E102*F102</f>
        <v>8820</v>
      </c>
      <c r="H102" s="29" t="n">
        <f aca="false">G102*$B$87/1000000</f>
        <v>9.13752</v>
      </c>
      <c r="I102" s="20" t="n">
        <v>1</v>
      </c>
      <c r="J102" s="29" t="n">
        <f aca="false">H102*I102</f>
        <v>9.13752</v>
      </c>
    </row>
    <row r="103" customFormat="false" ht="15" hidden="false" customHeight="false" outlineLevel="0" collapsed="false">
      <c r="A103" s="6" t="s">
        <v>554</v>
      </c>
      <c r="B103" s="28" t="n">
        <v>2</v>
      </c>
      <c r="C103" s="48" t="n">
        <v>7.7</v>
      </c>
      <c r="D103" s="48" t="n">
        <v>1.5</v>
      </c>
      <c r="E103" s="29" t="n">
        <f aca="false">C103*D103</f>
        <v>11.55</v>
      </c>
      <c r="F103" s="53" t="n">
        <f aca="false">$B$6</f>
        <v>294</v>
      </c>
      <c r="G103" s="35" t="n">
        <f aca="false">E103*F103</f>
        <v>3395.7</v>
      </c>
      <c r="H103" s="29" t="n">
        <f aca="false">G103*$B$87/1000000</f>
        <v>3.5179452</v>
      </c>
      <c r="I103" s="20" t="n">
        <v>1</v>
      </c>
      <c r="J103" s="29" t="n">
        <f aca="false">H103*I103</f>
        <v>3.5179452</v>
      </c>
    </row>
    <row r="104" customFormat="false" ht="15" hidden="false" customHeight="false" outlineLevel="0" collapsed="false">
      <c r="A104" s="6" t="s">
        <v>555</v>
      </c>
      <c r="B104" s="28" t="n">
        <v>2</v>
      </c>
      <c r="E104" s="29" t="n">
        <f aca="false">E63*$B$94*$B$95/3600/$B$96+2*4</f>
        <v>55.3107258306538</v>
      </c>
      <c r="F104" s="53" t="n">
        <f aca="false">$B$6</f>
        <v>294</v>
      </c>
      <c r="G104" s="35" t="n">
        <f aca="false">E104*F104</f>
        <v>16261.3533942122</v>
      </c>
      <c r="H104" s="29" t="n">
        <f aca="false">G104*$B$87/1000000</f>
        <v>16.8467621164039</v>
      </c>
      <c r="I104" s="20" t="n">
        <v>1</v>
      </c>
      <c r="J104" s="29" t="n">
        <f aca="false">H104*I104</f>
        <v>16.8467621164039</v>
      </c>
    </row>
    <row r="105" customFormat="false" ht="15" hidden="false" customHeight="false" outlineLevel="0" collapsed="false">
      <c r="A105" s="6" t="s">
        <v>533</v>
      </c>
      <c r="B105" s="28" t="n">
        <v>2</v>
      </c>
      <c r="E105" s="29" t="n">
        <f aca="false">$B$93*E67</f>
        <v>84.8617082797428</v>
      </c>
      <c r="F105" s="53" t="n">
        <f aca="false">$B$6</f>
        <v>294</v>
      </c>
      <c r="G105" s="9" t="s">
        <v>556</v>
      </c>
      <c r="H105" s="29" t="n">
        <f aca="false">E105*F105*$B$92/1000000</f>
        <v>5.06095751815053</v>
      </c>
      <c r="I105" s="20" t="n">
        <v>1</v>
      </c>
      <c r="J105" s="29" t="n">
        <f aca="false">H105*I105</f>
        <v>5.06095751815053</v>
      </c>
    </row>
    <row r="106" customFormat="false" ht="15" hidden="false" customHeight="false" outlineLevel="0" collapsed="false">
      <c r="A106" s="9" t="s">
        <v>557</v>
      </c>
    </row>
    <row r="107" customFormat="false" ht="15" hidden="false" customHeight="false" outlineLevel="0" collapsed="false">
      <c r="A107" s="6" t="s">
        <v>558</v>
      </c>
      <c r="B107" s="42" t="n">
        <f aca="false">J104*1000000/(E63*$B$6)</f>
        <v>6.99794196214537</v>
      </c>
      <c r="C107" s="9" t="s">
        <v>445</v>
      </c>
      <c r="D107" s="9" t="s">
        <v>559</v>
      </c>
    </row>
    <row r="109" customFormat="false" ht="23.85" hidden="false" customHeight="false" outlineLevel="0" collapsed="false">
      <c r="A109" s="17" t="s">
        <v>560</v>
      </c>
      <c r="B109" s="18" t="s">
        <v>204</v>
      </c>
      <c r="C109" s="18" t="s">
        <v>561</v>
      </c>
      <c r="D109" s="18" t="s">
        <v>207</v>
      </c>
      <c r="E109" s="18" t="s">
        <v>549</v>
      </c>
    </row>
    <row r="110" customFormat="false" ht="15" hidden="false" customHeight="false" outlineLevel="0" collapsed="false">
      <c r="A110" s="6" t="s">
        <v>562</v>
      </c>
      <c r="B110" s="28" t="n">
        <v>1</v>
      </c>
      <c r="C110" s="25" t="n">
        <v>1.5</v>
      </c>
      <c r="D110" s="20" t="n">
        <v>1</v>
      </c>
      <c r="E110" s="29" t="n">
        <f aca="false">C110*D110</f>
        <v>1.5</v>
      </c>
    </row>
    <row r="111" customFormat="false" ht="15" hidden="false" customHeight="false" outlineLevel="0" collapsed="false">
      <c r="A111" s="6" t="s">
        <v>563</v>
      </c>
      <c r="B111" s="28" t="n">
        <v>1</v>
      </c>
      <c r="C111" s="25" t="n">
        <v>0.5</v>
      </c>
      <c r="D111" s="20" t="n">
        <v>1</v>
      </c>
      <c r="E111" s="29" t="n">
        <f aca="false">C111*D111</f>
        <v>0.5</v>
      </c>
    </row>
    <row r="112" customFormat="false" ht="15" hidden="false" customHeight="false" outlineLevel="0" collapsed="false">
      <c r="A112" s="6" t="s">
        <v>564</v>
      </c>
      <c r="B112" s="28" t="n">
        <v>1</v>
      </c>
      <c r="C112" s="25" t="n">
        <v>2</v>
      </c>
      <c r="D112" s="22" t="n">
        <f aca="false">Quesería!$B$29</f>
        <v>0.36</v>
      </c>
      <c r="E112" s="29" t="n">
        <f aca="false">C112*D112</f>
        <v>0.72</v>
      </c>
    </row>
    <row r="113" customFormat="false" ht="15" hidden="false" customHeight="false" outlineLevel="0" collapsed="false">
      <c r="A113" s="6" t="s">
        <v>565</v>
      </c>
      <c r="B113" s="28" t="n">
        <v>1</v>
      </c>
      <c r="C113" s="25" t="n">
        <v>2</v>
      </c>
      <c r="D113" s="20" t="n">
        <v>1</v>
      </c>
      <c r="E113" s="29" t="n">
        <f aca="false">C113*D113</f>
        <v>2</v>
      </c>
    </row>
    <row r="114" customFormat="false" ht="15" hidden="false" customHeight="false" outlineLevel="0" collapsed="false">
      <c r="A114" s="6" t="s">
        <v>566</v>
      </c>
      <c r="B114" s="28" t="n">
        <v>2</v>
      </c>
      <c r="C114" s="25" t="n">
        <v>0.8</v>
      </c>
      <c r="D114" s="20" t="n">
        <v>1</v>
      </c>
      <c r="E114" s="29" t="n">
        <f aca="false">C114*D114</f>
        <v>0.8</v>
      </c>
    </row>
    <row r="115" customFormat="false" ht="15" hidden="false" customHeight="false" outlineLevel="0" collapsed="false">
      <c r="A115" s="9" t="s">
        <v>567</v>
      </c>
    </row>
    <row r="117" customFormat="false" ht="15" hidden="false" customHeight="false" outlineLevel="0" collapsed="false">
      <c r="A117" s="17" t="s">
        <v>568</v>
      </c>
      <c r="B117" s="18" t="s">
        <v>569</v>
      </c>
      <c r="C117" s="18" t="s">
        <v>570</v>
      </c>
      <c r="D117" s="18" t="s">
        <v>476</v>
      </c>
    </row>
    <row r="118" customFormat="false" ht="15" hidden="false" customHeight="false" outlineLevel="0" collapsed="false">
      <c r="A118" s="5" t="s">
        <v>571</v>
      </c>
      <c r="B118" s="30" t="n">
        <f aca="false">SUMIFS(J99:J105,B99:B105,1)+SUMIFS(E110:E114,B110:B114,1)</f>
        <v>13.41817312</v>
      </c>
      <c r="C118" s="30" t="n">
        <f aca="false">SUMIFS(J99:J105,B99:B105,2)+SUMIFS(E110:E114,B110:B114,2)</f>
        <v>35.3631848345544</v>
      </c>
      <c r="D118" s="31" t="n">
        <f aca="false">B118+C118</f>
        <v>48.7813579545544</v>
      </c>
    </row>
    <row r="119" customFormat="false" ht="15" hidden="false" customHeight="false" outlineLevel="0" collapsed="false">
      <c r="A119" s="9" t="s">
        <v>572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2"/>
    <col collapsed="false" customWidth="true" hidden="false" outlineLevel="0" max="6" min="5" style="0" width="13"/>
    <col collapsed="false" customWidth="true" hidden="false" outlineLevel="0" max="7" min="7" style="0" width="14"/>
    <col collapsed="false" customWidth="true" hidden="false" outlineLevel="0" max="8" min="8" style="0" width="18"/>
    <col collapsed="false" customWidth="true" hidden="false" outlineLevel="0" max="9" min="9" style="0" width="60"/>
  </cols>
  <sheetData>
    <row r="1" customFormat="false" ht="17.35" hidden="false" customHeight="false" outlineLevel="0" collapsed="false">
      <c r="A1" s="16" t="s">
        <v>573</v>
      </c>
    </row>
    <row r="2" customFormat="false" ht="15" hidden="false" customHeight="false" outlineLevel="0" collapsed="false">
      <c r="A2" s="9" t="s">
        <v>574</v>
      </c>
    </row>
    <row r="4" customFormat="false" ht="15" hidden="false" customHeight="false" outlineLevel="0" collapsed="false">
      <c r="A4" s="3" t="s">
        <v>575</v>
      </c>
      <c r="B4" s="4"/>
      <c r="C4" s="4"/>
      <c r="D4" s="4"/>
      <c r="E4" s="4"/>
      <c r="F4" s="4"/>
      <c r="G4" s="4"/>
      <c r="H4" s="4"/>
      <c r="I4" s="4"/>
    </row>
    <row r="5" customFormat="false" ht="15" hidden="false" customHeight="false" outlineLevel="0" collapsed="false">
      <c r="A5" s="17" t="s">
        <v>576</v>
      </c>
      <c r="B5" s="18" t="s">
        <v>74</v>
      </c>
      <c r="C5" s="18" t="s">
        <v>75</v>
      </c>
      <c r="D5" s="18" t="s">
        <v>577</v>
      </c>
    </row>
    <row r="6" customFormat="false" ht="15" hidden="false" customHeight="false" outlineLevel="0" collapsed="false">
      <c r="A6" s="6" t="s">
        <v>578</v>
      </c>
      <c r="B6" s="54" t="n">
        <v>3170.46</v>
      </c>
      <c r="C6" s="6" t="s">
        <v>524</v>
      </c>
      <c r="D6" s="9" t="s">
        <v>579</v>
      </c>
    </row>
    <row r="7" customFormat="false" ht="15" hidden="false" customHeight="false" outlineLevel="0" collapsed="false">
      <c r="A7" s="6" t="s">
        <v>580</v>
      </c>
      <c r="B7" s="54" t="n">
        <v>3569.9</v>
      </c>
      <c r="C7" s="6" t="s">
        <v>581</v>
      </c>
      <c r="D7" s="9" t="s">
        <v>582</v>
      </c>
    </row>
    <row r="8" customFormat="false" ht="15" hidden="false" customHeight="false" outlineLevel="0" collapsed="false">
      <c r="A8" s="6" t="s">
        <v>583</v>
      </c>
      <c r="B8" s="20" t="n">
        <v>0.3</v>
      </c>
      <c r="C8" s="6" t="s">
        <v>418</v>
      </c>
      <c r="D8" s="9" t="s">
        <v>584</v>
      </c>
    </row>
    <row r="9" customFormat="false" ht="15" hidden="false" customHeight="false" outlineLevel="0" collapsed="false">
      <c r="A9" s="6" t="s">
        <v>585</v>
      </c>
      <c r="B9" s="20" t="n">
        <v>0.15</v>
      </c>
      <c r="C9" s="6" t="s">
        <v>418</v>
      </c>
      <c r="D9" s="9" t="s">
        <v>586</v>
      </c>
    </row>
    <row r="11" customFormat="false" ht="15" hidden="false" customHeight="false" outlineLevel="0" collapsed="false">
      <c r="A11" s="3" t="s">
        <v>587</v>
      </c>
      <c r="B11" s="4"/>
      <c r="C11" s="4"/>
      <c r="D11" s="4"/>
      <c r="E11" s="4"/>
      <c r="F11" s="4"/>
      <c r="G11" s="4"/>
      <c r="H11" s="4"/>
      <c r="I11" s="4"/>
    </row>
    <row r="12" customFormat="false" ht="57.45" hidden="false" customHeight="false" outlineLevel="0" collapsed="false">
      <c r="A12" s="17" t="s">
        <v>588</v>
      </c>
      <c r="B12" s="18" t="s">
        <v>589</v>
      </c>
      <c r="C12" s="18" t="s">
        <v>590</v>
      </c>
      <c r="D12" s="18" t="s">
        <v>591</v>
      </c>
      <c r="E12" s="18" t="s">
        <v>592</v>
      </c>
      <c r="F12" s="18" t="s">
        <v>593</v>
      </c>
      <c r="G12" s="18" t="s">
        <v>594</v>
      </c>
      <c r="H12" s="18" t="s">
        <v>456</v>
      </c>
      <c r="I12" s="18" t="s">
        <v>595</v>
      </c>
    </row>
    <row r="13" customFormat="false" ht="61.5" hidden="false" customHeight="true" outlineLevel="0" collapsed="false">
      <c r="A13" s="55" t="s">
        <v>596</v>
      </c>
      <c r="B13" s="56" t="n">
        <v>7000</v>
      </c>
      <c r="C13" s="6" t="s">
        <v>597</v>
      </c>
      <c r="D13" s="29" t="n">
        <f aca="false">B13*$B$6/1000000</f>
        <v>22.19322</v>
      </c>
      <c r="E13" s="29" t="n">
        <f aca="false">D13*(1+$B$8)*(1+$B$9)</f>
        <v>33.1788639</v>
      </c>
      <c r="F13" s="30" t="n">
        <f aca="false">E13</f>
        <v>33.1788639</v>
      </c>
      <c r="G13" s="55" t="s">
        <v>598</v>
      </c>
      <c r="H13" s="57" t="s">
        <v>599</v>
      </c>
      <c r="I13" s="57" t="s">
        <v>600</v>
      </c>
    </row>
    <row r="14" customFormat="false" ht="61.5" hidden="false" customHeight="true" outlineLevel="0" collapsed="false">
      <c r="A14" s="55" t="s">
        <v>601</v>
      </c>
      <c r="B14" s="56" t="n">
        <v>39000</v>
      </c>
      <c r="C14" s="6" t="s">
        <v>602</v>
      </c>
      <c r="D14" s="29" t="n">
        <f aca="false">B14*$B$7/1000000</f>
        <v>139.2261</v>
      </c>
      <c r="E14" s="29" t="n">
        <f aca="false">D14*(1+$B$8)*(1+$B$9)</f>
        <v>208.1430195</v>
      </c>
      <c r="F14" s="25" t="n">
        <v>322.6</v>
      </c>
      <c r="G14" s="55" t="s">
        <v>603</v>
      </c>
      <c r="H14" s="57" t="s">
        <v>604</v>
      </c>
      <c r="I14" s="57" t="s">
        <v>605</v>
      </c>
    </row>
    <row r="15" customFormat="false" ht="61.5" hidden="false" customHeight="true" outlineLevel="0" collapsed="false">
      <c r="A15" s="55" t="s">
        <v>225</v>
      </c>
      <c r="B15" s="56" t="n">
        <v>5000</v>
      </c>
      <c r="C15" s="6" t="s">
        <v>597</v>
      </c>
      <c r="D15" s="29" t="n">
        <f aca="false">B15*$B$6/1000000</f>
        <v>15.8523</v>
      </c>
      <c r="E15" s="29" t="n">
        <f aca="false">D15*(1+$B$8)*(1+$B$9)</f>
        <v>23.6991885</v>
      </c>
      <c r="F15" s="29" t="n">
        <f aca="false">320/3</f>
        <v>106.666666666667</v>
      </c>
      <c r="G15" s="55" t="s">
        <v>603</v>
      </c>
      <c r="H15" s="57" t="s">
        <v>606</v>
      </c>
      <c r="I15" s="57" t="s">
        <v>607</v>
      </c>
    </row>
    <row r="16" customFormat="false" ht="61.5" hidden="false" customHeight="true" outlineLevel="0" collapsed="false">
      <c r="A16" s="55" t="s">
        <v>608</v>
      </c>
      <c r="B16" s="56" t="n">
        <v>9500</v>
      </c>
      <c r="C16" s="6" t="s">
        <v>597</v>
      </c>
      <c r="D16" s="29" t="n">
        <f aca="false">B16*$B$6/1000000</f>
        <v>30.11937</v>
      </c>
      <c r="E16" s="29" t="n">
        <f aca="false">D16*(1+$B$8)*(1+$B$9)</f>
        <v>45.02845815</v>
      </c>
      <c r="F16" s="29" t="n">
        <f aca="false">200/3</f>
        <v>66.6666666666667</v>
      </c>
      <c r="G16" s="55" t="s">
        <v>603</v>
      </c>
      <c r="H16" s="57" t="s">
        <v>609</v>
      </c>
      <c r="I16" s="57" t="s">
        <v>610</v>
      </c>
    </row>
    <row r="17" customFormat="false" ht="61.5" hidden="false" customHeight="true" outlineLevel="0" collapsed="false">
      <c r="A17" s="55" t="s">
        <v>611</v>
      </c>
      <c r="B17" s="56" t="n">
        <v>2200</v>
      </c>
      <c r="C17" s="6" t="s">
        <v>597</v>
      </c>
      <c r="D17" s="29" t="n">
        <f aca="false">B17*$B$6/1000000</f>
        <v>6.975012</v>
      </c>
      <c r="E17" s="29" t="n">
        <f aca="false">D17*(1+$B$8)*(1+$B$9)</f>
        <v>10.42764294</v>
      </c>
      <c r="F17" s="30" t="n">
        <f aca="false">E17</f>
        <v>10.42764294</v>
      </c>
      <c r="G17" s="55" t="s">
        <v>598</v>
      </c>
      <c r="H17" s="57" t="s">
        <v>612</v>
      </c>
      <c r="I17" s="57" t="s">
        <v>613</v>
      </c>
    </row>
    <row r="18" customFormat="false" ht="61.5" hidden="false" customHeight="true" outlineLevel="0" collapsed="false">
      <c r="A18" s="55" t="s">
        <v>614</v>
      </c>
      <c r="F18" s="25" t="n">
        <v>180</v>
      </c>
      <c r="G18" s="55" t="s">
        <v>615</v>
      </c>
      <c r="H18" s="57" t="s">
        <v>616</v>
      </c>
      <c r="I18" s="57"/>
    </row>
    <row r="19" customFormat="false" ht="61.5" hidden="false" customHeight="true" outlineLevel="0" collapsed="false">
      <c r="A19" s="55" t="s">
        <v>617</v>
      </c>
      <c r="F19" s="25" t="n">
        <v>30</v>
      </c>
      <c r="G19" s="55" t="s">
        <v>615</v>
      </c>
      <c r="H19" s="57" t="s">
        <v>618</v>
      </c>
      <c r="I19" s="57"/>
    </row>
    <row r="20" customFormat="false" ht="61.5" hidden="false" customHeight="true" outlineLevel="0" collapsed="false">
      <c r="A20" s="55" t="s">
        <v>619</v>
      </c>
      <c r="F20" s="25" t="n">
        <v>120</v>
      </c>
      <c r="G20" s="55" t="s">
        <v>615</v>
      </c>
      <c r="H20" s="57" t="s">
        <v>620</v>
      </c>
      <c r="I20" s="57"/>
    </row>
    <row r="21" customFormat="false" ht="61.5" hidden="false" customHeight="true" outlineLevel="0" collapsed="false">
      <c r="A21" s="55" t="s">
        <v>621</v>
      </c>
      <c r="F21" s="25" t="n">
        <v>80</v>
      </c>
      <c r="G21" s="55" t="s">
        <v>615</v>
      </c>
      <c r="H21" s="57" t="s">
        <v>618</v>
      </c>
      <c r="I21" s="57"/>
    </row>
    <row r="23" customFormat="false" ht="15" hidden="false" customHeight="false" outlineLevel="0" collapsed="false">
      <c r="A23" s="9" t="s">
        <v>622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19" min="2" style="0" width="12"/>
  </cols>
  <sheetData>
    <row r="1" customFormat="false" ht="17.35" hidden="false" customHeight="false" outlineLevel="0" collapsed="false">
      <c r="A1" s="16" t="s">
        <v>623</v>
      </c>
    </row>
    <row r="2" customFormat="false" ht="15" hidden="false" customHeight="false" outlineLevel="0" collapsed="false">
      <c r="A2" s="9" t="s">
        <v>624</v>
      </c>
    </row>
    <row r="4" customFormat="false" ht="15" hidden="false" customHeight="false" outlineLevel="0" collapsed="false">
      <c r="A4" s="3" t="s">
        <v>625</v>
      </c>
      <c r="B4" s="4"/>
      <c r="C4" s="4"/>
      <c r="D4" s="4"/>
      <c r="E4" s="4"/>
      <c r="F4" s="4"/>
      <c r="G4" s="4"/>
      <c r="H4" s="4"/>
      <c r="I4" s="4"/>
      <c r="J4" s="4"/>
      <c r="K4" s="4"/>
      <c r="L4" s="4"/>
      <c r="M4" s="4"/>
      <c r="N4" s="4"/>
      <c r="O4" s="4"/>
      <c r="P4" s="4"/>
      <c r="Q4" s="4"/>
      <c r="R4" s="4"/>
      <c r="S4" s="4"/>
      <c r="T4" s="4"/>
      <c r="U4" s="4"/>
      <c r="V4" s="4"/>
      <c r="W4" s="4"/>
      <c r="X4" s="4"/>
      <c r="Y4" s="4"/>
    </row>
    <row r="5" customFormat="false" ht="42" hidden="false" customHeight="true" outlineLevel="0" collapsed="false">
      <c r="A5" s="17" t="s">
        <v>73</v>
      </c>
      <c r="B5" s="18" t="s">
        <v>626</v>
      </c>
      <c r="C5" s="18" t="s">
        <v>627</v>
      </c>
      <c r="D5" s="18" t="s">
        <v>628</v>
      </c>
      <c r="E5" s="18" t="s">
        <v>629</v>
      </c>
      <c r="F5" s="18" t="s">
        <v>630</v>
      </c>
      <c r="G5" s="18" t="s">
        <v>631</v>
      </c>
      <c r="H5" s="18" t="s">
        <v>632</v>
      </c>
      <c r="I5" s="18" t="s">
        <v>633</v>
      </c>
      <c r="J5" s="18" t="s">
        <v>634</v>
      </c>
      <c r="K5" s="18" t="s">
        <v>635</v>
      </c>
      <c r="L5" s="18" t="s">
        <v>636</v>
      </c>
      <c r="M5" s="18" t="s">
        <v>637</v>
      </c>
      <c r="N5" s="18" t="s">
        <v>638</v>
      </c>
      <c r="O5" s="18" t="s">
        <v>639</v>
      </c>
      <c r="P5" s="18" t="s">
        <v>640</v>
      </c>
      <c r="Q5" s="18" t="s">
        <v>641</v>
      </c>
      <c r="R5" s="18" t="s">
        <v>642</v>
      </c>
      <c r="S5" s="18" t="s">
        <v>643</v>
      </c>
      <c r="T5" s="18" t="s">
        <v>644</v>
      </c>
      <c r="U5" s="18" t="s">
        <v>645</v>
      </c>
      <c r="V5" s="18" t="s">
        <v>646</v>
      </c>
      <c r="W5" s="18" t="s">
        <v>647</v>
      </c>
      <c r="X5" s="18" t="s">
        <v>648</v>
      </c>
      <c r="Y5" s="18" t="s">
        <v>649</v>
      </c>
    </row>
    <row r="6" customFormat="false" ht="15" hidden="false" customHeight="false" outlineLevel="0" collapsed="false">
      <c r="A6" s="6" t="s">
        <v>650</v>
      </c>
      <c r="B6" s="51" t="n">
        <v>1</v>
      </c>
      <c r="C6" s="51" t="n">
        <v>1</v>
      </c>
      <c r="D6" s="51" t="n">
        <v>1</v>
      </c>
      <c r="E6" s="51" t="n">
        <v>1</v>
      </c>
      <c r="F6" s="51" t="n">
        <v>1</v>
      </c>
      <c r="G6" s="51" t="n">
        <v>1</v>
      </c>
      <c r="H6" s="51" t="n">
        <v>1</v>
      </c>
      <c r="I6" s="51" t="n">
        <v>1</v>
      </c>
      <c r="J6" s="51" t="n">
        <v>1</v>
      </c>
      <c r="K6" s="51" t="n">
        <v>1</v>
      </c>
      <c r="L6" s="51" t="n">
        <v>1</v>
      </c>
      <c r="M6" s="51" t="n">
        <v>1</v>
      </c>
      <c r="N6" s="51" t="n">
        <v>1</v>
      </c>
      <c r="O6" s="51" t="n">
        <v>1</v>
      </c>
      <c r="P6" s="51" t="n">
        <v>1</v>
      </c>
      <c r="Q6" s="51" t="n">
        <v>1</v>
      </c>
      <c r="R6" s="51" t="n">
        <v>1</v>
      </c>
      <c r="S6" s="51" t="n">
        <v>1</v>
      </c>
      <c r="T6" s="51" t="n">
        <v>1</v>
      </c>
      <c r="U6" s="51" t="n">
        <v>1</v>
      </c>
      <c r="V6" s="51" t="n">
        <v>1</v>
      </c>
      <c r="W6" s="51" t="n">
        <v>1</v>
      </c>
      <c r="X6" s="51" t="n">
        <v>1</v>
      </c>
      <c r="Y6" s="51" t="n">
        <v>1</v>
      </c>
    </row>
    <row r="7" customFormat="false" ht="15" hidden="false" customHeight="false" outlineLevel="0" collapsed="false">
      <c r="A7" s="6" t="s">
        <v>651</v>
      </c>
      <c r="B7" s="51" t="n">
        <v>1</v>
      </c>
      <c r="C7" s="28" t="n">
        <v>0</v>
      </c>
      <c r="D7" s="28" t="n">
        <v>0</v>
      </c>
      <c r="E7" s="51" t="n">
        <v>1</v>
      </c>
      <c r="F7" s="51" t="n">
        <v>1</v>
      </c>
      <c r="G7" s="51" t="n">
        <v>1</v>
      </c>
      <c r="H7" s="51" t="n">
        <v>1</v>
      </c>
      <c r="I7" s="51" t="n">
        <v>1</v>
      </c>
      <c r="J7" s="51" t="n">
        <v>1</v>
      </c>
      <c r="K7" s="51" t="n">
        <v>1</v>
      </c>
      <c r="L7" s="51" t="n">
        <v>1</v>
      </c>
      <c r="M7" s="51" t="n">
        <v>1</v>
      </c>
      <c r="N7" s="51" t="n">
        <v>1</v>
      </c>
      <c r="O7" s="51" t="n">
        <v>1</v>
      </c>
      <c r="P7" s="51" t="n">
        <v>1</v>
      </c>
      <c r="Q7" s="51" t="n">
        <v>1</v>
      </c>
      <c r="R7" s="51" t="n">
        <v>1</v>
      </c>
      <c r="S7" s="51" t="n">
        <v>1</v>
      </c>
      <c r="T7" s="51" t="n">
        <v>1</v>
      </c>
      <c r="U7" s="51" t="n">
        <v>1</v>
      </c>
      <c r="V7" s="51" t="n">
        <v>1</v>
      </c>
      <c r="W7" s="51" t="n">
        <v>1</v>
      </c>
      <c r="X7" s="51" t="n">
        <v>1</v>
      </c>
      <c r="Y7" s="51" t="n">
        <v>1</v>
      </c>
    </row>
    <row r="8" customFormat="false" ht="15" hidden="false" customHeight="false" outlineLevel="0" collapsed="false">
      <c r="A8" s="6" t="s">
        <v>652</v>
      </c>
      <c r="B8" s="51" t="n">
        <v>1</v>
      </c>
      <c r="C8" s="28" t="n">
        <v>0</v>
      </c>
      <c r="D8" s="28" t="n">
        <v>0</v>
      </c>
      <c r="E8" s="51" t="n">
        <v>1</v>
      </c>
      <c r="F8" s="51" t="n">
        <v>1</v>
      </c>
      <c r="G8" s="51" t="n">
        <v>1</v>
      </c>
      <c r="H8" s="51" t="n">
        <v>1</v>
      </c>
      <c r="I8" s="51" t="n">
        <v>1</v>
      </c>
      <c r="J8" s="51" t="n">
        <v>1</v>
      </c>
      <c r="K8" s="51" t="n">
        <v>1</v>
      </c>
      <c r="L8" s="51" t="n">
        <v>1</v>
      </c>
      <c r="M8" s="51" t="n">
        <v>1</v>
      </c>
      <c r="N8" s="51" t="n">
        <v>1</v>
      </c>
      <c r="O8" s="51" t="n">
        <v>1</v>
      </c>
      <c r="P8" s="51" t="n">
        <v>1</v>
      </c>
      <c r="Q8" s="51" t="n">
        <v>1</v>
      </c>
      <c r="R8" s="51" t="n">
        <v>1</v>
      </c>
      <c r="S8" s="51" t="n">
        <v>1</v>
      </c>
      <c r="T8" s="51" t="n">
        <v>1</v>
      </c>
      <c r="U8" s="51" t="n">
        <v>1</v>
      </c>
      <c r="V8" s="51" t="n">
        <v>1</v>
      </c>
      <c r="W8" s="51" t="n">
        <v>1</v>
      </c>
      <c r="X8" s="51" t="n">
        <v>1</v>
      </c>
      <c r="Y8" s="51" t="n">
        <v>1</v>
      </c>
    </row>
    <row r="9" customFormat="false" ht="15" hidden="false" customHeight="false" outlineLevel="0" collapsed="false">
      <c r="A9" s="6" t="s">
        <v>653</v>
      </c>
      <c r="B9" s="51" t="n">
        <v>1</v>
      </c>
      <c r="C9" s="51" t="n">
        <v>1</v>
      </c>
      <c r="D9" s="51" t="n">
        <v>1</v>
      </c>
      <c r="E9" s="51" t="n">
        <v>1</v>
      </c>
      <c r="F9" s="28" t="n">
        <v>0</v>
      </c>
      <c r="G9" s="51" t="n">
        <v>1</v>
      </c>
      <c r="H9" s="51" t="n">
        <v>1</v>
      </c>
      <c r="I9" s="51" t="n">
        <v>1</v>
      </c>
      <c r="J9" s="51" t="n">
        <v>1</v>
      </c>
      <c r="K9" s="51" t="n">
        <v>1</v>
      </c>
      <c r="L9" s="51" t="n">
        <v>1</v>
      </c>
      <c r="M9" s="51" t="n">
        <v>1</v>
      </c>
      <c r="N9" s="51" t="n">
        <v>1</v>
      </c>
      <c r="O9" s="51" t="n">
        <v>1</v>
      </c>
      <c r="P9" s="51" t="n">
        <v>1</v>
      </c>
      <c r="Q9" s="51" t="n">
        <v>1</v>
      </c>
      <c r="R9" s="51" t="n">
        <v>1</v>
      </c>
      <c r="S9" s="51" t="n">
        <v>1</v>
      </c>
      <c r="T9" s="51" t="n">
        <v>1</v>
      </c>
      <c r="U9" s="51" t="n">
        <v>1</v>
      </c>
      <c r="V9" s="51" t="n">
        <v>1</v>
      </c>
      <c r="W9" s="51" t="n">
        <v>1</v>
      </c>
      <c r="X9" s="51" t="n">
        <v>1</v>
      </c>
      <c r="Y9" s="51" t="n">
        <v>1</v>
      </c>
    </row>
    <row r="10" customFormat="false" ht="15" hidden="false" customHeight="false" outlineLevel="0" collapsed="false">
      <c r="A10" s="6" t="s">
        <v>654</v>
      </c>
      <c r="B10" s="58" t="n">
        <v>1</v>
      </c>
      <c r="C10" s="58" t="n">
        <v>1</v>
      </c>
      <c r="D10" s="58" t="n">
        <v>1</v>
      </c>
      <c r="E10" s="58" t="n">
        <v>1</v>
      </c>
      <c r="F10" s="58" t="n">
        <v>1</v>
      </c>
      <c r="G10" s="59" t="n">
        <v>0.8</v>
      </c>
      <c r="H10" s="59" t="n">
        <v>1.2</v>
      </c>
      <c r="I10" s="58" t="n">
        <v>1</v>
      </c>
      <c r="J10" s="58" t="n">
        <v>1</v>
      </c>
      <c r="K10" s="58" t="n">
        <v>1</v>
      </c>
      <c r="L10" s="58" t="n">
        <v>1</v>
      </c>
      <c r="M10" s="58" t="n">
        <v>1</v>
      </c>
      <c r="N10" s="58" t="n">
        <v>1</v>
      </c>
      <c r="O10" s="58" t="n">
        <v>1</v>
      </c>
      <c r="P10" s="58" t="n">
        <v>1</v>
      </c>
      <c r="Q10" s="58" t="n">
        <v>1</v>
      </c>
      <c r="R10" s="58" t="n">
        <v>1</v>
      </c>
      <c r="S10" s="58" t="n">
        <v>1</v>
      </c>
      <c r="T10" s="58" t="n">
        <v>1</v>
      </c>
      <c r="U10" s="58" t="n">
        <v>1</v>
      </c>
      <c r="V10" s="59" t="n">
        <v>0.8</v>
      </c>
      <c r="W10" s="58" t="n">
        <v>1</v>
      </c>
      <c r="X10" s="58" t="n">
        <v>1</v>
      </c>
      <c r="Y10" s="58" t="n">
        <v>1</v>
      </c>
    </row>
    <row r="11" customFormat="false" ht="15" hidden="false" customHeight="false" outlineLevel="0" collapsed="false">
      <c r="A11" s="6" t="s">
        <v>655</v>
      </c>
      <c r="B11" s="58" t="n">
        <v>1</v>
      </c>
      <c r="C11" s="58" t="n">
        <v>1</v>
      </c>
      <c r="D11" s="58" t="n">
        <v>1</v>
      </c>
      <c r="E11" s="58" t="n">
        <v>1</v>
      </c>
      <c r="F11" s="58" t="n">
        <v>1</v>
      </c>
      <c r="G11" s="58" t="n">
        <v>1</v>
      </c>
      <c r="H11" s="58" t="n">
        <v>1</v>
      </c>
      <c r="I11" s="59" t="n">
        <v>1.2</v>
      </c>
      <c r="J11" s="59" t="n">
        <v>0.8</v>
      </c>
      <c r="K11" s="58" t="n">
        <v>1</v>
      </c>
      <c r="L11" s="58" t="n">
        <v>1</v>
      </c>
      <c r="M11" s="58" t="n">
        <v>1</v>
      </c>
      <c r="N11" s="58" t="n">
        <v>1</v>
      </c>
      <c r="O11" s="58" t="n">
        <v>1</v>
      </c>
      <c r="P11" s="58" t="n">
        <v>1</v>
      </c>
      <c r="Q11" s="58" t="n">
        <v>1</v>
      </c>
      <c r="R11" s="58" t="n">
        <v>1</v>
      </c>
      <c r="S11" s="58" t="n">
        <v>1</v>
      </c>
      <c r="T11" s="58" t="n">
        <v>1</v>
      </c>
      <c r="U11" s="58" t="n">
        <v>1</v>
      </c>
      <c r="V11" s="59" t="n">
        <v>1.2</v>
      </c>
      <c r="W11" s="58" t="n">
        <v>1</v>
      </c>
      <c r="X11" s="58" t="n">
        <v>1</v>
      </c>
      <c r="Y11" s="58" t="n">
        <v>1</v>
      </c>
    </row>
    <row r="12" customFormat="false" ht="15" hidden="false" customHeight="false" outlineLevel="0" collapsed="false">
      <c r="A12" s="6" t="s">
        <v>656</v>
      </c>
      <c r="B12" s="58" t="n">
        <v>1</v>
      </c>
      <c r="C12" s="58" t="n">
        <v>1</v>
      </c>
      <c r="D12" s="58" t="n">
        <v>1</v>
      </c>
      <c r="E12" s="58" t="n">
        <v>1</v>
      </c>
      <c r="F12" s="58" t="n">
        <v>1</v>
      </c>
      <c r="G12" s="58" t="n">
        <v>1</v>
      </c>
      <c r="H12" s="58" t="n">
        <v>1</v>
      </c>
      <c r="I12" s="58" t="n">
        <v>1</v>
      </c>
      <c r="J12" s="58" t="n">
        <v>1</v>
      </c>
      <c r="K12" s="59" t="n">
        <v>1.3</v>
      </c>
      <c r="L12" s="59" t="n">
        <v>0.7</v>
      </c>
      <c r="M12" s="58" t="n">
        <v>1</v>
      </c>
      <c r="N12" s="58" t="n">
        <v>1</v>
      </c>
      <c r="O12" s="58" t="n">
        <v>1</v>
      </c>
      <c r="P12" s="58" t="n">
        <v>1</v>
      </c>
      <c r="Q12" s="58" t="n">
        <v>1</v>
      </c>
      <c r="R12" s="58" t="n">
        <v>1</v>
      </c>
      <c r="S12" s="58" t="n">
        <v>1</v>
      </c>
      <c r="T12" s="58" t="n">
        <v>1</v>
      </c>
      <c r="U12" s="58" t="n">
        <v>1</v>
      </c>
      <c r="V12" s="59" t="n">
        <v>1.3</v>
      </c>
      <c r="W12" s="58" t="n">
        <v>1</v>
      </c>
      <c r="X12" s="58" t="n">
        <v>1</v>
      </c>
      <c r="Y12" s="58" t="n">
        <v>1</v>
      </c>
    </row>
    <row r="13" customFormat="false" ht="15" hidden="false" customHeight="false" outlineLevel="0" collapsed="false">
      <c r="A13" s="6" t="s">
        <v>176</v>
      </c>
      <c r="B13" s="51" t="n">
        <f aca="false">Quesería!$B$48</f>
        <v>0</v>
      </c>
      <c r="C13" s="28" t="n">
        <v>1</v>
      </c>
      <c r="D13" s="28" t="n">
        <v>1</v>
      </c>
      <c r="E13" s="51" t="n">
        <f aca="false">Quesería!$B$48</f>
        <v>0</v>
      </c>
      <c r="F13" s="51" t="n">
        <f aca="false">Quesería!$B$48</f>
        <v>0</v>
      </c>
      <c r="G13" s="51" t="n">
        <f aca="false">Quesería!$B$48</f>
        <v>0</v>
      </c>
      <c r="H13" s="51" t="n">
        <f aca="false">Quesería!$B$48</f>
        <v>0</v>
      </c>
      <c r="I13" s="51" t="n">
        <f aca="false">Quesería!$B$48</f>
        <v>0</v>
      </c>
      <c r="J13" s="51" t="n">
        <f aca="false">Quesería!$B$48</f>
        <v>0</v>
      </c>
      <c r="K13" s="51" t="n">
        <f aca="false">Quesería!$B$48</f>
        <v>0</v>
      </c>
      <c r="L13" s="51" t="n">
        <f aca="false">Quesería!$B$48</f>
        <v>0</v>
      </c>
      <c r="M13" s="51" t="n">
        <f aca="false">Quesería!$B$48</f>
        <v>0</v>
      </c>
      <c r="N13" s="51" t="n">
        <f aca="false">Quesería!$B$48</f>
        <v>0</v>
      </c>
      <c r="O13" s="51" t="n">
        <f aca="false">Quesería!$B$48</f>
        <v>0</v>
      </c>
      <c r="P13" s="51" t="n">
        <f aca="false">Quesería!$B$48</f>
        <v>0</v>
      </c>
      <c r="Q13" s="51" t="n">
        <f aca="false">Quesería!$B$48</f>
        <v>0</v>
      </c>
      <c r="R13" s="51" t="n">
        <f aca="false">Quesería!$B$48</f>
        <v>0</v>
      </c>
      <c r="S13" s="28" t="n">
        <v>1</v>
      </c>
      <c r="T13" s="51" t="n">
        <f aca="false">Quesería!$B$48</f>
        <v>0</v>
      </c>
      <c r="U13" s="28" t="n">
        <v>1</v>
      </c>
      <c r="V13" s="51" t="n">
        <f aca="false">Quesería!$B$48</f>
        <v>0</v>
      </c>
      <c r="W13" s="28" t="n">
        <v>1</v>
      </c>
      <c r="X13" s="28" t="n">
        <v>1</v>
      </c>
      <c r="Y13" s="51" t="n">
        <f aca="false">Quesería!$B$48</f>
        <v>0</v>
      </c>
    </row>
    <row r="14" customFormat="false" ht="15" hidden="false" customHeight="false" outlineLevel="0" collapsed="false">
      <c r="A14" s="6" t="s">
        <v>657</v>
      </c>
      <c r="B14" s="60" t="n">
        <f aca="false">Quesería!$B$41</f>
        <v>0.141</v>
      </c>
      <c r="C14" s="60" t="n">
        <f aca="false">Quesería!$B$41</f>
        <v>0.141</v>
      </c>
      <c r="D14" s="60" t="n">
        <f aca="false">Quesería!$B$41</f>
        <v>0.141</v>
      </c>
      <c r="E14" s="60" t="n">
        <f aca="false">Quesería!$B$41</f>
        <v>0.141</v>
      </c>
      <c r="F14" s="60" t="n">
        <f aca="false">Quesería!$B$41</f>
        <v>0.141</v>
      </c>
      <c r="G14" s="60" t="n">
        <f aca="false">Quesería!$B$41</f>
        <v>0.141</v>
      </c>
      <c r="H14" s="60" t="n">
        <f aca="false">Quesería!$B$41</f>
        <v>0.141</v>
      </c>
      <c r="I14" s="60" t="n">
        <f aca="false">Quesería!$B$41</f>
        <v>0.141</v>
      </c>
      <c r="J14" s="60" t="n">
        <f aca="false">Quesería!$B$41</f>
        <v>0.141</v>
      </c>
      <c r="K14" s="60" t="n">
        <f aca="false">Quesería!$B$41</f>
        <v>0.141</v>
      </c>
      <c r="L14" s="60" t="n">
        <f aca="false">Quesería!$B$41</f>
        <v>0.141</v>
      </c>
      <c r="M14" s="60" t="n">
        <f aca="false">Quesería!$B$41</f>
        <v>0.141</v>
      </c>
      <c r="N14" s="60" t="n">
        <f aca="false">Quesería!$B$41</f>
        <v>0.141</v>
      </c>
      <c r="O14" s="60" t="n">
        <f aca="false">Quesería!$B$41</f>
        <v>0.141</v>
      </c>
      <c r="P14" s="60" t="n">
        <f aca="false">Quesería!$B$41</f>
        <v>0.141</v>
      </c>
      <c r="Q14" s="60" t="n">
        <f aca="false">Quesería!$B$41</f>
        <v>0.141</v>
      </c>
      <c r="R14" s="61" t="n">
        <v>0.157</v>
      </c>
      <c r="S14" s="60" t="n">
        <f aca="false">Quesería!$B$41</f>
        <v>0.141</v>
      </c>
      <c r="T14" s="60" t="n">
        <f aca="false">Quesería!$B$41</f>
        <v>0.141</v>
      </c>
      <c r="U14" s="60" t="n">
        <f aca="false">Quesería!$B$41</f>
        <v>0.141</v>
      </c>
      <c r="V14" s="60" t="n">
        <f aca="false">Quesería!$B$41</f>
        <v>0.141</v>
      </c>
      <c r="W14" s="60" t="n">
        <f aca="false">Quesería!$B$41</f>
        <v>0.141</v>
      </c>
      <c r="X14" s="60" t="n">
        <f aca="false">Quesería!$B$41</f>
        <v>0.141</v>
      </c>
      <c r="Y14" s="60" t="n">
        <f aca="false">Quesería!$B$41</f>
        <v>0.141</v>
      </c>
    </row>
    <row r="15" customFormat="false" ht="15" hidden="false" customHeight="false" outlineLevel="0" collapsed="false">
      <c r="A15" s="6" t="s">
        <v>658</v>
      </c>
      <c r="B15" s="51" t="n">
        <f aca="false">Quesería!$B$6</f>
        <v>1</v>
      </c>
      <c r="C15" s="51" t="n">
        <f aca="false">Quesería!$B$6</f>
        <v>1</v>
      </c>
      <c r="D15" s="51" t="n">
        <f aca="false">Quesería!$B$6</f>
        <v>1</v>
      </c>
      <c r="E15" s="51" t="n">
        <f aca="false">Quesería!$B$6</f>
        <v>1</v>
      </c>
      <c r="F15" s="51" t="n">
        <f aca="false">Quesería!$B$6</f>
        <v>1</v>
      </c>
      <c r="G15" s="51" t="n">
        <f aca="false">Quesería!$B$6</f>
        <v>1</v>
      </c>
      <c r="H15" s="51" t="n">
        <f aca="false">Quesería!$B$6</f>
        <v>1</v>
      </c>
      <c r="I15" s="51" t="n">
        <f aca="false">Quesería!$B$6</f>
        <v>1</v>
      </c>
      <c r="J15" s="51" t="n">
        <f aca="false">Quesería!$B$6</f>
        <v>1</v>
      </c>
      <c r="K15" s="51" t="n">
        <f aca="false">Quesería!$B$6</f>
        <v>1</v>
      </c>
      <c r="L15" s="51" t="n">
        <f aca="false">Quesería!$B$6</f>
        <v>1</v>
      </c>
      <c r="M15" s="28" t="n">
        <v>2</v>
      </c>
      <c r="N15" s="28" t="n">
        <v>3</v>
      </c>
      <c r="O15" s="51" t="n">
        <f aca="false">Quesería!$B$6</f>
        <v>1</v>
      </c>
      <c r="P15" s="51" t="n">
        <f aca="false">Quesería!$B$6</f>
        <v>1</v>
      </c>
      <c r="Q15" s="51" t="n">
        <f aca="false">Quesería!$B$6</f>
        <v>1</v>
      </c>
      <c r="R15" s="51" t="n">
        <f aca="false">Quesería!$B$6</f>
        <v>1</v>
      </c>
      <c r="S15" s="51" t="n">
        <f aca="false">Quesería!$B$6</f>
        <v>1</v>
      </c>
      <c r="T15" s="51" t="n">
        <f aca="false">Quesería!$B$6</f>
        <v>1</v>
      </c>
      <c r="U15" s="51" t="n">
        <f aca="false">Quesería!$B$6</f>
        <v>1</v>
      </c>
      <c r="V15" s="51" t="n">
        <f aca="false">Quesería!$B$6</f>
        <v>1</v>
      </c>
      <c r="W15" s="51" t="n">
        <f aca="false">Quesería!$B$6</f>
        <v>1</v>
      </c>
      <c r="X15" s="51" t="n">
        <f aca="false">Quesería!$B$6</f>
        <v>1</v>
      </c>
      <c r="Y15" s="51" t="n">
        <f aca="false">Quesería!$B$6</f>
        <v>1</v>
      </c>
    </row>
    <row r="16" customFormat="false" ht="15" hidden="false" customHeight="false" outlineLevel="0" collapsed="false">
      <c r="A16" s="6" t="s">
        <v>659</v>
      </c>
      <c r="B16" s="60" t="n">
        <f aca="false">Entorno!$B$12</f>
        <v>0.085</v>
      </c>
      <c r="C16" s="60" t="n">
        <f aca="false">Entorno!$B$12</f>
        <v>0.085</v>
      </c>
      <c r="D16" s="60" t="n">
        <f aca="false">Entorno!$B$12</f>
        <v>0.085</v>
      </c>
      <c r="E16" s="60" t="n">
        <f aca="false">Entorno!$B$12</f>
        <v>0.085</v>
      </c>
      <c r="F16" s="60" t="n">
        <f aca="false">Entorno!$B$12</f>
        <v>0.085</v>
      </c>
      <c r="G16" s="60" t="n">
        <f aca="false">Entorno!$B$12</f>
        <v>0.085</v>
      </c>
      <c r="H16" s="60" t="n">
        <f aca="false">Entorno!$B$12</f>
        <v>0.085</v>
      </c>
      <c r="I16" s="60" t="n">
        <f aca="false">Entorno!$B$12</f>
        <v>0.085</v>
      </c>
      <c r="J16" s="60" t="n">
        <f aca="false">Entorno!$B$12</f>
        <v>0.085</v>
      </c>
      <c r="K16" s="60" t="n">
        <f aca="false">Entorno!$B$12</f>
        <v>0.085</v>
      </c>
      <c r="L16" s="60" t="n">
        <f aca="false">Entorno!$B$12</f>
        <v>0.085</v>
      </c>
      <c r="M16" s="60" t="n">
        <f aca="false">Entorno!$B$12</f>
        <v>0.085</v>
      </c>
      <c r="N16" s="60" t="n">
        <f aca="false">Entorno!$B$12</f>
        <v>0.085</v>
      </c>
      <c r="O16" s="61" t="n">
        <v>0.07</v>
      </c>
      <c r="P16" s="61" t="n">
        <v>0.1</v>
      </c>
      <c r="Q16" s="60" t="n">
        <f aca="false">Entorno!$B$12</f>
        <v>0.085</v>
      </c>
      <c r="R16" s="60" t="n">
        <f aca="false">Entorno!$B$12</f>
        <v>0.085</v>
      </c>
      <c r="S16" s="60" t="n">
        <f aca="false">Entorno!$B$12</f>
        <v>0.085</v>
      </c>
      <c r="T16" s="60" t="n">
        <f aca="false">Entorno!$B$12</f>
        <v>0.085</v>
      </c>
      <c r="U16" s="60" t="n">
        <f aca="false">Entorno!$B$12</f>
        <v>0.085</v>
      </c>
      <c r="V16" s="60" t="n">
        <f aca="false">Entorno!$B$12</f>
        <v>0.085</v>
      </c>
      <c r="W16" s="60" t="n">
        <f aca="false">Entorno!$B$12</f>
        <v>0.085</v>
      </c>
      <c r="X16" s="60" t="n">
        <f aca="false">Entorno!$B$12</f>
        <v>0.085</v>
      </c>
      <c r="Y16" s="60" t="n">
        <f aca="false">Entorno!$B$12</f>
        <v>0.085</v>
      </c>
    </row>
    <row r="17" customFormat="false" ht="15" hidden="false" customHeight="false" outlineLevel="0" collapsed="false">
      <c r="A17" s="6" t="s">
        <v>86</v>
      </c>
      <c r="B17" s="60" t="n">
        <f aca="false">Quesería!$B$10</f>
        <v>0.35</v>
      </c>
      <c r="C17" s="60" t="n">
        <f aca="false">Quesería!$B$10</f>
        <v>0.35</v>
      </c>
      <c r="D17" s="60" t="n">
        <f aca="false">Quesería!$B$10</f>
        <v>0.35</v>
      </c>
      <c r="E17" s="60" t="n">
        <f aca="false">Quesería!$B$10</f>
        <v>0.35</v>
      </c>
      <c r="F17" s="60" t="n">
        <f aca="false">Quesería!$B$10</f>
        <v>0.35</v>
      </c>
      <c r="G17" s="60" t="n">
        <f aca="false">Quesería!$B$10</f>
        <v>0.35</v>
      </c>
      <c r="H17" s="60" t="n">
        <f aca="false">Quesería!$B$10</f>
        <v>0.35</v>
      </c>
      <c r="I17" s="60" t="n">
        <f aca="false">Quesería!$B$10</f>
        <v>0.35</v>
      </c>
      <c r="J17" s="60" t="n">
        <f aca="false">Quesería!$B$10</f>
        <v>0.35</v>
      </c>
      <c r="K17" s="60" t="n">
        <f aca="false">Quesería!$B$10</f>
        <v>0.35</v>
      </c>
      <c r="L17" s="60" t="n">
        <f aca="false">Quesería!$B$10</f>
        <v>0.35</v>
      </c>
      <c r="M17" s="60" t="n">
        <f aca="false">Quesería!$B$10</f>
        <v>0.35</v>
      </c>
      <c r="N17" s="60" t="n">
        <f aca="false">Quesería!$B$10</f>
        <v>0.35</v>
      </c>
      <c r="O17" s="60" t="n">
        <f aca="false">Quesería!$B$10</f>
        <v>0.35</v>
      </c>
      <c r="P17" s="60" t="n">
        <f aca="false">Quesería!$B$10</f>
        <v>0.35</v>
      </c>
      <c r="Q17" s="61" t="n">
        <v>0.3</v>
      </c>
      <c r="R17" s="60" t="n">
        <f aca="false">Quesería!$B$10</f>
        <v>0.35</v>
      </c>
      <c r="S17" s="60" t="n">
        <f aca="false">Quesería!$B$10</f>
        <v>0.35</v>
      </c>
      <c r="T17" s="60" t="n">
        <f aca="false">Quesería!$B$10</f>
        <v>0.35</v>
      </c>
      <c r="U17" s="60" t="n">
        <f aca="false">Quesería!$B$10</f>
        <v>0.35</v>
      </c>
      <c r="V17" s="60" t="n">
        <f aca="false">Quesería!$B$10</f>
        <v>0.35</v>
      </c>
      <c r="W17" s="60" t="n">
        <f aca="false">Quesería!$B$10</f>
        <v>0.35</v>
      </c>
      <c r="X17" s="60" t="n">
        <f aca="false">Quesería!$B$10</f>
        <v>0.35</v>
      </c>
      <c r="Y17" s="60" t="n">
        <f aca="false">Quesería!$B$10</f>
        <v>0.35</v>
      </c>
    </row>
    <row r="18" customFormat="false" ht="15" hidden="false" customHeight="false" outlineLevel="0" collapsed="false">
      <c r="A18" s="6" t="s">
        <v>660</v>
      </c>
      <c r="B18" s="51" t="n">
        <v>1</v>
      </c>
      <c r="C18" s="51" t="n">
        <v>1</v>
      </c>
      <c r="D18" s="51" t="n">
        <v>1</v>
      </c>
      <c r="E18" s="51" t="n">
        <v>1</v>
      </c>
      <c r="F18" s="51" t="n">
        <v>1</v>
      </c>
      <c r="G18" s="51" t="n">
        <v>1</v>
      </c>
      <c r="H18" s="51" t="n">
        <v>1</v>
      </c>
      <c r="I18" s="51" t="n">
        <v>1</v>
      </c>
      <c r="J18" s="51" t="n">
        <v>1</v>
      </c>
      <c r="K18" s="51" t="n">
        <v>1</v>
      </c>
      <c r="L18" s="51" t="n">
        <v>1</v>
      </c>
      <c r="M18" s="51" t="n">
        <v>1</v>
      </c>
      <c r="N18" s="51" t="n">
        <v>1</v>
      </c>
      <c r="O18" s="51" t="n">
        <v>1</v>
      </c>
      <c r="P18" s="51" t="n">
        <v>1</v>
      </c>
      <c r="Q18" s="51" t="n">
        <v>1</v>
      </c>
      <c r="R18" s="51" t="n">
        <v>1</v>
      </c>
      <c r="S18" s="51" t="n">
        <v>1</v>
      </c>
      <c r="T18" s="51" t="n">
        <v>1</v>
      </c>
      <c r="U18" s="51" t="n">
        <v>1</v>
      </c>
      <c r="V18" s="51" t="n">
        <v>1</v>
      </c>
      <c r="W18" s="28" t="n">
        <v>0</v>
      </c>
      <c r="X18" s="51" t="n">
        <v>1</v>
      </c>
      <c r="Y18" s="51" t="n">
        <v>1</v>
      </c>
    </row>
    <row r="19" customFormat="false" ht="15" hidden="false" customHeight="false" outlineLevel="0" collapsed="false">
      <c r="A19" s="6" t="s">
        <v>661</v>
      </c>
      <c r="B19" s="51" t="n">
        <v>1</v>
      </c>
      <c r="C19" s="51" t="n">
        <v>1</v>
      </c>
      <c r="D19" s="51" t="n">
        <v>1</v>
      </c>
      <c r="E19" s="51" t="n">
        <v>1</v>
      </c>
      <c r="F19" s="51" t="n">
        <v>1</v>
      </c>
      <c r="G19" s="51" t="n">
        <v>1</v>
      </c>
      <c r="H19" s="51" t="n">
        <v>1</v>
      </c>
      <c r="I19" s="51" t="n">
        <v>1</v>
      </c>
      <c r="J19" s="51" t="n">
        <v>1</v>
      </c>
      <c r="K19" s="51" t="n">
        <v>1</v>
      </c>
      <c r="L19" s="51" t="n">
        <v>1</v>
      </c>
      <c r="M19" s="51" t="n">
        <v>1</v>
      </c>
      <c r="N19" s="51" t="n">
        <v>1</v>
      </c>
      <c r="O19" s="51" t="n">
        <v>1</v>
      </c>
      <c r="P19" s="51" t="n">
        <v>1</v>
      </c>
      <c r="Q19" s="51" t="n">
        <v>1</v>
      </c>
      <c r="R19" s="51" t="n">
        <v>1</v>
      </c>
      <c r="S19" s="51" t="n">
        <v>1</v>
      </c>
      <c r="T19" s="51" t="n">
        <v>1</v>
      </c>
      <c r="U19" s="51" t="n">
        <v>1</v>
      </c>
      <c r="V19" s="51" t="n">
        <v>1</v>
      </c>
      <c r="W19" s="28" t="n">
        <v>0</v>
      </c>
      <c r="X19" s="28" t="n">
        <v>0</v>
      </c>
      <c r="Y19" s="51" t="n">
        <v>1</v>
      </c>
    </row>
    <row r="20" customFormat="false" ht="15" hidden="false" customHeight="false" outlineLevel="0" collapsed="false">
      <c r="A20" s="6" t="s">
        <v>662</v>
      </c>
      <c r="B20" s="51" t="n">
        <f aca="false">Quesería!$B$49</f>
        <v>1</v>
      </c>
      <c r="C20" s="28" t="n">
        <v>0</v>
      </c>
      <c r="D20" s="28" t="n">
        <v>0</v>
      </c>
      <c r="E20" s="51" t="n">
        <f aca="false">Quesería!$B$49</f>
        <v>1</v>
      </c>
      <c r="F20" s="51" t="n">
        <f aca="false">Quesería!$B$49</f>
        <v>1</v>
      </c>
      <c r="G20" s="51" t="n">
        <f aca="false">Quesería!$B$49</f>
        <v>1</v>
      </c>
      <c r="H20" s="51" t="n">
        <f aca="false">Quesería!$B$49</f>
        <v>1</v>
      </c>
      <c r="I20" s="51" t="n">
        <f aca="false">Quesería!$B$49</f>
        <v>1</v>
      </c>
      <c r="J20" s="51" t="n">
        <f aca="false">Quesería!$B$49</f>
        <v>1</v>
      </c>
      <c r="K20" s="51" t="n">
        <f aca="false">Quesería!$B$49</f>
        <v>1</v>
      </c>
      <c r="L20" s="51" t="n">
        <f aca="false">Quesería!$B$49</f>
        <v>1</v>
      </c>
      <c r="M20" s="51" t="n">
        <f aca="false">Quesería!$B$49</f>
        <v>1</v>
      </c>
      <c r="N20" s="51" t="n">
        <f aca="false">Quesería!$B$49</f>
        <v>1</v>
      </c>
      <c r="O20" s="51" t="n">
        <f aca="false">Quesería!$B$49</f>
        <v>1</v>
      </c>
      <c r="P20" s="51" t="n">
        <f aca="false">Quesería!$B$49</f>
        <v>1</v>
      </c>
      <c r="Q20" s="51" t="n">
        <f aca="false">Quesería!$B$49</f>
        <v>1</v>
      </c>
      <c r="R20" s="51" t="n">
        <f aca="false">Quesería!$B$49</f>
        <v>1</v>
      </c>
      <c r="S20" s="51" t="n">
        <f aca="false">Quesería!$B$49</f>
        <v>1</v>
      </c>
      <c r="T20" s="28" t="n">
        <v>0</v>
      </c>
      <c r="U20" s="28" t="n">
        <v>0</v>
      </c>
      <c r="V20" s="51" t="n">
        <f aca="false">Quesería!$B$49</f>
        <v>1</v>
      </c>
      <c r="W20" s="28" t="n">
        <v>0</v>
      </c>
      <c r="X20" s="28" t="n">
        <v>0</v>
      </c>
      <c r="Y20" s="51" t="n">
        <f aca="false">Quesería!$B$49</f>
        <v>1</v>
      </c>
    </row>
    <row r="21" customFormat="false" ht="15" hidden="false" customHeight="false" outlineLevel="0" collapsed="false">
      <c r="A21" s="6" t="s">
        <v>663</v>
      </c>
      <c r="B21" s="51" t="n">
        <v>1</v>
      </c>
      <c r="C21" s="51" t="n">
        <v>1</v>
      </c>
      <c r="D21" s="28" t="n">
        <v>0</v>
      </c>
      <c r="E21" s="51" t="n">
        <v>1</v>
      </c>
      <c r="F21" s="51" t="n">
        <v>1</v>
      </c>
      <c r="G21" s="51" t="n">
        <v>1</v>
      </c>
      <c r="H21" s="51" t="n">
        <v>1</v>
      </c>
      <c r="I21" s="51" t="n">
        <v>1</v>
      </c>
      <c r="J21" s="51" t="n">
        <v>1</v>
      </c>
      <c r="K21" s="51" t="n">
        <v>1</v>
      </c>
      <c r="L21" s="51" t="n">
        <v>1</v>
      </c>
      <c r="M21" s="51" t="n">
        <v>1</v>
      </c>
      <c r="N21" s="51" t="n">
        <v>1</v>
      </c>
      <c r="O21" s="51" t="n">
        <v>1</v>
      </c>
      <c r="P21" s="51" t="n">
        <v>1</v>
      </c>
      <c r="Q21" s="51" t="n">
        <v>1</v>
      </c>
      <c r="R21" s="51" t="n">
        <v>1</v>
      </c>
      <c r="S21" s="51" t="n">
        <v>1</v>
      </c>
      <c r="T21" s="51" t="n">
        <v>1</v>
      </c>
      <c r="U21" s="51" t="n">
        <v>1</v>
      </c>
      <c r="V21" s="51" t="n">
        <v>1</v>
      </c>
      <c r="W21" s="51" t="n">
        <v>1</v>
      </c>
      <c r="X21" s="51" t="n">
        <v>1</v>
      </c>
      <c r="Y21" s="28" t="n">
        <v>0</v>
      </c>
    </row>
    <row r="22" customFormat="false" ht="15" hidden="false" customHeight="false" outlineLevel="0" collapsed="false">
      <c r="A22" s="6" t="s">
        <v>664</v>
      </c>
      <c r="B22" s="51" t="n">
        <v>0</v>
      </c>
      <c r="C22" s="28" t="n">
        <v>1</v>
      </c>
      <c r="D22" s="28" t="n">
        <v>1</v>
      </c>
      <c r="E22" s="51" t="n">
        <v>0</v>
      </c>
      <c r="F22" s="51" t="n">
        <v>0</v>
      </c>
      <c r="G22" s="51" t="n">
        <v>0</v>
      </c>
      <c r="H22" s="51" t="n">
        <v>0</v>
      </c>
      <c r="I22" s="51" t="n">
        <v>0</v>
      </c>
      <c r="J22" s="51" t="n">
        <v>0</v>
      </c>
      <c r="K22" s="51" t="n">
        <v>0</v>
      </c>
      <c r="L22" s="51" t="n">
        <v>0</v>
      </c>
      <c r="M22" s="51" t="n">
        <v>0</v>
      </c>
      <c r="N22" s="51" t="n">
        <v>0</v>
      </c>
      <c r="O22" s="51" t="n">
        <v>0</v>
      </c>
      <c r="P22" s="51" t="n">
        <v>0</v>
      </c>
      <c r="Q22" s="51" t="n">
        <v>0</v>
      </c>
      <c r="R22" s="51" t="n">
        <v>0</v>
      </c>
      <c r="S22" s="51" t="n">
        <v>0</v>
      </c>
      <c r="T22" s="51" t="n">
        <v>0</v>
      </c>
      <c r="U22" s="51" t="n">
        <v>0</v>
      </c>
      <c r="V22" s="51" t="n">
        <v>0</v>
      </c>
      <c r="W22" s="51" t="n">
        <v>0</v>
      </c>
      <c r="X22" s="51" t="n">
        <v>0</v>
      </c>
      <c r="Y22" s="51" t="n">
        <v>0</v>
      </c>
    </row>
    <row r="23" customFormat="false" ht="15" hidden="false" customHeight="false" outlineLevel="0" collapsed="false">
      <c r="A23" s="6" t="s">
        <v>665</v>
      </c>
      <c r="B23" s="51" t="n">
        <v>1</v>
      </c>
      <c r="C23" s="51" t="n">
        <v>1</v>
      </c>
      <c r="D23" s="51" t="n">
        <v>1</v>
      </c>
      <c r="E23" s="28" t="n">
        <v>0</v>
      </c>
      <c r="F23" s="51" t="n">
        <v>1</v>
      </c>
      <c r="G23" s="51" t="n">
        <v>1</v>
      </c>
      <c r="H23" s="51" t="n">
        <v>1</v>
      </c>
      <c r="I23" s="51" t="n">
        <v>1</v>
      </c>
      <c r="J23" s="51" t="n">
        <v>1</v>
      </c>
      <c r="K23" s="51" t="n">
        <v>1</v>
      </c>
      <c r="L23" s="51" t="n">
        <v>1</v>
      </c>
      <c r="M23" s="51" t="n">
        <v>1</v>
      </c>
      <c r="N23" s="51" t="n">
        <v>1</v>
      </c>
      <c r="O23" s="51" t="n">
        <v>1</v>
      </c>
      <c r="P23" s="51" t="n">
        <v>1</v>
      </c>
      <c r="Q23" s="51" t="n">
        <v>1</v>
      </c>
      <c r="R23" s="51" t="n">
        <v>1</v>
      </c>
      <c r="S23" s="51" t="n">
        <v>1</v>
      </c>
      <c r="T23" s="51" t="n">
        <v>1</v>
      </c>
      <c r="U23" s="51" t="n">
        <v>1</v>
      </c>
      <c r="V23" s="51" t="n">
        <v>1</v>
      </c>
      <c r="W23" s="51" t="n">
        <v>1</v>
      </c>
      <c r="X23" s="51" t="n">
        <v>1</v>
      </c>
      <c r="Y23" s="51" t="n">
        <v>1</v>
      </c>
    </row>
    <row r="24" customFormat="false" ht="15" hidden="false" customHeight="false" outlineLevel="0" collapsed="false">
      <c r="A24" s="6" t="s">
        <v>666</v>
      </c>
      <c r="B24" s="62" t="n">
        <f aca="false">CHOOSE(B$15,Entorno!$M$7,Entorno!$M$8,Entorno!$M$9)-CHOOSE(Quesería!$B$6,Entorno!$M$7,Entorno!$M$8,Entorno!$M$9)</f>
        <v>0</v>
      </c>
      <c r="C24" s="62" t="n">
        <f aca="false">CHOOSE(C$15,Entorno!$M$7,Entorno!$M$8,Entorno!$M$9)-CHOOSE(Quesería!$B$6,Entorno!$M$7,Entorno!$M$8,Entorno!$M$9)</f>
        <v>0</v>
      </c>
      <c r="D24" s="62" t="n">
        <f aca="false">CHOOSE(D$15,Entorno!$M$7,Entorno!$M$8,Entorno!$M$9)-CHOOSE(Quesería!$B$6,Entorno!$M$7,Entorno!$M$8,Entorno!$M$9)</f>
        <v>0</v>
      </c>
      <c r="E24" s="62" t="n">
        <f aca="false">CHOOSE(E$15,Entorno!$M$7,Entorno!$M$8,Entorno!$M$9)-CHOOSE(Quesería!$B$6,Entorno!$M$7,Entorno!$M$8,Entorno!$M$9)</f>
        <v>0</v>
      </c>
      <c r="F24" s="62" t="n">
        <f aca="false">CHOOSE(F$15,Entorno!$M$7,Entorno!$M$8,Entorno!$M$9)-CHOOSE(Quesería!$B$6,Entorno!$M$7,Entorno!$M$8,Entorno!$M$9)</f>
        <v>0</v>
      </c>
      <c r="G24" s="62" t="n">
        <f aca="false">CHOOSE(G$15,Entorno!$M$7,Entorno!$M$8,Entorno!$M$9)-CHOOSE(Quesería!$B$6,Entorno!$M$7,Entorno!$M$8,Entorno!$M$9)</f>
        <v>0</v>
      </c>
      <c r="H24" s="62" t="n">
        <f aca="false">CHOOSE(H$15,Entorno!$M$7,Entorno!$M$8,Entorno!$M$9)-CHOOSE(Quesería!$B$6,Entorno!$M$7,Entorno!$M$8,Entorno!$M$9)</f>
        <v>0</v>
      </c>
      <c r="I24" s="62" t="n">
        <f aca="false">CHOOSE(I$15,Entorno!$M$7,Entorno!$M$8,Entorno!$M$9)-CHOOSE(Quesería!$B$6,Entorno!$M$7,Entorno!$M$8,Entorno!$M$9)</f>
        <v>0</v>
      </c>
      <c r="J24" s="62" t="n">
        <f aca="false">CHOOSE(J$15,Entorno!$M$7,Entorno!$M$8,Entorno!$M$9)-CHOOSE(Quesería!$B$6,Entorno!$M$7,Entorno!$M$8,Entorno!$M$9)</f>
        <v>0</v>
      </c>
      <c r="K24" s="62" t="n">
        <f aca="false">CHOOSE(K$15,Entorno!$M$7,Entorno!$M$8,Entorno!$M$9)-CHOOSE(Quesería!$B$6,Entorno!$M$7,Entorno!$M$8,Entorno!$M$9)</f>
        <v>0</v>
      </c>
      <c r="L24" s="62" t="n">
        <f aca="false">CHOOSE(L$15,Entorno!$M$7,Entorno!$M$8,Entorno!$M$9)-CHOOSE(Quesería!$B$6,Entorno!$M$7,Entorno!$M$8,Entorno!$M$9)</f>
        <v>0</v>
      </c>
      <c r="M24" s="62" t="n">
        <f aca="false">CHOOSE(M$15,Entorno!$M$7,Entorno!$M$8,Entorno!$M$9)-CHOOSE(Quesería!$B$6,Entorno!$M$7,Entorno!$M$8,Entorno!$M$9)</f>
        <v>-0.0056452160663476</v>
      </c>
      <c r="N24" s="62" t="n">
        <f aca="false">CHOOSE(N$15,Entorno!$M$7,Entorno!$M$8,Entorno!$M$9)-CHOOSE(Quesería!$B$6,Entorno!$M$7,Entorno!$M$8,Entorno!$M$9)</f>
        <v>0.021836072393618</v>
      </c>
      <c r="O24" s="62" t="n">
        <f aca="false">CHOOSE(O$15,Entorno!$M$7,Entorno!$M$8,Entorno!$M$9)-CHOOSE(Quesería!$B$6,Entorno!$M$7,Entorno!$M$8,Entorno!$M$9)</f>
        <v>0</v>
      </c>
      <c r="P24" s="62" t="n">
        <f aca="false">CHOOSE(P$15,Entorno!$M$7,Entorno!$M$8,Entorno!$M$9)-CHOOSE(Quesería!$B$6,Entorno!$M$7,Entorno!$M$8,Entorno!$M$9)</f>
        <v>0</v>
      </c>
      <c r="Q24" s="62" t="n">
        <f aca="false">CHOOSE(Q$15,Entorno!$M$7,Entorno!$M$8,Entorno!$M$9)-CHOOSE(Quesería!$B$6,Entorno!$M$7,Entorno!$M$8,Entorno!$M$9)</f>
        <v>0</v>
      </c>
      <c r="R24" s="62" t="n">
        <f aca="false">CHOOSE(R$15,Entorno!$M$7,Entorno!$M$8,Entorno!$M$9)-CHOOSE(Quesería!$B$6,Entorno!$M$7,Entorno!$M$8,Entorno!$M$9)</f>
        <v>0</v>
      </c>
      <c r="S24" s="62" t="n">
        <f aca="false">CHOOSE(S$15,Entorno!$M$7,Entorno!$M$8,Entorno!$M$9)-CHOOSE(Quesería!$B$6,Entorno!$M$7,Entorno!$M$8,Entorno!$M$9)</f>
        <v>0</v>
      </c>
      <c r="T24" s="62" t="n">
        <f aca="false">CHOOSE(T$15,Entorno!$M$7,Entorno!$M$8,Entorno!$M$9)-CHOOSE(Quesería!$B$6,Entorno!$M$7,Entorno!$M$8,Entorno!$M$9)</f>
        <v>0</v>
      </c>
      <c r="U24" s="62" t="n">
        <f aca="false">CHOOSE(U$15,Entorno!$M$7,Entorno!$M$8,Entorno!$M$9)-CHOOSE(Quesería!$B$6,Entorno!$M$7,Entorno!$M$8,Entorno!$M$9)</f>
        <v>0</v>
      </c>
      <c r="V24" s="62" t="n">
        <f aca="false">CHOOSE(V$15,Entorno!$M$7,Entorno!$M$8,Entorno!$M$9)-CHOOSE(Quesería!$B$6,Entorno!$M$7,Entorno!$M$8,Entorno!$M$9)</f>
        <v>0</v>
      </c>
      <c r="W24" s="62" t="n">
        <f aca="false">CHOOSE(W$15,Entorno!$M$7,Entorno!$M$8,Entorno!$M$9)-CHOOSE(Quesería!$B$6,Entorno!$M$7,Entorno!$M$8,Entorno!$M$9)</f>
        <v>0</v>
      </c>
      <c r="X24" s="62" t="n">
        <f aca="false">CHOOSE(X$15,Entorno!$M$7,Entorno!$M$8,Entorno!$M$9)-CHOOSE(Quesería!$B$6,Entorno!$M$7,Entorno!$M$8,Entorno!$M$9)</f>
        <v>0</v>
      </c>
      <c r="Y24" s="62" t="n">
        <f aca="false">CHOOSE(Y$15,Entorno!$M$7,Entorno!$M$8,Entorno!$M$9)-CHOOSE(Quesería!$B$6,Entorno!$M$7,Entorno!$M$8,Entorno!$M$9)</f>
        <v>0</v>
      </c>
    </row>
    <row r="25" customFormat="false" ht="15" hidden="false" customHeight="false" outlineLevel="0" collapsed="false">
      <c r="A25" s="5" t="s">
        <v>12</v>
      </c>
      <c r="B25" s="63" t="n">
        <f aca="false">IF(B$18=1,Quesería!$B$40*(B$14+B$24+B$13*Quesería!$B$44*1.19)*(1-B$17)+(1-Quesería!$B$40)*(Quesería!$B$46+B$24),Quesería!$B$7+B$24)</f>
        <v>0.139155</v>
      </c>
      <c r="C25" s="63" t="n">
        <f aca="false">IF(C$18=1,Quesería!$B$40*(C$14+C$24+C$13*Quesería!$B$44*1.19)*(1-C$17)+(1-Quesería!$B$40)*(Quesería!$B$46+C$24),Quesería!$B$7+C$24)</f>
        <v>0.149929855</v>
      </c>
      <c r="D25" s="63" t="n">
        <f aca="false">IF(D$18=1,Quesería!$B$40*(D$14+D$24+D$13*Quesería!$B$44*1.19)*(1-D$17)+(1-Quesería!$B$40)*(Quesería!$B$46+D$24),Quesería!$B$7+D$24)</f>
        <v>0.149929855</v>
      </c>
      <c r="E25" s="63" t="n">
        <f aca="false">IF(E$18=1,Quesería!$B$40*(E$14+E$24+E$13*Quesería!$B$44*1.19)*(1-E$17)+(1-Quesería!$B$40)*(Quesería!$B$46+E$24),Quesería!$B$7+E$24)</f>
        <v>0.139155</v>
      </c>
      <c r="F25" s="63" t="n">
        <f aca="false">IF(F$18=1,Quesería!$B$40*(F$14+F$24+F$13*Quesería!$B$44*1.19)*(1-F$17)+(1-Quesería!$B$40)*(Quesería!$B$46+F$24),Quesería!$B$7+F$24)</f>
        <v>0.139155</v>
      </c>
      <c r="G25" s="63" t="n">
        <f aca="false">IF(G$18=1,Quesería!$B$40*(G$14+G$24+G$13*Quesería!$B$44*1.19)*(1-G$17)+(1-Quesería!$B$40)*(Quesería!$B$46+G$24),Quesería!$B$7+G$24)</f>
        <v>0.139155</v>
      </c>
      <c r="H25" s="63" t="n">
        <f aca="false">IF(H$18=1,Quesería!$B$40*(H$14+H$24+H$13*Quesería!$B$44*1.19)*(1-H$17)+(1-Quesería!$B$40)*(Quesería!$B$46+H$24),Quesería!$B$7+H$24)</f>
        <v>0.139155</v>
      </c>
      <c r="I25" s="63" t="n">
        <f aca="false">IF(I$18=1,Quesería!$B$40*(I$14+I$24+I$13*Quesería!$B$44*1.19)*(1-I$17)+(1-Quesería!$B$40)*(Quesería!$B$46+I$24),Quesería!$B$7+I$24)</f>
        <v>0.139155</v>
      </c>
      <c r="J25" s="63" t="n">
        <f aca="false">IF(J$18=1,Quesería!$B$40*(J$14+J$24+J$13*Quesería!$B$44*1.19)*(1-J$17)+(1-Quesería!$B$40)*(Quesería!$B$46+J$24),Quesería!$B$7+J$24)</f>
        <v>0.139155</v>
      </c>
      <c r="K25" s="63" t="n">
        <f aca="false">IF(K$18=1,Quesería!$B$40*(K$14+K$24+K$13*Quesería!$B$44*1.19)*(1-K$17)+(1-Quesería!$B$40)*(Quesería!$B$46+K$24),Quesería!$B$7+K$24)</f>
        <v>0.139155</v>
      </c>
      <c r="L25" s="63" t="n">
        <f aca="false">IF(L$18=1,Quesería!$B$40*(L$14+L$24+L$13*Quesería!$B$44*1.19)*(1-L$17)+(1-Quesería!$B$40)*(Quesería!$B$46+L$24),Quesería!$B$7+L$24)</f>
        <v>0.139155</v>
      </c>
      <c r="M25" s="63" t="n">
        <f aca="false">IF(M$18=1,Quesería!$B$40*(M$14+M$24+M$13*Quesería!$B$44*1.19)*(1-M$17)+(1-Quesería!$B$40)*(Quesería!$B$46+M$24),Quesería!$B$7+M$24)</f>
        <v>0.134892861869908</v>
      </c>
      <c r="N25" s="63" t="n">
        <f aca="false">IF(N$18=1,Quesería!$B$40*(N$14+N$24+N$13*Quesería!$B$44*1.19)*(1-N$17)+(1-Quesería!$B$40)*(Quesería!$B$46+N$24),Quesería!$B$7+N$24)</f>
        <v>0.155641234657182</v>
      </c>
      <c r="O25" s="63" t="n">
        <f aca="false">IF(O$18=1,Quesería!$B$40*(O$14+O$24+O$13*Quesería!$B$44*1.19)*(1-O$17)+(1-Quesería!$B$40)*(Quesería!$B$46+O$24),Quesería!$B$7+O$24)</f>
        <v>0.139155</v>
      </c>
      <c r="P25" s="63" t="n">
        <f aca="false">IF(P$18=1,Quesería!$B$40*(P$14+P$24+P$13*Quesería!$B$44*1.19)*(1-P$17)+(1-Quesería!$B$40)*(Quesería!$B$46+P$24),Quesería!$B$7+P$24)</f>
        <v>0.139155</v>
      </c>
      <c r="Q25" s="63" t="n">
        <f aca="false">IF(Q$18=1,Quesería!$B$40*(Q$14+Q$24+Q$13*Quesería!$B$44*1.19)*(1-Q$17)+(1-Quesería!$B$40)*(Quesería!$B$46+Q$24),Quesería!$B$7+Q$24)</f>
        <v>0.14409</v>
      </c>
      <c r="R25" s="63" t="n">
        <f aca="false">IF(R$18=1,Quesería!$B$40*(R$14+R$24+R$13*Quesería!$B$44*1.19)*(1-R$17)+(1-Quesería!$B$40)*(Quesería!$B$46+R$24),Quesería!$B$7+R$24)</f>
        <v>0.146435</v>
      </c>
      <c r="S25" s="63" t="n">
        <f aca="false">IF(S$18=1,Quesería!$B$40*(S$14+S$24+S$13*Quesería!$B$44*1.19)*(1-S$17)+(1-Quesería!$B$40)*(Quesería!$B$46+S$24),Quesería!$B$7+S$24)</f>
        <v>0.149929855</v>
      </c>
      <c r="T25" s="63" t="n">
        <f aca="false">IF(T$18=1,Quesería!$B$40*(T$14+T$24+T$13*Quesería!$B$44*1.19)*(1-T$17)+(1-Quesería!$B$40)*(Quesería!$B$46+T$24),Quesería!$B$7+T$24)</f>
        <v>0.139155</v>
      </c>
      <c r="U25" s="63" t="n">
        <f aca="false">IF(U$18=1,Quesería!$B$40*(U$14+U$24+U$13*Quesería!$B$44*1.19)*(1-U$17)+(1-Quesería!$B$40)*(Quesería!$B$46+U$24),Quesería!$B$7+U$24)</f>
        <v>0.149929855</v>
      </c>
      <c r="V25" s="63" t="n">
        <f aca="false">IF(V$18=1,Quesería!$B$40*(V$14+V$24+V$13*Quesería!$B$44*1.19)*(1-V$17)+(1-Quesería!$B$40)*(Quesería!$B$46+V$24),Quesería!$B$7+V$24)</f>
        <v>0.139155</v>
      </c>
      <c r="W25" s="63" t="n">
        <f aca="false">IF(W$18=1,Quesería!$B$40*(W$14+W$24+W$13*Quesería!$B$44*1.19)*(1-W$17)+(1-Quesería!$B$40)*(Quesería!$B$46+W$24),Quesería!$B$7+W$24)</f>
        <v>0.16</v>
      </c>
      <c r="X25" s="63" t="n">
        <f aca="false">IF(X$18=1,Quesería!$B$40*(X$14+X$24+X$13*Quesería!$B$44*1.19)*(1-X$17)+(1-Quesería!$B$40)*(Quesería!$B$46+X$24),Quesería!$B$7+X$24)</f>
        <v>0.149929855</v>
      </c>
      <c r="Y25" s="63" t="n">
        <f aca="false">IF(Y$18=1,Quesería!$B$40*(Y$14+Y$24+Y$13*Quesería!$B$44*1.19)*(1-Y$17)+(1-Quesería!$B$40)*(Quesería!$B$46+Y$24),Quesería!$B$7+Y$24)</f>
        <v>0.139155</v>
      </c>
    </row>
    <row r="26" customFormat="false" ht="15" hidden="false" customHeight="false" outlineLevel="0" collapsed="false">
      <c r="A26" s="9" t="s">
        <v>667</v>
      </c>
    </row>
    <row r="28" customFormat="false" ht="15" hidden="false" customHeight="false" outlineLevel="0" collapsed="false">
      <c r="A28" s="3" t="s">
        <v>668</v>
      </c>
      <c r="B28" s="4"/>
      <c r="C28" s="4"/>
      <c r="D28" s="4"/>
      <c r="E28" s="4"/>
      <c r="F28" s="4"/>
      <c r="G28" s="4"/>
      <c r="H28" s="4"/>
      <c r="I28" s="4"/>
      <c r="J28" s="4"/>
      <c r="K28" s="4"/>
      <c r="L28" s="4"/>
      <c r="M28" s="4"/>
      <c r="N28" s="4"/>
      <c r="O28" s="4"/>
      <c r="P28" s="4"/>
      <c r="Q28" s="4"/>
      <c r="R28" s="4"/>
      <c r="S28" s="4"/>
      <c r="T28" s="4"/>
      <c r="U28" s="4"/>
      <c r="V28" s="4"/>
      <c r="W28" s="4"/>
      <c r="X28" s="4"/>
      <c r="Y28" s="4"/>
    </row>
    <row r="29" customFormat="false" ht="42" hidden="false" customHeight="true" outlineLevel="0" collapsed="false">
      <c r="A29" s="17"/>
      <c r="B29" s="18" t="s">
        <v>626</v>
      </c>
      <c r="C29" s="18" t="s">
        <v>627</v>
      </c>
      <c r="D29" s="18" t="s">
        <v>628</v>
      </c>
      <c r="E29" s="18" t="s">
        <v>629</v>
      </c>
      <c r="F29" s="18" t="s">
        <v>630</v>
      </c>
      <c r="G29" s="18" t="s">
        <v>631</v>
      </c>
      <c r="H29" s="18" t="s">
        <v>632</v>
      </c>
      <c r="I29" s="18" t="s">
        <v>633</v>
      </c>
      <c r="J29" s="18" t="s">
        <v>634</v>
      </c>
      <c r="K29" s="18" t="s">
        <v>635</v>
      </c>
      <c r="L29" s="18" t="s">
        <v>636</v>
      </c>
      <c r="M29" s="18" t="s">
        <v>637</v>
      </c>
      <c r="N29" s="18" t="s">
        <v>638</v>
      </c>
      <c r="O29" s="18" t="s">
        <v>639</v>
      </c>
      <c r="P29" s="18" t="s">
        <v>640</v>
      </c>
      <c r="Q29" s="18" t="s">
        <v>641</v>
      </c>
      <c r="R29" s="18" t="s">
        <v>642</v>
      </c>
      <c r="S29" s="18" t="s">
        <v>643</v>
      </c>
      <c r="T29" s="18" t="s">
        <v>644</v>
      </c>
      <c r="U29" s="18" t="s">
        <v>645</v>
      </c>
      <c r="V29" s="18" t="s">
        <v>646</v>
      </c>
      <c r="W29" s="18" t="s">
        <v>647</v>
      </c>
      <c r="X29" s="18" t="s">
        <v>648</v>
      </c>
      <c r="Y29" s="18" t="s">
        <v>649</v>
      </c>
    </row>
    <row r="30" customFormat="false" ht="15" hidden="false" customHeight="false" outlineLevel="0" collapsed="false">
      <c r="A30" s="6" t="s">
        <v>12</v>
      </c>
      <c r="B30" s="22" t="n">
        <f aca="false">$B$25</f>
        <v>0.139155</v>
      </c>
      <c r="C30" s="22" t="n">
        <f aca="false">$C$25</f>
        <v>0.149929855</v>
      </c>
      <c r="D30" s="22" t="n">
        <f aca="false">$D$25</f>
        <v>0.149929855</v>
      </c>
      <c r="E30" s="22" t="n">
        <f aca="false">$E$25</f>
        <v>0.139155</v>
      </c>
      <c r="F30" s="22" t="n">
        <f aca="false">$F$25</f>
        <v>0.139155</v>
      </c>
      <c r="G30" s="22" t="n">
        <f aca="false">$G$25</f>
        <v>0.139155</v>
      </c>
      <c r="H30" s="22" t="n">
        <f aca="false">$H$25</f>
        <v>0.139155</v>
      </c>
      <c r="I30" s="22" t="n">
        <f aca="false">$I$25</f>
        <v>0.139155</v>
      </c>
      <c r="J30" s="22" t="n">
        <f aca="false">$J$25</f>
        <v>0.139155</v>
      </c>
      <c r="K30" s="22" t="n">
        <f aca="false">$K$25</f>
        <v>0.139155</v>
      </c>
      <c r="L30" s="22" t="n">
        <f aca="false">$L$25</f>
        <v>0.139155</v>
      </c>
      <c r="M30" s="22" t="n">
        <f aca="false">$M$25</f>
        <v>0.134892861869908</v>
      </c>
      <c r="N30" s="22" t="n">
        <f aca="false">$N$25</f>
        <v>0.155641234657182</v>
      </c>
      <c r="O30" s="22" t="n">
        <f aca="false">$O$25</f>
        <v>0.139155</v>
      </c>
      <c r="P30" s="22" t="n">
        <f aca="false">$P$25</f>
        <v>0.139155</v>
      </c>
      <c r="Q30" s="22" t="n">
        <f aca="false">$Q$25</f>
        <v>0.14409</v>
      </c>
      <c r="R30" s="22" t="n">
        <f aca="false">$R$25</f>
        <v>0.146435</v>
      </c>
      <c r="S30" s="22" t="n">
        <f aca="false">$S$25</f>
        <v>0.149929855</v>
      </c>
      <c r="T30" s="22" t="n">
        <f aca="false">$T$25</f>
        <v>0.139155</v>
      </c>
      <c r="U30" s="22" t="n">
        <f aca="false">$U$25</f>
        <v>0.149929855</v>
      </c>
      <c r="V30" s="22" t="n">
        <f aca="false">$V$25</f>
        <v>0.139155</v>
      </c>
      <c r="W30" s="22" t="n">
        <f aca="false">$W$25</f>
        <v>0.16</v>
      </c>
      <c r="X30" s="22" t="n">
        <f aca="false">$X$25</f>
        <v>0.149929855</v>
      </c>
      <c r="Y30" s="22" t="n">
        <f aca="false">$Y$25</f>
        <v>0.139155</v>
      </c>
    </row>
    <row r="31" customFormat="false" ht="15" hidden="false" customHeight="false" outlineLevel="0" collapsed="false">
      <c r="A31" s="5" t="s">
        <v>669</v>
      </c>
      <c r="B31" s="39" t="n">
        <f aca="false">IRR(B68:L68)</f>
        <v>0.214213873656107</v>
      </c>
      <c r="C31" s="8" t="n">
        <f aca="false">IRR(B111:L111)</f>
        <v>0.0629526815277698</v>
      </c>
      <c r="D31" s="8" t="n">
        <f aca="false">IRR(B154:L154)</f>
        <v>0.0579372076211447</v>
      </c>
      <c r="E31" s="8" t="n">
        <f aca="false">IRR(B197:L197)</f>
        <v>0.206691499890135</v>
      </c>
      <c r="F31" s="8" t="n">
        <f aca="false">IRR(B240:L240)</f>
        <v>0.160399179627475</v>
      </c>
      <c r="G31" s="8" t="n">
        <f aca="false">IRR(B283:L283)</f>
        <v>0.15125665174529</v>
      </c>
      <c r="H31" s="8" t="n">
        <f aca="false">IRR(B326:L326)</f>
        <v>0.271732088488184</v>
      </c>
      <c r="I31" s="8" t="n">
        <f aca="false">IRR(B369:L369)</f>
        <v>0.170590223210639</v>
      </c>
      <c r="J31" s="8" t="n">
        <f aca="false">IRR(B412:L412)</f>
        <v>0.274676064486256</v>
      </c>
      <c r="K31" s="8" t="n">
        <f aca="false">IRR(B455:L455)</f>
        <v>0.194685702545118</v>
      </c>
      <c r="L31" s="8" t="n">
        <f aca="false">IRR(B498:L498)</f>
        <v>0.233177774308431</v>
      </c>
      <c r="M31" s="8" t="n">
        <f aca="false">IRR(B541:L541)</f>
        <v>0.208427765524781</v>
      </c>
      <c r="N31" s="8" t="n">
        <f aca="false">IRR(B584:L584)</f>
        <v>0.235251233871516</v>
      </c>
      <c r="O31" s="8" t="n">
        <f aca="false">IRR(B627:L627)</f>
        <v>0.213305472209483</v>
      </c>
      <c r="P31" s="8" t="n">
        <f aca="false">IRR(B670:L670)</f>
        <v>0.215120515960921</v>
      </c>
      <c r="Q31" s="8" t="n">
        <f aca="false">IRR(B713:L713)</f>
        <v>0.2250889020618</v>
      </c>
      <c r="R31" s="8" t="n">
        <f aca="false">IRR(B756:L756)</f>
        <v>0.214213873656107</v>
      </c>
      <c r="S31" s="8" t="n">
        <f aca="false">IRR(B799:L799)</f>
        <v>0.214213873656107</v>
      </c>
      <c r="T31" s="8" t="n">
        <f aca="false">IRR(B842:L842)</f>
        <v>0.179268045803668</v>
      </c>
      <c r="U31" s="8" t="n">
        <f aca="false">IRR(B885:L885)</f>
        <v>0.179268045803668</v>
      </c>
      <c r="V31" s="8" t="n">
        <f aca="false">IRR(B928:L928)</f>
        <v>0.0930027300885147</v>
      </c>
      <c r="W31" s="8" t="n">
        <f aca="false">IRR(B971:L971)</f>
        <v>0.174270087015974</v>
      </c>
      <c r="X31" s="8" t="n">
        <f aca="false">IRR(B1014:L1014)</f>
        <v>0.174270087015974</v>
      </c>
      <c r="Y31" s="8" t="n">
        <f aca="false">IRR(B1057:L1057)</f>
        <v>0.240102844004581</v>
      </c>
    </row>
    <row r="32" customFormat="false" ht="15" hidden="false" customHeight="false" outlineLevel="0" collapsed="false">
      <c r="A32" s="6" t="s">
        <v>16</v>
      </c>
      <c r="B32" s="22" t="n">
        <f aca="false">IRR(B67:L67)</f>
        <v>0.164670456073589</v>
      </c>
      <c r="C32" s="22" t="n">
        <f aca="false">IRR(B110:L110)</f>
        <v>0.0201285294274221</v>
      </c>
      <c r="D32" s="22" t="n">
        <f aca="false">IRR(B153:L153)</f>
        <v>0.0144774449986208</v>
      </c>
      <c r="E32" s="22" t="n">
        <f aca="false">IRR(B196:L196)</f>
        <v>0.157469071711288</v>
      </c>
      <c r="F32" s="22" t="n">
        <f aca="false">IRR(B239:L239)</f>
        <v>0.113228785191667</v>
      </c>
      <c r="G32" s="22" t="n">
        <f aca="false">IRR(B282:L282)</f>
        <v>0.104488453997283</v>
      </c>
      <c r="H32" s="22" t="n">
        <f aca="false">IRR(B325:L325)</f>
        <v>0.219630926012066</v>
      </c>
      <c r="I32" s="22" t="n">
        <f aca="false">IRR(B368:L368)</f>
        <v>0.122969030418862</v>
      </c>
      <c r="J32" s="22" t="n">
        <f aca="false">IRR(B411:L411)</f>
        <v>0.222449453387623</v>
      </c>
      <c r="K32" s="22" t="n">
        <f aca="false">IRR(B454:L454)</f>
        <v>0.146009960066418</v>
      </c>
      <c r="L32" s="22" t="n">
        <f aca="false">IRR(B497:L497)</f>
        <v>0.182789151464217</v>
      </c>
      <c r="M32" s="22" t="n">
        <f aca="false">IRR(B540:L540)</f>
        <v>0.166163251624762</v>
      </c>
      <c r="N32" s="22" t="n">
        <f aca="false">IRR(B583:L583)</f>
        <v>0.159860313494393</v>
      </c>
      <c r="O32" s="22" t="n">
        <f aca="false">IRR(B626:L626)</f>
        <v>0.163802102581938</v>
      </c>
      <c r="P32" s="22" t="n">
        <f aca="false">IRR(B669:L669)</f>
        <v>0.165537123903945</v>
      </c>
      <c r="Q32" s="22" t="n">
        <f aca="false">IRR(B712:L712)</f>
        <v>0.175069594522279</v>
      </c>
      <c r="R32" s="22" t="n">
        <f aca="false">IRR(B755:L755)</f>
        <v>0.164670456073589</v>
      </c>
      <c r="S32" s="22" t="n">
        <f aca="false">IRR(B798:L798)</f>
        <v>0.164670456073589</v>
      </c>
      <c r="T32" s="22" t="n">
        <f aca="false">IRR(B841:L841)</f>
        <v>0.131420316934802</v>
      </c>
      <c r="U32" s="22" t="n">
        <f aca="false">IRR(B884:L884)</f>
        <v>0.131420316934802</v>
      </c>
      <c r="V32" s="22" t="n">
        <f aca="false">IRR(B927:L927)</f>
        <v>0.048778661452043</v>
      </c>
      <c r="W32" s="22" t="n">
        <f aca="false">IRR(B970:L970)</f>
        <v>0.126628182923709</v>
      </c>
      <c r="X32" s="22" t="n">
        <f aca="false">IRR(B1013:L1013)</f>
        <v>0.126628182923709</v>
      </c>
      <c r="Y32" s="22" t="n">
        <f aca="false">IRR(B1056:L1056)</f>
        <v>0.187835879852281</v>
      </c>
    </row>
    <row r="33" customFormat="false" ht="15" hidden="false" customHeight="false" outlineLevel="0" collapsed="false">
      <c r="A33" s="5" t="s">
        <v>670</v>
      </c>
      <c r="B33" s="10" t="n">
        <f aca="false">SUMPRODUCT(B67:L67,B71:L71)</f>
        <v>367.419841109654</v>
      </c>
      <c r="C33" s="10" t="n">
        <f aca="false">SUMPRODUCT(B110:L110,B114:L114)</f>
        <v>-396.60213383892</v>
      </c>
      <c r="D33" s="10" t="n">
        <f aca="false">SUMPRODUCT(B153:L153,B157:L157)</f>
        <v>-209.228176750512</v>
      </c>
      <c r="E33" s="10" t="n">
        <f aca="false">SUMPRODUCT(B196:L196,B200:L200)</f>
        <v>338.061991138257</v>
      </c>
      <c r="F33" s="10" t="n">
        <f aca="false">SUMPRODUCT(B239:L239,B243:L243)</f>
        <v>97.9362351257031</v>
      </c>
      <c r="G33" s="10" t="n">
        <f aca="false">SUMPRODUCT(B282:L282,B286:L286)</f>
        <v>55.9479494453091</v>
      </c>
      <c r="H33" s="10" t="n">
        <f aca="false">SUMPRODUCT(B325:L325,B329:L329)</f>
        <v>678.891732773998</v>
      </c>
      <c r="I33" s="10" t="n">
        <f aca="false">SUMPRODUCT(B368:L368,B372:L372)</f>
        <v>177.394266779149</v>
      </c>
      <c r="J33" s="10" t="n">
        <f aca="false">SUMPRODUCT(B411:L411,B415:L415)</f>
        <v>557.445415440158</v>
      </c>
      <c r="K33" s="10" t="n">
        <f aca="false">SUMPRODUCT(B454:L454,B458:L458)</f>
        <v>267.235812768588</v>
      </c>
      <c r="L33" s="10" t="n">
        <f aca="false">SUMPRODUCT(B497:L497,B501:L501)</f>
        <v>467.60386945072</v>
      </c>
      <c r="M33" s="10" t="n">
        <f aca="false">SUMPRODUCT(B540:L540,B544:L544)</f>
        <v>359.364818861828</v>
      </c>
      <c r="N33" s="10" t="n">
        <f aca="false">SUMPRODUCT(B583:L583,B587:L587)</f>
        <v>391.671160413346</v>
      </c>
      <c r="O33" s="10" t="n">
        <f aca="false">SUMPRODUCT(B626:L626,B630:L630)</f>
        <v>362.588569542721</v>
      </c>
      <c r="P33" s="10" t="n">
        <f aca="false">SUMPRODUCT(B669:L669,B673:L673)</f>
        <v>372.251112676587</v>
      </c>
      <c r="Q33" s="10" t="n">
        <f aca="false">SUMPRODUCT(B712:L712,B716:L716)</f>
        <v>396.092834823858</v>
      </c>
      <c r="R33" s="10" t="n">
        <f aca="false">SUMPRODUCT(B755:L755,B759:L759)</f>
        <v>323.125915493794</v>
      </c>
      <c r="S33" s="10" t="n">
        <f aca="false">SUMPRODUCT(B798:L798,B802:L802)</f>
        <v>302.642257051943</v>
      </c>
      <c r="T33" s="10" t="n">
        <f aca="false">SUMPRODUCT(B841:L841,B845:L845)</f>
        <v>213.600672204455</v>
      </c>
      <c r="U33" s="10" t="n">
        <f aca="false">SUMPRODUCT(B884:L884,B888:L888)</f>
        <v>150.264375399152</v>
      </c>
      <c r="V33" s="10" t="n">
        <f aca="false">SUMPRODUCT(B927:L927,B931:L931)</f>
        <v>-240.578764495635</v>
      </c>
      <c r="W33" s="10" t="n">
        <f aca="false">SUMPRODUCT(B970:L970,B974:L974)</f>
        <v>72.6658822921514</v>
      </c>
      <c r="X33" s="10" t="n">
        <f aca="false">SUMPRODUCT(B1013:L1013,B1017:L1017)</f>
        <v>128.424043592762</v>
      </c>
      <c r="Y33" s="10" t="n">
        <f aca="false">SUMPRODUCT(B1056:L1056,B1060:L1060)</f>
        <v>230.729140457608</v>
      </c>
    </row>
    <row r="34" customFormat="false" ht="15" hidden="false" customHeight="false" outlineLevel="0" collapsed="false">
      <c r="A34" s="6" t="s">
        <v>671</v>
      </c>
      <c r="B34" s="42" t="n">
        <f aca="false">SUM(B70:L70)</f>
        <v>5.10862462706641</v>
      </c>
      <c r="C34" s="42" t="n">
        <f aca="false">SUM(B113:L113)</f>
        <v>9.14443747870668</v>
      </c>
      <c r="D34" s="42" t="n">
        <f aca="false">SUM(B156:L156)</f>
        <v>9.34543429886414</v>
      </c>
      <c r="E34" s="42" t="n">
        <f aca="false">SUM(B199:L199)</f>
        <v>5.2500686125827</v>
      </c>
      <c r="F34" s="42" t="n">
        <f aca="false">SUM(B242:L242)</f>
        <v>6.2962931397813</v>
      </c>
      <c r="G34" s="42" t="n">
        <f aca="false">SUM(B285:L285)</f>
        <v>6.49971481884169</v>
      </c>
      <c r="H34" s="42" t="n">
        <f aca="false">SUM(B328:L328)</f>
        <v>4.23172420784812</v>
      </c>
      <c r="I34" s="42" t="n">
        <f aca="false">SUM(B371:L371)</f>
        <v>6.06950333481887</v>
      </c>
      <c r="J34" s="42" t="n">
        <f aca="false">SUM(B414:L414)</f>
        <v>4.19815792226718</v>
      </c>
      <c r="K34" s="42" t="n">
        <f aca="false">SUM(B457:L457)</f>
        <v>5.51019435648433</v>
      </c>
      <c r="L34" s="42" t="n">
        <f aca="false">SUM(B500:L500)</f>
        <v>4.77738016842069</v>
      </c>
      <c r="M34" s="42" t="n">
        <f aca="false">SUM(B543:L543)</f>
        <v>5.08123194217687</v>
      </c>
      <c r="N34" s="42" t="n">
        <f aca="false">SUM(B586:L586)</f>
        <v>5.19567360144388</v>
      </c>
      <c r="O34" s="42" t="n">
        <f aca="false">SUM(B629:L629)</f>
        <v>5.12591095796424</v>
      </c>
      <c r="P34" s="42" t="n">
        <f aca="false">SUM(B672:L672)</f>
        <v>5.09148748866779</v>
      </c>
      <c r="Q34" s="42" t="n">
        <f aca="false">SUM(B715:L715)</f>
        <v>4.92288411426637</v>
      </c>
      <c r="R34" s="42" t="n">
        <f aca="false">SUM(B758:L758)</f>
        <v>5.10862462706641</v>
      </c>
      <c r="S34" s="42" t="n">
        <f aca="false">SUM(B801:L801)</f>
        <v>5.10862462706641</v>
      </c>
      <c r="T34" s="42" t="n">
        <f aca="false">SUM(B844:L844)</f>
        <v>5.90755125980895</v>
      </c>
      <c r="U34" s="42" t="n">
        <f aca="false">SUM(B887:L887)</f>
        <v>5.90755125980895</v>
      </c>
      <c r="V34" s="42" t="n">
        <f aca="false">SUM(B930:L930)</f>
        <v>8.22780539123253</v>
      </c>
      <c r="W34" s="42" t="n">
        <f aca="false">SUM(B973:L973)</f>
        <v>6.02774295816573</v>
      </c>
      <c r="X34" s="42" t="n">
        <f aca="false">SUM(B1016:L1016)</f>
        <v>6.02774295816573</v>
      </c>
      <c r="Y34" s="42" t="n">
        <f aca="false">SUM(B1059:L1059)</f>
        <v>3.83965937479972</v>
      </c>
    </row>
    <row r="35" customFormat="false" ht="15" hidden="false" customHeight="false" outlineLevel="0" collapsed="false">
      <c r="A35" s="6" t="s">
        <v>24</v>
      </c>
      <c r="B35" s="42" t="n">
        <f aca="false">IF(SUM(B74:L74)=0,"Más de 10",SUM(B74:L74))</f>
        <v>6.94188018230099</v>
      </c>
      <c r="C35" s="42" t="str">
        <f aca="false">IF(SUM(B117:L117)=0,"Más de 10",SUM(B117:L117))</f>
        <v>Más de 10</v>
      </c>
      <c r="D35" s="42" t="str">
        <f aca="false">IF(SUM(B160:L160)=0,"Más de 10",SUM(B160:L160))</f>
        <v>Más de 10</v>
      </c>
      <c r="E35" s="42" t="n">
        <f aca="false">IF(SUM(B203:L203)=0,"Más de 10",SUM(B203:L203))</f>
        <v>7.17753085708368</v>
      </c>
      <c r="F35" s="42" t="n">
        <f aca="false">IF(SUM(B246:L246)=0,"Más de 10",SUM(B246:L246))</f>
        <v>9.09608767414322</v>
      </c>
      <c r="G35" s="42" t="n">
        <f aca="false">IF(SUM(B289:L289)=0,"Más de 10",SUM(B289:L289))</f>
        <v>9.46701478665765</v>
      </c>
      <c r="H35" s="42" t="n">
        <f aca="false">IF(SUM(B332:L332)=0,"Más de 10",SUM(B332:L332))</f>
        <v>5.48873466897303</v>
      </c>
      <c r="I35" s="42" t="n">
        <f aca="false">IF(SUM(B375:L375)=0,"Más de 10",SUM(B375:L375))</f>
        <v>8.61152201731981</v>
      </c>
      <c r="J35" s="42" t="n">
        <f aca="false">IF(SUM(B418:L418)=0,"Más de 10",SUM(B418:L418))</f>
        <v>5.42645311740809</v>
      </c>
      <c r="K35" s="42" t="n">
        <f aca="false">IF(SUM(B461:L461)=0,"Más de 10",SUM(B461:L461))</f>
        <v>7.60825084537122</v>
      </c>
      <c r="L35" s="42" t="n">
        <f aca="false">IF(SUM(B504:L504)=0,"Más de 10",SUM(B504:L504))</f>
        <v>6.42201559792629</v>
      </c>
      <c r="M35" s="42" t="n">
        <f aca="false">IF(SUM(B547:L547)=0,"Más de 10",SUM(B547:L547))</f>
        <v>6.96589495620081</v>
      </c>
      <c r="N35" s="42" t="n">
        <f aca="false">IF(SUM(B590:L590)=0,"Más de 10",SUM(B590:L590))</f>
        <v>6.8998148004917</v>
      </c>
      <c r="O35" s="42" t="n">
        <f aca="false">IF(SUM(B633:L633)=0,"Más de 10",SUM(B633:L633))</f>
        <v>6.96815847201341</v>
      </c>
      <c r="P35" s="42" t="n">
        <f aca="false">IF(SUM(B676:L676)=0,"Más de 10",SUM(B676:L676))</f>
        <v>6.91578942857174</v>
      </c>
      <c r="Q35" s="42" t="n">
        <f aca="false">IF(SUM(B719:L719)=0,"Más de 10",SUM(B719:L719))</f>
        <v>6.76159907613535</v>
      </c>
      <c r="R35" s="42" t="n">
        <f aca="false">IF(SUM(B762:L762)=0,"Más de 10",SUM(B762:L762))</f>
        <v>7.14202691044061</v>
      </c>
      <c r="S35" s="42" t="n">
        <f aca="false">IF(SUM(B805:L805)=0,"Más de 10",SUM(B805:L805))</f>
        <v>7.24636869596266</v>
      </c>
      <c r="T35" s="42" t="n">
        <f aca="false">IF(SUM(B848:L848)=0,"Más de 10",SUM(B848:L848))</f>
        <v>8.22885471662349</v>
      </c>
      <c r="U35" s="42" t="n">
        <f aca="false">IF(SUM(B891:L891)=0,"Más de 10",SUM(B891:L891))</f>
        <v>8.67350573892965</v>
      </c>
      <c r="V35" s="42" t="str">
        <f aca="false">IF(SUM(B934:L934)=0,"Más de 10",SUM(B934:L934))</f>
        <v>Más de 10</v>
      </c>
      <c r="W35" s="42" t="n">
        <f aca="false">IF(SUM(B977:L977)=0,"Más de 10",SUM(B977:L977))</f>
        <v>9.33282400633235</v>
      </c>
      <c r="X35" s="42" t="n">
        <f aca="false">IF(SUM(B1020:L1020)=0,"Más de 10",SUM(B1020:L1020))</f>
        <v>8.90663793817427</v>
      </c>
      <c r="Y35" s="42" t="n">
        <f aca="false">IF(SUM(B1063:L1063)=0,"Más de 10",SUM(B1063:L1063))</f>
        <v>5.80229632103683</v>
      </c>
    </row>
    <row r="36" customFormat="false" ht="15" hidden="false" customHeight="false" outlineLevel="0" collapsed="false">
      <c r="A36" s="6" t="s">
        <v>672</v>
      </c>
      <c r="B36" s="64" t="n">
        <f aca="false">SUM(B67:L67)/SUM(B50:L50)</f>
        <v>0.985008240817927</v>
      </c>
      <c r="C36" s="64" t="n">
        <f aca="false">SUM(B110:L110)/SUM(B93:L93)</f>
        <v>0.112924593618896</v>
      </c>
      <c r="D36" s="64" t="n">
        <f aca="false">SUM(B153:L153)/SUM(B136:L136)</f>
        <v>0.0800524274305464</v>
      </c>
      <c r="E36" s="64" t="n">
        <f aca="false">SUM(B196:L196)/SUM(B179:L179)</f>
        <v>0.961698958509963</v>
      </c>
      <c r="F36" s="64" t="n">
        <f aca="false">SUM(B239:L239)/SUM(B222:L222)</f>
        <v>0.632596452267098</v>
      </c>
      <c r="G36" s="64" t="n">
        <f aca="false">SUM(B282:L282)/SUM(B265:L265)</f>
        <v>0.584284997054291</v>
      </c>
      <c r="H36" s="64" t="n">
        <f aca="false">SUM(B325:L325)/SUM(B308:L308)</f>
        <v>1.38573148458156</v>
      </c>
      <c r="I36" s="64" t="n">
        <f aca="false">SUM(B368:L368)/SUM(B351:L351)</f>
        <v>0.701681197394806</v>
      </c>
      <c r="J36" s="64" t="n">
        <f aca="false">SUM(B411:L411)/SUM(B394:L394)</f>
        <v>1.40999880595261</v>
      </c>
      <c r="K36" s="64" t="n">
        <f aca="false">SUM(B454:L454)/SUM(B437:L437)</f>
        <v>0.856130463181865</v>
      </c>
      <c r="L36" s="64" t="n">
        <f aca="false">SUM(B497:L497)/SUM(B480:L480)</f>
        <v>1.11388601845399</v>
      </c>
      <c r="M36" s="64" t="n">
        <f aca="false">SUM(B540:L540)/SUM(B523:L523)</f>
        <v>0.995305604710922</v>
      </c>
      <c r="N36" s="64" t="n">
        <f aca="false">SUM(B583:L583)/SUM(B566:L566)</f>
        <v>0.950729636085429</v>
      </c>
      <c r="O36" s="64" t="n">
        <f aca="false">SUM(B626:L626)/SUM(B609:L609)</f>
        <v>0.97864243695366</v>
      </c>
      <c r="P36" s="64" t="n">
        <f aca="false">SUM(B669:L669)/SUM(B652:L652)</f>
        <v>0.991374044682195</v>
      </c>
      <c r="Q36" s="64" t="n">
        <f aca="false">SUM(B712:L712)/SUM(B695:L695)</f>
        <v>1.06758779060822</v>
      </c>
      <c r="R36" s="64" t="n">
        <f aca="false">SUM(B755:L755)/SUM(B738:L738)</f>
        <v>0.985008240817927</v>
      </c>
      <c r="S36" s="64" t="n">
        <f aca="false">SUM(B798:L798)/SUM(B781:L781)</f>
        <v>0.985008240817927</v>
      </c>
      <c r="T36" s="64" t="n">
        <f aca="false">SUM(B841:L841)/SUM(B824:L824)</f>
        <v>0.853349009370427</v>
      </c>
      <c r="U36" s="64" t="n">
        <f aca="false">SUM(B884:L884)/SUM(B867:L867)</f>
        <v>0.853349009370427</v>
      </c>
      <c r="V36" s="64" t="n">
        <f aca="false">SUM(B927:L927)/SUM(B910:L910)</f>
        <v>0.253572889992456</v>
      </c>
      <c r="W36" s="64" t="n">
        <f aca="false">SUM(B970:L970)/SUM(B953:L953)</f>
        <v>0.846197126014366</v>
      </c>
      <c r="X36" s="64" t="n">
        <f aca="false">SUM(B1013:L1013)/SUM(B996:L996)</f>
        <v>0.846197126014366</v>
      </c>
      <c r="Y36" s="64" t="n">
        <f aca="false">SUM(B1056:L1056)/SUM(B1039:L1039)</f>
        <v>1.03674833824289</v>
      </c>
    </row>
    <row r="37" customFormat="false" ht="15" hidden="false" customHeight="false" outlineLevel="0" collapsed="false">
      <c r="A37" s="5" t="s">
        <v>673</v>
      </c>
      <c r="B37" s="39" t="n">
        <f aca="false">IRR(B83:L83)</f>
        <v>0.412209259873484</v>
      </c>
      <c r="C37" s="8" t="n">
        <f aca="false">IRR(B126:L126)</f>
        <v>0.0161399757897506</v>
      </c>
      <c r="D37" s="8" t="n">
        <f aca="false">IRR(B169:L169)</f>
        <v>0.00649630281133183</v>
      </c>
      <c r="E37" s="8" t="n">
        <f aca="false">IRR(B212:L212)</f>
        <v>0.375160155013704</v>
      </c>
      <c r="F37" s="8" t="n">
        <f aca="false">IRR(B255:L255)</f>
        <v>0.267455416236655</v>
      </c>
      <c r="G37" s="8" t="n">
        <f aca="false">IRR(B298:L298)</f>
        <v>0.239395919965977</v>
      </c>
      <c r="H37" s="8" t="n">
        <f aca="false">IRR(B341:L341)</f>
        <v>0.578131187350397</v>
      </c>
      <c r="I37" s="8" t="n">
        <f aca="false">IRR(B384:L384)</f>
        <v>0.292104519674708</v>
      </c>
      <c r="J37" s="8" t="n">
        <f aca="false">IRR(B427:L427)</f>
        <v>0.584137313254871</v>
      </c>
      <c r="K37" s="8" t="n">
        <f aca="false">IRR(B470:L470)</f>
        <v>0.357675259706605</v>
      </c>
      <c r="L37" s="8" t="n">
        <f aca="false">IRR(B513:L513)</f>
        <v>0.465726763376227</v>
      </c>
      <c r="M37" s="8" t="n">
        <f aca="false">IRR(B556:L556)</f>
        <v>0.407218499506048</v>
      </c>
      <c r="N37" s="8" t="n">
        <f aca="false">IRR(B599:L599)</f>
        <v>0.427609887701487</v>
      </c>
      <c r="O37" s="8" t="n">
        <f aca="false">IRR(B642:L642)</f>
        <v>0.409821047402813</v>
      </c>
      <c r="P37" s="8" t="n">
        <f aca="false">IRR(B685:L685)</f>
        <v>0.414591418512227</v>
      </c>
      <c r="Q37" s="8" t="n">
        <f aca="false">IRR(B728:L728)</f>
        <v>0.424325341192845</v>
      </c>
      <c r="R37" s="8" t="n">
        <f aca="false">IRR(B771:L771)</f>
        <v>0.391823722122711</v>
      </c>
      <c r="S37" s="8" t="n">
        <f aca="false">IRR(B814:L814)</f>
        <v>0.37457396829981</v>
      </c>
      <c r="T37" s="8" t="n">
        <f aca="false">IRR(B857:L857)</f>
        <v>0.280380840817553</v>
      </c>
      <c r="U37" s="8" t="n">
        <f aca="false">IRR(B900:L900)</f>
        <v>0.256812936073973</v>
      </c>
      <c r="V37" s="8" t="n">
        <f aca="false">IRR(B943:L943)</f>
        <v>0.0923233048176287</v>
      </c>
      <c r="W37" s="8" t="n">
        <f aca="false">IRR(B986:L986)</f>
        <v>0.240524872120554</v>
      </c>
      <c r="X37" s="8" t="n">
        <f aca="false">IRR(B1029:L1029)</f>
        <v>0.240524872120554</v>
      </c>
      <c r="Y37" s="8" t="n">
        <f aca="false">IRR(B1072:L1072)</f>
        <v>0.586076659712292</v>
      </c>
    </row>
    <row r="38" customFormat="false" ht="15" hidden="false" customHeight="false" outlineLevel="0" collapsed="false">
      <c r="A38" s="6" t="s">
        <v>325</v>
      </c>
      <c r="B38" s="22" t="n">
        <f aca="false">IRR(B82:L82)</f>
        <v>0.353430324166221</v>
      </c>
      <c r="C38" s="22" t="n">
        <f aca="false">IRR(B125:L125)</f>
        <v>-0.024019506526253</v>
      </c>
      <c r="D38" s="22" t="n">
        <f aca="false">IRR(B168:L168)</f>
        <v>-0.0335484517678431</v>
      </c>
      <c r="E38" s="22" t="n">
        <f aca="false">IRR(B211:L211)</f>
        <v>0.318137685150522</v>
      </c>
      <c r="F38" s="22" t="n">
        <f aca="false">IRR(B254:L254)</f>
        <v>0.215613120097872</v>
      </c>
      <c r="G38" s="22" t="n">
        <f aca="false">IRR(B297:L297)</f>
        <v>0.188897912039919</v>
      </c>
      <c r="H38" s="22" t="n">
        <f aca="false">IRR(B340:L340)</f>
        <v>0.511394629126266</v>
      </c>
      <c r="I38" s="22" t="n">
        <f aca="false">IRR(B383:L383)</f>
        <v>0.239079018767428</v>
      </c>
      <c r="J38" s="22" t="n">
        <f aca="false">IRR(B426:L426)</f>
        <v>0.517143414693997</v>
      </c>
      <c r="K38" s="22" t="n">
        <f aca="false">IRR(B469:L469)</f>
        <v>0.301532072042006</v>
      </c>
      <c r="L38" s="22" t="n">
        <f aca="false">IRR(B512:L512)</f>
        <v>0.404361050825373</v>
      </c>
      <c r="M38" s="22" t="n">
        <f aca="false">IRR(B555:L555)</f>
        <v>0.356697929715562</v>
      </c>
      <c r="N38" s="22" t="n">
        <f aca="false">IRR(B598:L598)</f>
        <v>0.340478767794824</v>
      </c>
      <c r="O38" s="22" t="n">
        <f aca="false">IRR(B641:L641)</f>
        <v>0.351155604276067</v>
      </c>
      <c r="P38" s="22" t="n">
        <f aca="false">IRR(B684:L684)</f>
        <v>0.355699302230676</v>
      </c>
      <c r="Q38" s="22" t="n">
        <f aca="false">IRR(B727:L727)</f>
        <v>0.365033641739965</v>
      </c>
      <c r="R38" s="22" t="n">
        <f aca="false">IRR(B770:L770)</f>
        <v>0.334094751427811</v>
      </c>
      <c r="S38" s="22" t="n">
        <f aca="false">IRR(B813:L813)</f>
        <v>0.317728503201705</v>
      </c>
      <c r="T38" s="22" t="n">
        <f aca="false">IRR(B856:L856)</f>
        <v>0.228378890747254</v>
      </c>
      <c r="U38" s="22" t="n">
        <f aca="false">IRR(B899:L899)</f>
        <v>0.205951322541235</v>
      </c>
      <c r="V38" s="22" t="n">
        <f aca="false">IRR(B942:L942)</f>
        <v>0.0487088335149856</v>
      </c>
      <c r="W38" s="22" t="n">
        <f aca="false">IRR(B985:L985)</f>
        <v>0.190337714347935</v>
      </c>
      <c r="X38" s="22" t="n">
        <f aca="false">IRR(B1028:L1028)</f>
        <v>0.190337714347935</v>
      </c>
      <c r="Y38" s="22" t="n">
        <f aca="false">IRR(B1071:L1071)</f>
        <v>0.514968345418304</v>
      </c>
    </row>
    <row r="39" customFormat="false" ht="15" hidden="false" customHeight="false" outlineLevel="0" collapsed="false">
      <c r="A39" s="6" t="s">
        <v>28</v>
      </c>
      <c r="B39" s="65" t="n">
        <f aca="false">MIN(D86:L86)</f>
        <v>1.20942669960017</v>
      </c>
      <c r="C39" s="65" t="n">
        <f aca="false">MIN(D129:L129)</f>
        <v>0.795465389948783</v>
      </c>
      <c r="D39" s="65" t="n">
        <f aca="false">MIN(D172:L172)</f>
        <v>0.590616503541992</v>
      </c>
      <c r="E39" s="65" t="n">
        <f aca="false">MIN(D215:L215)</f>
        <v>1.20942669960017</v>
      </c>
      <c r="F39" s="65" t="n">
        <f aca="false">MIN(D258:L258)</f>
        <v>1.00367779982914</v>
      </c>
      <c r="G39" s="65" t="n">
        <f aca="false">MIN(D301:L301)</f>
        <v>0.982546608425161</v>
      </c>
      <c r="H39" s="65" t="n">
        <f aca="false">MIN(D344:L344)</f>
        <v>1.43630679077518</v>
      </c>
      <c r="I39" s="65" t="n">
        <f aca="false">MIN(D387:L387)</f>
        <v>1.04826338655839</v>
      </c>
      <c r="J39" s="65" t="n">
        <f aca="false">MIN(D430:L430)</f>
        <v>1.45117166916285</v>
      </c>
      <c r="K39" s="65" t="n">
        <f aca="false">MIN(D473:L473)</f>
        <v>1.13604217797443</v>
      </c>
      <c r="L39" s="65" t="n">
        <f aca="false">MIN(D516:L516)</f>
        <v>1.28281122122591</v>
      </c>
      <c r="M39" s="65" t="n">
        <f aca="false">MIN(D559:L559)</f>
        <v>1.2112070418477</v>
      </c>
      <c r="N39" s="65" t="n">
        <f aca="false">MIN(D602:L602)</f>
        <v>1.19451775240829</v>
      </c>
      <c r="O39" s="65" t="n">
        <f aca="false">MIN(D645:L645)</f>
        <v>1.20565305618501</v>
      </c>
      <c r="P39" s="65" t="n">
        <f aca="false">MIN(D688:L688)</f>
        <v>1.21320034301532</v>
      </c>
      <c r="Q39" s="65" t="n">
        <f aca="false">MIN(D731:L731)</f>
        <v>1.23325491962565</v>
      </c>
      <c r="R39" s="65" t="n">
        <f aca="false">MIN(D774:L774)</f>
        <v>1.16879107523402</v>
      </c>
      <c r="S39" s="65" t="n">
        <f aca="false">MIN(D817:L817)</f>
        <v>1.16066561468141</v>
      </c>
      <c r="T39" s="65" t="n">
        <f aca="false">MIN(D860:L860)</f>
        <v>1.20942669960017</v>
      </c>
      <c r="U39" s="65" t="n">
        <f aca="false">MIN(D903:L903)</f>
        <v>1.16066561468141</v>
      </c>
      <c r="V39" s="65" t="n">
        <f aca="false">MIN(D946:L946)</f>
        <v>0.789439474701862</v>
      </c>
      <c r="W39" s="65" t="n">
        <f aca="false">MIN(D989:L989)</f>
        <v>1.16344347214106</v>
      </c>
      <c r="X39" s="65" t="n">
        <f aca="false">MIN(D1032:L1032)</f>
        <v>1.16344347214106</v>
      </c>
      <c r="Y39" s="65" t="n">
        <f aca="false">MIN(D1075:L1075)</f>
        <v>1.07159712342449</v>
      </c>
    </row>
    <row r="41" customFormat="false" ht="15" hidden="false" customHeight="false" outlineLevel="0" collapsed="false">
      <c r="A41" s="3" t="s">
        <v>674</v>
      </c>
      <c r="B41" s="4"/>
      <c r="C41" s="4"/>
      <c r="D41" s="4"/>
      <c r="E41" s="4"/>
      <c r="F41" s="4"/>
      <c r="G41" s="4"/>
      <c r="H41" s="4"/>
      <c r="I41" s="4"/>
      <c r="J41" s="4"/>
      <c r="K41" s="4"/>
      <c r="L41" s="4"/>
      <c r="M41" s="4"/>
      <c r="N41" s="4"/>
      <c r="O41" s="4"/>
      <c r="P41" s="4"/>
      <c r="Q41" s="4"/>
      <c r="R41" s="4"/>
      <c r="S41" s="4"/>
      <c r="T41" s="4"/>
      <c r="U41" s="4"/>
      <c r="V41" s="4"/>
      <c r="W41" s="4"/>
      <c r="X41" s="4"/>
      <c r="Y41" s="4"/>
    </row>
    <row r="42" customFormat="false" ht="15" hidden="false" customHeight="false" outlineLevel="0" collapsed="false">
      <c r="A42" s="17" t="s">
        <v>189</v>
      </c>
      <c r="B42" s="18" t="s">
        <v>269</v>
      </c>
      <c r="C42" s="18" t="s">
        <v>270</v>
      </c>
      <c r="D42" s="18" t="s">
        <v>271</v>
      </c>
      <c r="E42" s="18" t="s">
        <v>272</v>
      </c>
      <c r="F42" s="18" t="s">
        <v>273</v>
      </c>
      <c r="G42" s="18" t="s">
        <v>274</v>
      </c>
      <c r="H42" s="18" t="s">
        <v>275</v>
      </c>
      <c r="I42" s="18" t="s">
        <v>276</v>
      </c>
      <c r="J42" s="18" t="s">
        <v>277</v>
      </c>
      <c r="K42" s="18" t="s">
        <v>278</v>
      </c>
      <c r="L42" s="18" t="s">
        <v>279</v>
      </c>
    </row>
    <row r="43" customFormat="false" ht="15" hidden="false" customHeight="false" outlineLevel="0" collapsed="false">
      <c r="A43" s="9" t="s">
        <v>280</v>
      </c>
      <c r="B43" s="32" t="n">
        <v>0</v>
      </c>
      <c r="C43" s="32" t="n">
        <v>1</v>
      </c>
      <c r="D43" s="32" t="n">
        <v>2</v>
      </c>
      <c r="E43" s="32" t="n">
        <v>3</v>
      </c>
      <c r="F43" s="32" t="n">
        <v>4</v>
      </c>
      <c r="G43" s="32" t="n">
        <v>5</v>
      </c>
      <c r="H43" s="32" t="n">
        <v>6</v>
      </c>
      <c r="I43" s="32" t="n">
        <v>7</v>
      </c>
      <c r="J43" s="32" t="n">
        <v>8</v>
      </c>
      <c r="K43" s="32" t="n">
        <v>9</v>
      </c>
      <c r="L43" s="32" t="n">
        <v>10</v>
      </c>
    </row>
    <row r="45" customFormat="false" ht="15" hidden="false" customHeight="false" outlineLevel="0" collapsed="false">
      <c r="A45" s="66" t="s">
        <v>626</v>
      </c>
      <c r="B45" s="67"/>
      <c r="C45" s="67"/>
      <c r="D45" s="67"/>
      <c r="E45" s="67"/>
      <c r="F45" s="67"/>
      <c r="G45" s="67"/>
      <c r="H45" s="67"/>
      <c r="I45" s="67"/>
      <c r="J45" s="67"/>
      <c r="K45" s="67"/>
      <c r="L45" s="67"/>
    </row>
    <row r="46" customFormat="false" ht="15" hidden="false" customHeight="false" outlineLevel="0" collapsed="false">
      <c r="A46" s="9" t="s">
        <v>281</v>
      </c>
      <c r="B46" s="33" t="n">
        <f aca="false">CHOOSE($B$15,Entorno!B$7,Entorno!B$8,Entorno!B$9)</f>
        <v>0.06</v>
      </c>
      <c r="C46" s="33" t="n">
        <f aca="false">CHOOSE($B$15,Entorno!C$7,Entorno!C$8,Entorno!C$9)</f>
        <v>0.05</v>
      </c>
      <c r="D46" s="33" t="n">
        <f aca="false">CHOOSE($B$15,Entorno!D$7,Entorno!D$8,Entorno!D$9)</f>
        <v>0.045</v>
      </c>
      <c r="E46" s="33" t="n">
        <f aca="false">CHOOSE($B$15,Entorno!E$7,Entorno!E$8,Entorno!E$9)</f>
        <v>0.04</v>
      </c>
      <c r="F46" s="33" t="n">
        <f aca="false">CHOOSE($B$15,Entorno!F$7,Entorno!F$8,Entorno!F$9)</f>
        <v>0.04</v>
      </c>
      <c r="G46" s="33" t="n">
        <f aca="false">CHOOSE($B$15,Entorno!G$7,Entorno!G$8,Entorno!G$9)</f>
        <v>0.04</v>
      </c>
      <c r="H46" s="33" t="n">
        <f aca="false">CHOOSE($B$15,Entorno!H$7,Entorno!H$8,Entorno!H$9)</f>
        <v>0.04</v>
      </c>
      <c r="I46" s="33" t="n">
        <f aca="false">CHOOSE($B$15,Entorno!I$7,Entorno!I$8,Entorno!I$9)</f>
        <v>0.04</v>
      </c>
      <c r="J46" s="33" t="n">
        <f aca="false">CHOOSE($B$15,Entorno!J$7,Entorno!J$8,Entorno!J$9)</f>
        <v>0.04</v>
      </c>
      <c r="K46" s="33" t="n">
        <f aca="false">CHOOSE($B$15,Entorno!K$7,Entorno!K$8,Entorno!K$9)</f>
        <v>0.04</v>
      </c>
      <c r="L46" s="33" t="n">
        <f aca="false">CHOOSE($B$15,Entorno!L$7,Entorno!L$8,Entorno!L$9)</f>
        <v>0.04</v>
      </c>
    </row>
    <row r="47" customFormat="false" ht="15" hidden="false" customHeight="false" outlineLevel="0" collapsed="false">
      <c r="A47" s="9" t="s">
        <v>282</v>
      </c>
      <c r="B47" s="34" t="n">
        <f aca="false">1+B46</f>
        <v>1.06</v>
      </c>
      <c r="C47" s="34" t="n">
        <f aca="false">B47*(1+C46)</f>
        <v>1.113</v>
      </c>
      <c r="D47" s="34" t="n">
        <f aca="false">C47*(1+D46)</f>
        <v>1.163085</v>
      </c>
      <c r="E47" s="34" t="n">
        <f aca="false">D47*(1+E46)</f>
        <v>1.2096084</v>
      </c>
      <c r="F47" s="34" t="n">
        <f aca="false">E47*(1+F46)</f>
        <v>1.257992736</v>
      </c>
      <c r="G47" s="34" t="n">
        <f aca="false">F47*(1+G46)</f>
        <v>1.30831244544</v>
      </c>
      <c r="H47" s="34" t="n">
        <f aca="false">G47*(1+H46)</f>
        <v>1.3606449432576</v>
      </c>
      <c r="I47" s="34" t="n">
        <f aca="false">H47*(1+I46)</f>
        <v>1.4150707409879</v>
      </c>
      <c r="J47" s="34" t="n">
        <f aca="false">I47*(1+J46)</f>
        <v>1.47167357062742</v>
      </c>
      <c r="K47" s="34" t="n">
        <f aca="false">J47*(1+K46)</f>
        <v>1.53054051345252</v>
      </c>
      <c r="L47" s="34" t="n">
        <f aca="false">K47*(1+L46)</f>
        <v>1.59176213399062</v>
      </c>
    </row>
    <row r="48" customFormat="false" ht="15" hidden="false" customHeight="false" outlineLevel="0" collapsed="false">
      <c r="A48" s="9" t="s">
        <v>283</v>
      </c>
      <c r="B48" s="34" t="n">
        <f aca="false">(1+$B$16)/(1+B46)</f>
        <v>1.02358490566038</v>
      </c>
      <c r="C48" s="34" t="n">
        <f aca="false">B48*(1+Entorno!$B$13)</f>
        <v>1.02870283018868</v>
      </c>
      <c r="D48" s="34" t="n">
        <f aca="false">C48*(1+Entorno!$B$13)</f>
        <v>1.03384634433962</v>
      </c>
      <c r="E48" s="34" t="n">
        <f aca="false">D48*(1+Entorno!$B$13)</f>
        <v>1.03901557606132</v>
      </c>
      <c r="F48" s="34" t="n">
        <f aca="false">E48*(1+Entorno!$B$13)</f>
        <v>1.04421065394163</v>
      </c>
      <c r="G48" s="34" t="n">
        <f aca="false">F48*(1+Entorno!$B$13)</f>
        <v>1.04943170721133</v>
      </c>
      <c r="H48" s="34" t="n">
        <f aca="false">G48*(1+Entorno!$B$13)</f>
        <v>1.05467886574739</v>
      </c>
      <c r="I48" s="34" t="n">
        <f aca="false">H48*(1+Entorno!$B$13)</f>
        <v>1.05995226007613</v>
      </c>
      <c r="J48" s="34" t="n">
        <f aca="false">I48*(1+Entorno!$B$13)</f>
        <v>1.06525202137651</v>
      </c>
      <c r="K48" s="34" t="n">
        <f aca="false">J48*(1+Entorno!$B$13)</f>
        <v>1.07057828148339</v>
      </c>
      <c r="L48" s="34" t="n">
        <f aca="false">K48*(1+Entorno!$B$13)</f>
        <v>1.07593117289081</v>
      </c>
    </row>
    <row r="49" customFormat="false" ht="15" hidden="false" customHeight="false" outlineLevel="0" collapsed="false">
      <c r="A49" s="9" t="s">
        <v>284</v>
      </c>
      <c r="B49" s="34" t="n">
        <f aca="false">1/B47</f>
        <v>0.943396226415094</v>
      </c>
      <c r="C49" s="34" t="n">
        <f aca="false">1/C47</f>
        <v>0.898472596585804</v>
      </c>
      <c r="D49" s="34" t="n">
        <f aca="false">1/D47</f>
        <v>0.859782389077324</v>
      </c>
      <c r="E49" s="34" t="n">
        <f aca="false">1/E47</f>
        <v>0.826713835651273</v>
      </c>
      <c r="F49" s="34" t="n">
        <f aca="false">1/F47</f>
        <v>0.794917149664686</v>
      </c>
      <c r="G49" s="34" t="n">
        <f aca="false">1/G47</f>
        <v>0.764343413139121</v>
      </c>
      <c r="H49" s="34" t="n">
        <f aca="false">1/H47</f>
        <v>0.734945589556847</v>
      </c>
      <c r="I49" s="34" t="n">
        <f aca="false">1/I47</f>
        <v>0.706678451496968</v>
      </c>
      <c r="J49" s="34" t="n">
        <f aca="false">1/J47</f>
        <v>0.679498511054777</v>
      </c>
      <c r="K49" s="34" t="n">
        <f aca="false">1/K47</f>
        <v>0.653363952937286</v>
      </c>
      <c r="L49" s="34" t="n">
        <f aca="false">1/L47</f>
        <v>0.628234570132006</v>
      </c>
    </row>
    <row r="50" customFormat="false" ht="15" hidden="false" customHeight="false" outlineLevel="0" collapsed="false">
      <c r="A50" s="6" t="s">
        <v>202</v>
      </c>
      <c r="B50" s="35" t="n">
        <f aca="false">IF(B$43=0,Quesería!$F$80,IF(B$43=1,Quesería!$F$81*$B$21,0))*$B$11</f>
        <v>622.243624322401</v>
      </c>
      <c r="C50" s="35" t="n">
        <f aca="false">IF(C$43=0,Quesería!$F$80,IF(C$43=1,Quesería!$F$81*$B$21,0))*$B$11</f>
        <v>645.270088578622</v>
      </c>
      <c r="D50" s="35" t="n">
        <f aca="false">IF(D$43=0,Quesería!$F$80,IF(D$43=1,Quesería!$F$81*$B$21,0))*$B$11</f>
        <v>0</v>
      </c>
      <c r="E50" s="35" t="n">
        <f aca="false">IF(E$43=0,Quesería!$F$80,IF(E$43=1,Quesería!$F$81*$B$21,0))*$B$11</f>
        <v>0</v>
      </c>
      <c r="F50" s="35" t="n">
        <f aca="false">IF(F$43=0,Quesería!$F$80,IF(F$43=1,Quesería!$F$81*$B$21,0))*$B$11</f>
        <v>0</v>
      </c>
      <c r="G50" s="35" t="n">
        <f aca="false">IF(G$43=0,Quesería!$F$80,IF(G$43=1,Quesería!$F$81*$B$21,0))*$B$11</f>
        <v>0</v>
      </c>
      <c r="H50" s="35" t="n">
        <f aca="false">IF(H$43=0,Quesería!$F$80,IF(H$43=1,Quesería!$F$81*$B$21,0))*$B$11</f>
        <v>0</v>
      </c>
      <c r="I50" s="35" t="n">
        <f aca="false">IF(I$43=0,Quesería!$F$80,IF(I$43=1,Quesería!$F$81*$B$21,0))*$B$11</f>
        <v>0</v>
      </c>
      <c r="J50" s="35" t="n">
        <f aca="false">IF(J$43=0,Quesería!$F$80,IF(J$43=1,Quesería!$F$81*$B$21,0))*$B$11</f>
        <v>0</v>
      </c>
      <c r="K50" s="35" t="n">
        <f aca="false">IF(K$43=0,Quesería!$F$80,IF(K$43=1,Quesería!$F$81*$B$21,0))*$B$11</f>
        <v>0</v>
      </c>
      <c r="L50" s="35" t="n">
        <f aca="false">IF(L$43=0,Quesería!$F$80,IF(L$43=1,Quesería!$F$81*$B$21,0))*$B$11</f>
        <v>0</v>
      </c>
    </row>
    <row r="51" customFormat="false" ht="15" hidden="false" customHeight="false" outlineLevel="0" collapsed="false">
      <c r="A51" s="6" t="s">
        <v>285</v>
      </c>
      <c r="B51" s="35" t="n">
        <f aca="false">IF(B$43=5,Quesería!$F$87,IF(B$43=6,Quesería!$F$88,0))*$B$11</f>
        <v>0</v>
      </c>
      <c r="C51" s="35" t="n">
        <f aca="false">IF(C$43=5,Quesería!$F$87,IF(C$43=6,Quesería!$F$88,0))*$B$11</f>
        <v>0</v>
      </c>
      <c r="D51" s="35" t="n">
        <f aca="false">IF(D$43=5,Quesería!$F$87,IF(D$43=6,Quesería!$F$88,0))*$B$11</f>
        <v>0</v>
      </c>
      <c r="E51" s="35" t="n">
        <f aca="false">IF(E$43=5,Quesería!$F$87,IF(E$43=6,Quesería!$F$88,0))*$B$11</f>
        <v>0</v>
      </c>
      <c r="F51" s="35" t="n">
        <f aca="false">IF(F$43=5,Quesería!$F$87,IF(F$43=6,Quesería!$F$88,0))*$B$11</f>
        <v>0</v>
      </c>
      <c r="G51" s="35" t="n">
        <f aca="false">IF(G$43=5,Quesería!$F$87,IF(G$43=6,Quesería!$F$88,0))*$B$11</f>
        <v>26.6666666666667</v>
      </c>
      <c r="H51" s="35" t="n">
        <f aca="false">IF(H$43=5,Quesería!$F$87,IF(H$43=6,Quesería!$F$88,0))*$B$11</f>
        <v>35.3045530566667</v>
      </c>
      <c r="I51" s="35" t="n">
        <f aca="false">IF(I$43=5,Quesería!$F$87,IF(I$43=6,Quesería!$F$88,0))*$B$11</f>
        <v>0</v>
      </c>
      <c r="J51" s="35" t="n">
        <f aca="false">IF(J$43=5,Quesería!$F$87,IF(J$43=6,Quesería!$F$88,0))*$B$11</f>
        <v>0</v>
      </c>
      <c r="K51" s="35" t="n">
        <f aca="false">IF(K$43=5,Quesería!$F$87,IF(K$43=6,Quesería!$F$88,0))*$B$11</f>
        <v>0</v>
      </c>
      <c r="L51" s="35" t="n">
        <f aca="false">IF(L$43=5,Quesería!$F$87,IF(L$43=6,Quesería!$F$88,0))*$B$11</f>
        <v>0</v>
      </c>
    </row>
    <row r="52" customFormat="false" ht="15" hidden="false" customHeight="false" outlineLevel="0" collapsed="false">
      <c r="A52" s="6" t="s">
        <v>286</v>
      </c>
      <c r="B52" s="35" t="n">
        <f aca="false">Quesería!$B$36*(IF(B$43=0,SUMPRODUCT((Quesería!$C$62:$C$77=0)*(Quesería!$H$62:$H$77&gt;0)*(Quesería!$J$62:$J$77&gt;0)*Quesería!$F$62:$F$77*(1+Quesería!$I$62:$I$77)),IF(B$43=1,SUMPRODUCT((Quesería!$C$62:$C$77=1)*(Quesería!$H$62:$H$77&gt;0)*(Quesería!$J$62:$J$77&gt;0)*Quesería!$F$62:$F$77*(1+Quesería!$I$62:$I$77))*$B$21,0))*$B$11+B51)</f>
        <v>99.347875488093</v>
      </c>
      <c r="C52" s="35" t="n">
        <f aca="false">Quesería!$B$36*(IF(C$43=0,SUMPRODUCT((Quesería!$C$62:$C$77=0)*(Quesería!$H$62:$H$77&gt;0)*(Quesería!$J$62:$J$77&gt;0)*Quesería!$F$62:$F$77*(1+Quesería!$I$62:$I$77)),IF(C$43=1,SUMPRODUCT((Quesería!$C$62:$C$77=1)*(Quesería!$H$62:$H$77&gt;0)*(Quesería!$J$62:$J$77&gt;0)*Quesería!$F$62:$F$77*(1+Quesería!$I$62:$I$77))*$B$21,0))*$B$11+C51)</f>
        <v>122.601316829938</v>
      </c>
      <c r="D52" s="35" t="n">
        <f aca="false">Quesería!$B$36*(IF(D$43=0,SUMPRODUCT((Quesería!$C$62:$C$77=0)*(Quesería!$H$62:$H$77&gt;0)*(Quesería!$J$62:$J$77&gt;0)*Quesería!$F$62:$F$77*(1+Quesería!$I$62:$I$77)),IF(D$43=1,SUMPRODUCT((Quesería!$C$62:$C$77=1)*(Quesería!$H$62:$H$77&gt;0)*(Quesería!$J$62:$J$77&gt;0)*Quesería!$F$62:$F$77*(1+Quesería!$I$62:$I$77))*$B$21,0))*$B$11+D51)</f>
        <v>0</v>
      </c>
      <c r="E52" s="35" t="n">
        <f aca="false">Quesería!$B$36*(IF(E$43=0,SUMPRODUCT((Quesería!$C$62:$C$77=0)*(Quesería!$H$62:$H$77&gt;0)*(Quesería!$J$62:$J$77&gt;0)*Quesería!$F$62:$F$77*(1+Quesería!$I$62:$I$77)),IF(E$43=1,SUMPRODUCT((Quesería!$C$62:$C$77=1)*(Quesería!$H$62:$H$77&gt;0)*(Quesería!$J$62:$J$77&gt;0)*Quesería!$F$62:$F$77*(1+Quesería!$I$62:$I$77))*$B$21,0))*$B$11+E51)</f>
        <v>0</v>
      </c>
      <c r="F52" s="35" t="n">
        <f aca="false">Quesería!$B$36*(IF(F$43=0,SUMPRODUCT((Quesería!$C$62:$C$77=0)*(Quesería!$H$62:$H$77&gt;0)*(Quesería!$J$62:$J$77&gt;0)*Quesería!$F$62:$F$77*(1+Quesería!$I$62:$I$77)),IF(F$43=1,SUMPRODUCT((Quesería!$C$62:$C$77=1)*(Quesería!$H$62:$H$77&gt;0)*(Quesería!$J$62:$J$77&gt;0)*Quesería!$F$62:$F$77*(1+Quesería!$I$62:$I$77))*$B$21,0))*$B$11+F51)</f>
        <v>0</v>
      </c>
      <c r="G52" s="35" t="n">
        <f aca="false">Quesería!$B$36*(IF(G$43=0,SUMPRODUCT((Quesería!$C$62:$C$77=0)*(Quesería!$H$62:$H$77&gt;0)*(Quesería!$J$62:$J$77&gt;0)*Quesería!$F$62:$F$77*(1+Quesería!$I$62:$I$77)),IF(G$43=1,SUMPRODUCT((Quesería!$C$62:$C$77=1)*(Quesería!$H$62:$H$77&gt;0)*(Quesería!$J$62:$J$77&gt;0)*Quesería!$F$62:$F$77*(1+Quesería!$I$62:$I$77))*$B$21,0))*$B$11+G51)</f>
        <v>5.06666666666667</v>
      </c>
      <c r="H52" s="35" t="n">
        <f aca="false">Quesería!$B$36*(IF(H$43=0,SUMPRODUCT((Quesería!$C$62:$C$77=0)*(Quesería!$H$62:$H$77&gt;0)*(Quesería!$J$62:$J$77&gt;0)*Quesería!$F$62:$F$77*(1+Quesería!$I$62:$I$77)),IF(H$43=1,SUMPRODUCT((Quesería!$C$62:$C$77=1)*(Quesería!$H$62:$H$77&gt;0)*(Quesería!$J$62:$J$77&gt;0)*Quesería!$F$62:$F$77*(1+Quesería!$I$62:$I$77))*$B$21,0))*$B$11+H51)</f>
        <v>6.70786508076667</v>
      </c>
      <c r="I52" s="35" t="n">
        <f aca="false">Quesería!$B$36*(IF(I$43=0,SUMPRODUCT((Quesería!$C$62:$C$77=0)*(Quesería!$H$62:$H$77&gt;0)*(Quesería!$J$62:$J$77&gt;0)*Quesería!$F$62:$F$77*(1+Quesería!$I$62:$I$77)),IF(I$43=1,SUMPRODUCT((Quesería!$C$62:$C$77=1)*(Quesería!$H$62:$H$77&gt;0)*(Quesería!$J$62:$J$77&gt;0)*Quesería!$F$62:$F$77*(1+Quesería!$I$62:$I$77))*$B$21,0))*$B$11+I51)</f>
        <v>0</v>
      </c>
      <c r="J52" s="35" t="n">
        <f aca="false">Quesería!$B$36*(IF(J$43=0,SUMPRODUCT((Quesería!$C$62:$C$77=0)*(Quesería!$H$62:$H$77&gt;0)*(Quesería!$J$62:$J$77&gt;0)*Quesería!$F$62:$F$77*(1+Quesería!$I$62:$I$77)),IF(J$43=1,SUMPRODUCT((Quesería!$C$62:$C$77=1)*(Quesería!$H$62:$H$77&gt;0)*(Quesería!$J$62:$J$77&gt;0)*Quesería!$F$62:$F$77*(1+Quesería!$I$62:$I$77))*$B$21,0))*$B$11+J51)</f>
        <v>0</v>
      </c>
      <c r="K52" s="35" t="n">
        <f aca="false">Quesería!$B$36*(IF(K$43=0,SUMPRODUCT((Quesería!$C$62:$C$77=0)*(Quesería!$H$62:$H$77&gt;0)*(Quesería!$J$62:$J$77&gt;0)*Quesería!$F$62:$F$77*(1+Quesería!$I$62:$I$77)),IF(K$43=1,SUMPRODUCT((Quesería!$C$62:$C$77=1)*(Quesería!$H$62:$H$77&gt;0)*(Quesería!$J$62:$J$77&gt;0)*Quesería!$F$62:$F$77*(1+Quesería!$I$62:$I$77))*$B$21,0))*$B$11+K51)</f>
        <v>0</v>
      </c>
      <c r="L52" s="35" t="n">
        <f aca="false">Quesería!$B$36*(IF(L$43=0,SUMPRODUCT((Quesería!$C$62:$C$77=0)*(Quesería!$H$62:$H$77&gt;0)*(Quesería!$J$62:$J$77&gt;0)*Quesería!$F$62:$F$77*(1+Quesería!$I$62:$I$77)),IF(L$43=1,SUMPRODUCT((Quesería!$C$62:$C$77=1)*(Quesería!$H$62:$H$77&gt;0)*(Quesería!$J$62:$J$77&gt;0)*Quesería!$F$62:$F$77*(1+Quesería!$I$62:$I$77))*$B$21,0))*$B$11+L51)</f>
        <v>0</v>
      </c>
    </row>
    <row r="53" customFormat="false" ht="15" hidden="false" customHeight="false" outlineLevel="0" collapsed="false">
      <c r="A53" s="6" t="s">
        <v>260</v>
      </c>
      <c r="B53" s="35" t="n">
        <f aca="false">IF(B$43=0,($B$22*Quesería!$J$109+(1-$B$22)*Quesería!$E$105)*Quesería!$B$12*Quesería!$B$13/12*$B$23,(($B$22*Quesería!$J$109+(1-$B$22)*Quesería!$E$105)+($B$22*Quesería!$J$92+(1-$B$22)*Quesería!$E$92)*(B48-1))*IF(B$43=1,Quesería!$B$12,1))*$B$10</f>
        <v>45.6373732102639</v>
      </c>
      <c r="C53" s="35" t="n">
        <f aca="false">IF(C$43=0,($B$22*Quesería!$J$109+(1-$B$22)*Quesería!$E$105)*Quesería!$B$12*Quesería!$B$13/12*$B$23,(($B$22*Quesería!$J$109+(1-$B$22)*Quesería!$E$105)+($B$22*Quesería!$J$92+(1-$B$22)*Quesería!$E$92)*(C48-1))*IF(C$43=1,Quesería!$B$12,1))*$B$10</f>
        <v>137.165278593056</v>
      </c>
      <c r="D53" s="35" t="n">
        <f aca="false">IF(D$43=0,($B$22*Quesería!$J$109+(1-$B$22)*Quesería!$E$105)*Quesería!$B$12*Quesería!$B$13/12*$B$23,(($B$22*Quesería!$J$109+(1-$B$22)*Quesería!$E$105)+($B$22*Quesería!$J$92+(1-$B$22)*Quesería!$E$92)*(D48-1))*IF(D$43=1,Quesería!$B$12,1))*$B$10</f>
        <v>182.947525850489</v>
      </c>
      <c r="E53" s="35" t="n">
        <f aca="false">IF(E$43=0,($B$22*Quesería!$J$109+(1-$B$22)*Quesería!$E$105)*Quesería!$B$12*Quesería!$B$13/12*$B$23,(($B$22*Quesería!$J$109+(1-$B$22)*Quesería!$E$105)+($B$22*Quesería!$J$92+(1-$B$22)*Quesería!$E$92)*(E48-1))*IF(E$43=1,Quesería!$B$12,1))*$B$10</f>
        <v>183.008316015537</v>
      </c>
      <c r="F53" s="35" t="n">
        <f aca="false">IF(F$43=0,($B$22*Quesería!$J$109+(1-$B$22)*Quesería!$E$105)*Quesería!$B$12*Quesería!$B$13/12*$B$23,(($B$22*Quesería!$J$109+(1-$B$22)*Quesería!$E$105)+($B$22*Quesería!$J$92+(1-$B$22)*Quesería!$E$92)*(F48-1))*IF(F$43=1,Quesería!$B$12,1))*$B$10</f>
        <v>183.069410131409</v>
      </c>
      <c r="G53" s="35" t="n">
        <f aca="false">IF(G$43=0,($B$22*Quesería!$J$109+(1-$B$22)*Quesería!$E$105)*Quesería!$B$12*Quesería!$B$13/12*$B$23,(($B$22*Quesería!$J$109+(1-$B$22)*Quesería!$E$105)+($B$22*Quesería!$J$92+(1-$B$22)*Quesería!$E$92)*(G48-1))*IF(G$43=1,Quesería!$B$12,1))*$B$10</f>
        <v>183.130809717861</v>
      </c>
      <c r="H53" s="35" t="n">
        <f aca="false">IF(H$43=0,($B$22*Quesería!$J$109+(1-$B$22)*Quesería!$E$105)*Quesería!$B$12*Quesería!$B$13/12*$B$23,(($B$22*Quesería!$J$109+(1-$B$22)*Quesería!$E$105)+($B$22*Quesería!$J$92+(1-$B$22)*Quesería!$E$92)*(H48-1))*IF(H$43=1,Quesería!$B$12,1))*$B$10</f>
        <v>183.192516302245</v>
      </c>
      <c r="I53" s="35" t="n">
        <f aca="false">IF(I$43=0,($B$22*Quesería!$J$109+(1-$B$22)*Quesería!$E$105)*Quesería!$B$12*Quesería!$B$13/12*$B$23,(($B$22*Quesería!$J$109+(1-$B$22)*Quesería!$E$105)+($B$22*Quesería!$J$92+(1-$B$22)*Quesería!$E$92)*(I48-1))*IF(I$43=1,Quesería!$B$12,1))*$B$10</f>
        <v>183.254531419551</v>
      </c>
      <c r="J53" s="35" t="n">
        <f aca="false">IF(J$43=0,($B$22*Quesería!$J$109+(1-$B$22)*Quesería!$E$105)*Quesería!$B$12*Quesería!$B$13/12*$B$23,(($B$22*Quesería!$J$109+(1-$B$22)*Quesería!$E$105)+($B$22*Quesería!$J$92+(1-$B$22)*Quesería!$E$92)*(J48-1))*IF(J$43=1,Quesería!$B$12,1))*$B$10</f>
        <v>183.316856612443</v>
      </c>
      <c r="K53" s="35" t="n">
        <f aca="false">IF(K$43=0,($B$22*Quesería!$J$109+(1-$B$22)*Quesería!$E$105)*Quesería!$B$12*Quesería!$B$13/12*$B$23,(($B$22*Quesería!$J$109+(1-$B$22)*Quesería!$E$105)+($B$22*Quesería!$J$92+(1-$B$22)*Quesería!$E$92)*(K48-1))*IF(K$43=1,Quesería!$B$12,1))*$B$10</f>
        <v>183.3794934313</v>
      </c>
      <c r="L53" s="35" t="n">
        <f aca="false">IF(L$43=0,($B$22*Quesería!$J$109+(1-$B$22)*Quesería!$E$105)*Quesería!$B$12*Quesería!$B$13/12*$B$23,(($B$22*Quesería!$J$109+(1-$B$22)*Quesería!$E$105)+($B$22*Quesería!$J$92+(1-$B$22)*Quesería!$E$92)*(L48-1))*IF(L$43=1,Quesería!$B$12,1))*$B$10</f>
        <v>183.442443434251</v>
      </c>
    </row>
    <row r="54" customFormat="false" ht="15" hidden="false" customHeight="false" outlineLevel="0" collapsed="false">
      <c r="A54" s="6" t="s">
        <v>261</v>
      </c>
      <c r="B54" s="35" t="n">
        <f aca="false">IF(B$43&lt;=1,0,((($B$22*Quesería!$J$110+(1-$B$22)*Quesería!$E$106)-($B$22*Quesería!$J$99+(1-$B$22)*Quesería!$E$99)+$B$6*($B$22*Quesería!$J$99+(1-$B$22)*Quesería!$E$99)-(1-$B$9)*($B$22*Quesería!$J$102+(1-$B$22)*Quesería!$E$102))+($B$6*($B$22*Quesería!$J$99+(1-$B$22)*Quesería!$E$99)+$B$9*($B$22*Quesería!$J$102+(1-$B$22)*Quesería!$E$102))*(B48-1))*IF(B$43=2,Quesería!$B$12,1)+IF(B$43=2,Quesería!$B$14*$B$9*($B$22*Quesería!$J$102+(1-$B$22)*Quesería!$E$102)*B48,0))*$B$10*$B$21</f>
        <v>0</v>
      </c>
      <c r="C54" s="35" t="n">
        <f aca="false">IF(C$43&lt;=1,0,((($B$22*Quesería!$J$110+(1-$B$22)*Quesería!$E$106)-($B$22*Quesería!$J$99+(1-$B$22)*Quesería!$E$99)+$B$6*($B$22*Quesería!$J$99+(1-$B$22)*Quesería!$E$99)-(1-$B$9)*($B$22*Quesería!$J$102+(1-$B$22)*Quesería!$E$102))+($B$6*($B$22*Quesería!$J$99+(1-$B$22)*Quesería!$E$99)+$B$9*($B$22*Quesería!$J$102+(1-$B$22)*Quesería!$E$102))*(C48-1))*IF(C$43=2,Quesería!$B$12,1)+IF(C$43=2,Quesería!$B$14*$B$9*($B$22*Quesería!$J$102+(1-$B$22)*Quesería!$E$102)*C48,0))*$B$10*$B$21</f>
        <v>0</v>
      </c>
      <c r="D54" s="35" t="n">
        <f aca="false">IF(D$43&lt;=1,0,((($B$22*Quesería!$J$110+(1-$B$22)*Quesería!$E$106)-($B$22*Quesería!$J$99+(1-$B$22)*Quesería!$E$99)+$B$6*($B$22*Quesería!$J$99+(1-$B$22)*Quesería!$E$99)-(1-$B$9)*($B$22*Quesería!$J$102+(1-$B$22)*Quesería!$E$102))+($B$6*($B$22*Quesería!$J$99+(1-$B$22)*Quesería!$E$99)+$B$9*($B$22*Quesería!$J$102+(1-$B$22)*Quesería!$E$102))*(D48-1))*IF(D$43=2,Quesería!$B$12,1)+IF(D$43=2,Quesería!$B$14*$B$9*($B$22*Quesería!$J$102+(1-$B$22)*Quesería!$E$102)*D48,0))*$B$10*$B$21</f>
        <v>197.837804186257</v>
      </c>
      <c r="E54" s="35" t="n">
        <f aca="false">IF(E$43&lt;=1,0,((($B$22*Quesería!$J$110+(1-$B$22)*Quesería!$E$106)-($B$22*Quesería!$J$99+(1-$B$22)*Quesería!$E$99)+$B$6*($B$22*Quesería!$J$99+(1-$B$22)*Quesería!$E$99)-(1-$B$9)*($B$22*Quesería!$J$102+(1-$B$22)*Quesería!$E$102))+($B$6*($B$22*Quesería!$J$99+(1-$B$22)*Quesería!$E$99)+$B$9*($B$22*Quesería!$J$102+(1-$B$22)*Quesería!$E$102))*(E48-1))*IF(E$43=2,Quesería!$B$12,1)+IF(E$43=2,Quesería!$B$14*$B$9*($B$22*Quesería!$J$102+(1-$B$22)*Quesería!$E$102)*E48,0))*$B$10*$B$21</f>
        <v>234.441939047038</v>
      </c>
      <c r="F54" s="35" t="n">
        <f aca="false">IF(F$43&lt;=1,0,((($B$22*Quesería!$J$110+(1-$B$22)*Quesería!$E$106)-($B$22*Quesería!$J$99+(1-$B$22)*Quesería!$E$99)+$B$6*($B$22*Quesería!$J$99+(1-$B$22)*Quesería!$E$99)-(1-$B$9)*($B$22*Quesería!$J$102+(1-$B$22)*Quesería!$E$102))+($B$6*($B$22*Quesería!$J$99+(1-$B$22)*Quesería!$E$99)+$B$9*($B$22*Quesería!$J$102+(1-$B$22)*Quesería!$E$102))*(F48-1))*IF(F$43=2,Quesería!$B$12,1)+IF(F$43=2,Quesería!$B$14*$B$9*($B$22*Quesería!$J$102+(1-$B$22)*Quesería!$E$102)*F48,0))*$B$10*$B$21</f>
        <v>234.877078770292</v>
      </c>
      <c r="G54" s="35" t="n">
        <f aca="false">IF(G$43&lt;=1,0,((($B$22*Quesería!$J$110+(1-$B$22)*Quesería!$E$106)-($B$22*Quesería!$J$99+(1-$B$22)*Quesería!$E$99)+$B$6*($B$22*Quesería!$J$99+(1-$B$22)*Quesería!$E$99)-(1-$B$9)*($B$22*Quesería!$J$102+(1-$B$22)*Quesería!$E$102))+($B$6*($B$22*Quesería!$J$99+(1-$B$22)*Quesería!$E$99)+$B$9*($B$22*Quesería!$J$102+(1-$B$22)*Quesería!$E$102))*(G48-1))*IF(G$43=2,Quesería!$B$12,1)+IF(G$43=2,Quesería!$B$14*$B$9*($B$22*Quesería!$J$102+(1-$B$22)*Quesería!$E$102)*G48,0))*$B$10*$B$21</f>
        <v>235.314394192163</v>
      </c>
      <c r="H54" s="35" t="n">
        <f aca="false">IF(H$43&lt;=1,0,((($B$22*Quesería!$J$110+(1-$B$22)*Quesería!$E$106)-($B$22*Quesería!$J$99+(1-$B$22)*Quesería!$E$99)+$B$6*($B$22*Quesería!$J$99+(1-$B$22)*Quesería!$E$99)-(1-$B$9)*($B$22*Quesería!$J$102+(1-$B$22)*Quesería!$E$102))+($B$6*($B$22*Quesería!$J$99+(1-$B$22)*Quesería!$E$99)+$B$9*($B$22*Quesería!$J$102+(1-$B$22)*Quesería!$E$102))*(H48-1))*IF(H$43=2,Quesería!$B$12,1)+IF(H$43=2,Quesería!$B$14*$B$9*($B$22*Quesería!$J$102+(1-$B$22)*Quesería!$E$102)*H48,0))*$B$10*$B$21</f>
        <v>235.753896191143</v>
      </c>
      <c r="I54" s="35" t="n">
        <f aca="false">IF(I$43&lt;=1,0,((($B$22*Quesería!$J$110+(1-$B$22)*Quesería!$E$106)-($B$22*Quesería!$J$99+(1-$B$22)*Quesería!$E$99)+$B$6*($B$22*Quesería!$J$99+(1-$B$22)*Quesería!$E$99)-(1-$B$9)*($B$22*Quesería!$J$102+(1-$B$22)*Quesería!$E$102))+($B$6*($B$22*Quesería!$J$99+(1-$B$22)*Quesería!$E$99)+$B$9*($B$22*Quesería!$J$102+(1-$B$22)*Quesería!$E$102))*(I48-1))*IF(I$43=2,Quesería!$B$12,1)+IF(I$43=2,Quesería!$B$14*$B$9*($B$22*Quesería!$J$102+(1-$B$22)*Quesería!$E$102)*I48,0))*$B$10*$B$21</f>
        <v>236.195595700118</v>
      </c>
      <c r="J54" s="35" t="n">
        <f aca="false">IF(J$43&lt;=1,0,((($B$22*Quesería!$J$110+(1-$B$22)*Quesería!$E$106)-($B$22*Quesería!$J$99+(1-$B$22)*Quesería!$E$99)+$B$6*($B$22*Quesería!$J$99+(1-$B$22)*Quesería!$E$99)-(1-$B$9)*($B$22*Quesería!$J$102+(1-$B$22)*Quesería!$E$102))+($B$6*($B$22*Quesería!$J$99+(1-$B$22)*Quesería!$E$99)+$B$9*($B$22*Quesería!$J$102+(1-$B$22)*Quesería!$E$102))*(J48-1))*IF(J$43=2,Quesería!$B$12,1)+IF(J$43=2,Quesería!$B$14*$B$9*($B$22*Quesería!$J$102+(1-$B$22)*Quesería!$E$102)*J48,0))*$B$10*$B$21</f>
        <v>236.639503706638</v>
      </c>
      <c r="K54" s="35" t="n">
        <f aca="false">IF(K$43&lt;=1,0,((($B$22*Quesería!$J$110+(1-$B$22)*Quesería!$E$106)-($B$22*Quesería!$J$99+(1-$B$22)*Quesería!$E$99)+$B$6*($B$22*Quesería!$J$99+(1-$B$22)*Quesería!$E$99)-(1-$B$9)*($B$22*Quesería!$J$102+(1-$B$22)*Quesería!$E$102))+($B$6*($B$22*Quesería!$J$99+(1-$B$22)*Quesería!$E$99)+$B$9*($B$22*Quesería!$J$102+(1-$B$22)*Quesería!$E$102))*(K48-1))*IF(K$43=2,Quesería!$B$12,1)+IF(K$43=2,Quesería!$B$14*$B$9*($B$22*Quesería!$J$102+(1-$B$22)*Quesería!$E$102)*K48,0))*$B$10*$B$21</f>
        <v>237.08563125319</v>
      </c>
      <c r="L54" s="35" t="n">
        <f aca="false">IF(L$43&lt;=1,0,((($B$22*Quesería!$J$110+(1-$B$22)*Quesería!$E$106)-($B$22*Quesería!$J$99+(1-$B$22)*Quesería!$E$99)+$B$6*($B$22*Quesería!$J$99+(1-$B$22)*Quesería!$E$99)-(1-$B$9)*($B$22*Quesería!$J$102+(1-$B$22)*Quesería!$E$102))+($B$6*($B$22*Quesería!$J$99+(1-$B$22)*Quesería!$E$99)+$B$9*($B$22*Quesería!$J$102+(1-$B$22)*Quesería!$E$102))*(L48-1))*IF(L$43=2,Quesería!$B$12,1)+IF(L$43=2,Quesería!$B$14*$B$9*($B$22*Quesería!$J$102+(1-$B$22)*Quesería!$E$102)*L48,0))*$B$10*$B$21</f>
        <v>237.533989437476</v>
      </c>
    </row>
    <row r="55" customFormat="false" ht="15" hidden="false" customHeight="false" outlineLevel="0" collapsed="false">
      <c r="A55" s="5" t="s">
        <v>287</v>
      </c>
      <c r="B55" s="10" t="n">
        <f aca="false">B53+B54</f>
        <v>45.6373732102639</v>
      </c>
      <c r="C55" s="10" t="n">
        <f aca="false">C53+C54</f>
        <v>137.165278593056</v>
      </c>
      <c r="D55" s="10" t="n">
        <f aca="false">D53+D54</f>
        <v>380.785330036747</v>
      </c>
      <c r="E55" s="10" t="n">
        <f aca="false">E53+E54</f>
        <v>417.450255062574</v>
      </c>
      <c r="F55" s="10" t="n">
        <f aca="false">F53+F54</f>
        <v>417.946488901701</v>
      </c>
      <c r="G55" s="10" t="n">
        <f aca="false">G53+G54</f>
        <v>418.445203910024</v>
      </c>
      <c r="H55" s="10" t="n">
        <f aca="false">H53+H54</f>
        <v>418.946412493388</v>
      </c>
      <c r="I55" s="10" t="n">
        <f aca="false">I53+I54</f>
        <v>419.450127119669</v>
      </c>
      <c r="J55" s="10" t="n">
        <f aca="false">J53+J54</f>
        <v>419.956360319081</v>
      </c>
      <c r="K55" s="10" t="n">
        <f aca="false">K53+K54</f>
        <v>420.465124684491</v>
      </c>
      <c r="L55" s="10" t="n">
        <f aca="false">L53+L54</f>
        <v>420.976432871727</v>
      </c>
    </row>
    <row r="56" customFormat="false" ht="15" hidden="false" customHeight="false" outlineLevel="0" collapsed="false">
      <c r="A56" s="6" t="s">
        <v>288</v>
      </c>
      <c r="B56" s="35" t="n">
        <f aca="false">(IF(B$43&gt;=1,(Quesería!$B$21+Quesería!$B$54)*Quesería!$F$82*$B$11+Quesería!$B$22+'Beneficios y costos'!$B$118,0)+IF(B$43&gt;=2,((Quesería!$B$21+Quesería!$B$54)*Quesería!$F$83*$B$11+'Beneficios y costos'!$C$118)*$B$21,0))*$B$12</f>
        <v>0</v>
      </c>
      <c r="C56" s="35" t="n">
        <f aca="false">(IF(C$43&gt;=1,(Quesería!$B$21+Quesería!$B$54)*Quesería!$F$82*$B$11+Quesería!$B$22+'Beneficios y costos'!$B$118,0)+IF(C$43&gt;=2,((Quesería!$B$21+Quesería!$B$54)*Quesería!$F$83*$B$11+'Beneficios y costos'!$C$118)*$B$21,0))*$B$12</f>
        <v>36.8921528634167</v>
      </c>
      <c r="D56" s="35" t="n">
        <f aca="false">(IF(D$43&gt;=1,(Quesería!$B$21+Quesería!$B$54)*Quesería!$F$82*$B$11+Quesería!$B$22+'Beneficios y costos'!$B$118,0)+IF(D$43&gt;=2,((Quesería!$B$21+Quesería!$B$54)*Quesería!$F$83*$B$11+'Beneficios y costos'!$C$118)*$B$21,0))*$B$12</f>
        <v>88.8065043646377</v>
      </c>
      <c r="E56" s="35" t="n">
        <f aca="false">(IF(E$43&gt;=1,(Quesería!$B$21+Quesería!$B$54)*Quesería!$F$82*$B$11+Quesería!$B$22+'Beneficios y costos'!$B$118,0)+IF(E$43&gt;=2,((Quesería!$B$21+Quesería!$B$54)*Quesería!$F$83*$B$11+'Beneficios y costos'!$C$118)*$B$21,0))*$B$12</f>
        <v>88.8065043646377</v>
      </c>
      <c r="F56" s="35" t="n">
        <f aca="false">(IF(F$43&gt;=1,(Quesería!$B$21+Quesería!$B$54)*Quesería!$F$82*$B$11+Quesería!$B$22+'Beneficios y costos'!$B$118,0)+IF(F$43&gt;=2,((Quesería!$B$21+Quesería!$B$54)*Quesería!$F$83*$B$11+'Beneficios y costos'!$C$118)*$B$21,0))*$B$12</f>
        <v>88.8065043646377</v>
      </c>
      <c r="G56" s="35" t="n">
        <f aca="false">(IF(G$43&gt;=1,(Quesería!$B$21+Quesería!$B$54)*Quesería!$F$82*$B$11+Quesería!$B$22+'Beneficios y costos'!$B$118,0)+IF(G$43&gt;=2,((Quesería!$B$21+Quesería!$B$54)*Quesería!$F$83*$B$11+'Beneficios y costos'!$C$118)*$B$21,0))*$B$12</f>
        <v>88.8065043646377</v>
      </c>
      <c r="H56" s="35" t="n">
        <f aca="false">(IF(H$43&gt;=1,(Quesería!$B$21+Quesería!$B$54)*Quesería!$F$82*$B$11+Quesería!$B$22+'Beneficios y costos'!$B$118,0)+IF(H$43&gt;=2,((Quesería!$B$21+Quesería!$B$54)*Quesería!$F$83*$B$11+'Beneficios y costos'!$C$118)*$B$21,0))*$B$12</f>
        <v>88.8065043646377</v>
      </c>
      <c r="I56" s="35" t="n">
        <f aca="false">(IF(I$43&gt;=1,(Quesería!$B$21+Quesería!$B$54)*Quesería!$F$82*$B$11+Quesería!$B$22+'Beneficios y costos'!$B$118,0)+IF(I$43&gt;=2,((Quesería!$B$21+Quesería!$B$54)*Quesería!$F$83*$B$11+'Beneficios y costos'!$C$118)*$B$21,0))*$B$12</f>
        <v>88.8065043646377</v>
      </c>
      <c r="J56" s="35" t="n">
        <f aca="false">(IF(J$43&gt;=1,(Quesería!$B$21+Quesería!$B$54)*Quesería!$F$82*$B$11+Quesería!$B$22+'Beneficios y costos'!$B$118,0)+IF(J$43&gt;=2,((Quesería!$B$21+Quesería!$B$54)*Quesería!$F$83*$B$11+'Beneficios y costos'!$C$118)*$B$21,0))*$B$12</f>
        <v>88.8065043646377</v>
      </c>
      <c r="K56" s="35" t="n">
        <f aca="false">(IF(K$43&gt;=1,(Quesería!$B$21+Quesería!$B$54)*Quesería!$F$82*$B$11+Quesería!$B$22+'Beneficios y costos'!$B$118,0)+IF(K$43&gt;=2,((Quesería!$B$21+Quesería!$B$54)*Quesería!$F$83*$B$11+'Beneficios y costos'!$C$118)*$B$21,0))*$B$12</f>
        <v>88.8065043646377</v>
      </c>
      <c r="L56" s="35" t="n">
        <f aca="false">(IF(L$43&gt;=1,(Quesería!$B$21+Quesería!$B$54)*Quesería!$F$82*$B$11+Quesería!$B$22+'Beneficios y costos'!$B$118,0)+IF(L$43&gt;=2,((Quesería!$B$21+Quesería!$B$54)*Quesería!$F$83*$B$11+'Beneficios y costos'!$C$118)*$B$21,0))*$B$12</f>
        <v>88.8065043646377</v>
      </c>
    </row>
    <row r="57" customFormat="false" ht="15" hidden="false" customHeight="false" outlineLevel="0" collapsed="false">
      <c r="A57" s="6" t="s">
        <v>289</v>
      </c>
      <c r="B57" s="35" t="n">
        <f aca="false">IF(B$43=1,2*Quesería!$B$33*Quesería!$B$34/12*B48,0)*$B$21</f>
        <v>0</v>
      </c>
      <c r="C57" s="35" t="n">
        <f aca="false">IF(C$43=1,2*Quesería!$B$33*Quesería!$B$34/12*C48,0)*$B$21</f>
        <v>18.5166509433962</v>
      </c>
      <c r="D57" s="35" t="n">
        <f aca="false">IF(D$43=1,2*Quesería!$B$33*Quesería!$B$34/12*D48,0)*$B$21</f>
        <v>0</v>
      </c>
      <c r="E57" s="35" t="n">
        <f aca="false">IF(E$43=1,2*Quesería!$B$33*Quesería!$B$34/12*E48,0)*$B$21</f>
        <v>0</v>
      </c>
      <c r="F57" s="35" t="n">
        <f aca="false">IF(F$43=1,2*Quesería!$B$33*Quesería!$B$34/12*F48,0)*$B$21</f>
        <v>0</v>
      </c>
      <c r="G57" s="35" t="n">
        <f aca="false">IF(G$43=1,2*Quesería!$B$33*Quesería!$B$34/12*G48,0)*$B$21</f>
        <v>0</v>
      </c>
      <c r="H57" s="35" t="n">
        <f aca="false">IF(H$43=1,2*Quesería!$B$33*Quesería!$B$34/12*H48,0)*$B$21</f>
        <v>0</v>
      </c>
      <c r="I57" s="35" t="n">
        <f aca="false">IF(I$43=1,2*Quesería!$B$33*Quesería!$B$34/12*I48,0)*$B$21</f>
        <v>0</v>
      </c>
      <c r="J57" s="35" t="n">
        <f aca="false">IF(J$43=1,2*Quesería!$B$33*Quesería!$B$34/12*J48,0)*$B$21</f>
        <v>0</v>
      </c>
      <c r="K57" s="35" t="n">
        <f aca="false">IF(K$43=1,2*Quesería!$B$33*Quesería!$B$34/12*K48,0)*$B$21</f>
        <v>0</v>
      </c>
      <c r="L57" s="35" t="n">
        <f aca="false">IF(L$43=1,2*Quesería!$B$33*Quesería!$B$34/12*L48,0)*$B$21</f>
        <v>0</v>
      </c>
    </row>
    <row r="58" customFormat="false" ht="15" hidden="false" customHeight="false" outlineLevel="0" collapsed="false">
      <c r="A58" s="6" t="s">
        <v>290</v>
      </c>
      <c r="B58" s="35" t="n">
        <f aca="false">Quesería!$B$45*(B50+B51+B52+B56+B57)</f>
        <v>2.88636599924197</v>
      </c>
      <c r="C58" s="35" t="n">
        <f aca="false">Quesería!$B$45*(C50+C51+C52+C56+C57)</f>
        <v>3.29312083686149</v>
      </c>
      <c r="D58" s="35" t="n">
        <f aca="false">Quesería!$B$45*(D50+D51+D52+D56+D57)</f>
        <v>0.355226017458551</v>
      </c>
      <c r="E58" s="35" t="n">
        <f aca="false">Quesería!$B$45*(E50+E51+E52+E56+E57)</f>
        <v>0.355226017458551</v>
      </c>
      <c r="F58" s="35" t="n">
        <f aca="false">Quesería!$B$45*(F50+F51+F52+F56+F57)</f>
        <v>0.355226017458551</v>
      </c>
      <c r="G58" s="35" t="n">
        <f aca="false">Quesería!$B$45*(G50+G51+G52+G56+G57)</f>
        <v>0.482159350791884</v>
      </c>
      <c r="H58" s="35" t="n">
        <f aca="false">Quesería!$B$45*(H50+H51+H52+H56+H57)</f>
        <v>0.523275690008284</v>
      </c>
      <c r="I58" s="35" t="n">
        <f aca="false">Quesería!$B$45*(I50+I51+I52+I56+I57)</f>
        <v>0.355226017458551</v>
      </c>
      <c r="J58" s="35" t="n">
        <f aca="false">Quesería!$B$45*(J50+J51+J52+J56+J57)</f>
        <v>0.355226017458551</v>
      </c>
      <c r="K58" s="35" t="n">
        <f aca="false">Quesería!$B$45*(K50+K51+K52+K56+K57)</f>
        <v>0.355226017458551</v>
      </c>
      <c r="L58" s="35" t="n">
        <f aca="false">Quesería!$B$45*(L50+L51+L52+L56+L57)</f>
        <v>0.355226017458551</v>
      </c>
    </row>
    <row r="59" customFormat="false" ht="15" hidden="false" customHeight="false" outlineLevel="0" collapsed="false">
      <c r="A59" s="6" t="s">
        <v>291</v>
      </c>
      <c r="B59" s="35" t="n">
        <f aca="false">(IF($B$19=1,(SUMPRODUCT((Quesería!$C$62:$C$77=0)*(Quesería!$J$62:$J$77&gt;0)*(B$43&gt;=1)*(B$43&lt;=Quesería!$J$62:$J$77)*(Quesería!$H$62:$H$77&gt;0)*Quesería!$F$62:$F$77*(1+Quesería!$I$62:$I$77)/(Quesería!$J$62:$J$77+(Quesería!$J$62:$J$77=0)))+SUMPRODUCT((Quesería!$C$62:$C$77=0)*(Quesería!$J$62:$J$77=0)*(B$43=0)*(Quesería!$H$62:$H$77&gt;0)*Quesería!$F$62:$F$77*(1+Quesería!$I$62:$I$77)))*$B$47+(SUMPRODUCT((Quesería!$C$62:$C$77=1)*(Quesería!$J$62:$J$77&gt;0)*(B$43&gt;=2)*(B$43&lt;=Quesería!$J$62:$J$77+1)*(Quesería!$H$62:$H$77&gt;0)*Quesería!$F$62:$F$77*(1+Quesería!$I$62:$I$77)/(Quesería!$J$62:$J$77+(Quesería!$J$62:$J$77=0)))+SUMPRODUCT((Quesería!$C$62:$C$77=1)*(Quesería!$J$62:$J$77=0)*(B$43=1)*(Quesería!$H$62:$H$77&gt;0)*Quesería!$F$62:$F$77*(1+Quesería!$I$62:$I$77)))*$C$47*$B$21,IF(AND(B$43&gt;=1,B$43&lt;=Quesería!$B$11),Quesería!$F$80/Quesería!$B$11,0)*$B$47+IF(AND(B$43&gt;=2,B$43&lt;=Quesería!$B$11+1),Quesería!$F$81/Quesería!$B$11,0)*$C$47*$B$21)*$B$11+IF(AND(B$43&gt;=6,B$43&lt;=10),$G51*$G47/5,0)+IF(AND(B$43&gt;=7,B$43&lt;=11),$H51*$H47/5,0))*B49</f>
        <v>99.3600691219113</v>
      </c>
      <c r="C59" s="35" t="n">
        <f aca="false">(IF($B$19=1,(SUMPRODUCT((Quesería!$C$62:$C$77=0)*(Quesería!$J$62:$J$77&gt;0)*(C$43&gt;=1)*(C$43&lt;=Quesería!$J$62:$J$77)*(Quesería!$H$62:$H$77&gt;0)*Quesería!$F$62:$F$77*(1+Quesería!$I$62:$I$77)/(Quesería!$J$62:$J$77+(Quesería!$J$62:$J$77=0)))+SUMPRODUCT((Quesería!$C$62:$C$77=0)*(Quesería!$J$62:$J$77=0)*(C$43=0)*(Quesería!$H$62:$H$77&gt;0)*Quesería!$F$62:$F$77*(1+Quesería!$I$62:$I$77)))*$B$47+(SUMPRODUCT((Quesería!$C$62:$C$77=1)*(Quesería!$J$62:$J$77&gt;0)*(C$43&gt;=2)*(C$43&lt;=Quesería!$J$62:$J$77+1)*(Quesería!$H$62:$H$77&gt;0)*Quesería!$F$62:$F$77*(1+Quesería!$I$62:$I$77)/(Quesería!$J$62:$J$77+(Quesería!$J$62:$J$77=0)))+SUMPRODUCT((Quesería!$C$62:$C$77=1)*(Quesería!$J$62:$J$77=0)*(C$43=1)*(Quesería!$H$62:$H$77&gt;0)*Quesería!$F$62:$F$77*(1+Quesería!$I$62:$I$77)))*$C$47*$B$21,IF(AND(C$43&gt;=1,C$43&lt;=Quesería!$B$11),Quesería!$F$80/Quesería!$B$11,0)*$B$47+IF(AND(C$43&gt;=2,C$43&lt;=Quesería!$B$11+1),Quesería!$F$81/Quesería!$B$11,0)*$C$47*$B$21)*$B$11+IF(AND(C$43&gt;=6,C$43&lt;=10),$G51*$G47/5,0)+IF(AND(C$43&gt;=7,C$43&lt;=11),$H51*$H47/5,0))*C49</f>
        <v>57.1000211302053</v>
      </c>
      <c r="D59" s="35" t="n">
        <f aca="false">(IF($B$19=1,(SUMPRODUCT((Quesería!$C$62:$C$77=0)*(Quesería!$J$62:$J$77&gt;0)*(D$43&gt;=1)*(D$43&lt;=Quesería!$J$62:$J$77)*(Quesería!$H$62:$H$77&gt;0)*Quesería!$F$62:$F$77*(1+Quesería!$I$62:$I$77)/(Quesería!$J$62:$J$77+(Quesería!$J$62:$J$77=0)))+SUMPRODUCT((Quesería!$C$62:$C$77=0)*(Quesería!$J$62:$J$77=0)*(D$43=0)*(Quesería!$H$62:$H$77&gt;0)*Quesería!$F$62:$F$77*(1+Quesería!$I$62:$I$77)))*$B$47+(SUMPRODUCT((Quesería!$C$62:$C$77=1)*(Quesería!$J$62:$J$77&gt;0)*(D$43&gt;=2)*(D$43&lt;=Quesería!$J$62:$J$77+1)*(Quesería!$H$62:$H$77&gt;0)*Quesería!$F$62:$F$77*(1+Quesería!$I$62:$I$77)/(Quesería!$J$62:$J$77+(Quesería!$J$62:$J$77=0)))+SUMPRODUCT((Quesería!$C$62:$C$77=1)*(Quesería!$J$62:$J$77=0)*(D$43=1)*(Quesería!$H$62:$H$77&gt;0)*Quesería!$F$62:$F$77*(1+Quesería!$I$62:$I$77)))*$C$47*$B$21,IF(AND(D$43&gt;=1,D$43&lt;=Quesería!$B$11),Quesería!$F$80/Quesería!$B$11,0)*$B$47+IF(AND(D$43&gt;=2,D$43&lt;=Quesería!$B$11+1),Quesería!$F$81/Quesería!$B$11,0)*$C$47*$B$21)*$B$11+IF(AND(D$43&gt;=6,D$43&lt;=10),$G51*$G47/5,0)+IF(AND(D$43&gt;=7,D$43&lt;=11),$H51*$H47/5,0))*D49</f>
        <v>116.389502380926</v>
      </c>
      <c r="E59" s="35" t="n">
        <f aca="false">(IF($B$19=1,(SUMPRODUCT((Quesería!$C$62:$C$77=0)*(Quesería!$J$62:$J$77&gt;0)*(E$43&gt;=1)*(E$43&lt;=Quesería!$J$62:$J$77)*(Quesería!$H$62:$H$77&gt;0)*Quesería!$F$62:$F$77*(1+Quesería!$I$62:$I$77)/(Quesería!$J$62:$J$77+(Quesería!$J$62:$J$77=0)))+SUMPRODUCT((Quesería!$C$62:$C$77=0)*(Quesería!$J$62:$J$77=0)*(E$43=0)*(Quesería!$H$62:$H$77&gt;0)*Quesería!$F$62:$F$77*(1+Quesería!$I$62:$I$77)))*$B$47+(SUMPRODUCT((Quesería!$C$62:$C$77=1)*(Quesería!$J$62:$J$77&gt;0)*(E$43&gt;=2)*(E$43&lt;=Quesería!$J$62:$J$77+1)*(Quesería!$H$62:$H$77&gt;0)*Quesería!$F$62:$F$77*(1+Quesería!$I$62:$I$77)/(Quesería!$J$62:$J$77+(Quesería!$J$62:$J$77=0)))+SUMPRODUCT((Quesería!$C$62:$C$77=1)*(Quesería!$J$62:$J$77=0)*(E$43=1)*(Quesería!$H$62:$H$77&gt;0)*Quesería!$F$62:$F$77*(1+Quesería!$I$62:$I$77)))*$C$47*$B$21,IF(AND(E$43&gt;=1,E$43&lt;=Quesería!$B$11),Quesería!$F$80/Quesería!$B$11,0)*$B$47+IF(AND(E$43&gt;=2,E$43&lt;=Quesería!$B$11+1),Quesería!$F$81/Quesería!$B$11,0)*$C$47*$B$21)*$B$11+IF(AND(E$43&gt;=6,E$43&lt;=10),$G51*$G47/5,0)+IF(AND(E$43&gt;=7,E$43&lt;=11),$H51*$H47/5,0))*E49</f>
        <v>111.912983058583</v>
      </c>
      <c r="F59" s="35" t="n">
        <f aca="false">(IF($B$19=1,(SUMPRODUCT((Quesería!$C$62:$C$77=0)*(Quesería!$J$62:$J$77&gt;0)*(F$43&gt;=1)*(F$43&lt;=Quesería!$J$62:$J$77)*(Quesería!$H$62:$H$77&gt;0)*Quesería!$F$62:$F$77*(1+Quesería!$I$62:$I$77)/(Quesería!$J$62:$J$77+(Quesería!$J$62:$J$77=0)))+SUMPRODUCT((Quesería!$C$62:$C$77=0)*(Quesería!$J$62:$J$77=0)*(F$43=0)*(Quesería!$H$62:$H$77&gt;0)*Quesería!$F$62:$F$77*(1+Quesería!$I$62:$I$77)))*$B$47+(SUMPRODUCT((Quesería!$C$62:$C$77=1)*(Quesería!$J$62:$J$77&gt;0)*(F$43&gt;=2)*(F$43&lt;=Quesería!$J$62:$J$77+1)*(Quesería!$H$62:$H$77&gt;0)*Quesería!$F$62:$F$77*(1+Quesería!$I$62:$I$77)/(Quesería!$J$62:$J$77+(Quesería!$J$62:$J$77=0)))+SUMPRODUCT((Quesería!$C$62:$C$77=1)*(Quesería!$J$62:$J$77=0)*(F$43=1)*(Quesería!$H$62:$H$77&gt;0)*Quesería!$F$62:$F$77*(1+Quesería!$I$62:$I$77)))*$C$47*$B$21,IF(AND(F$43&gt;=1,F$43&lt;=Quesería!$B$11),Quesería!$F$80/Quesería!$B$11,0)*$B$47+IF(AND(F$43&gt;=2,F$43&lt;=Quesería!$B$11+1),Quesería!$F$81/Quesería!$B$11,0)*$C$47*$B$21)*$B$11+IF(AND(F$43&gt;=6,F$43&lt;=10),$G51*$G47/5,0)+IF(AND(F$43&gt;=7,F$43&lt;=11),$H51*$H47/5,0))*F49</f>
        <v>107.608637556329</v>
      </c>
      <c r="G59" s="35" t="n">
        <f aca="false">(IF($B$19=1,(SUMPRODUCT((Quesería!$C$62:$C$77=0)*(Quesería!$J$62:$J$77&gt;0)*(G$43&gt;=1)*(G$43&lt;=Quesería!$J$62:$J$77)*(Quesería!$H$62:$H$77&gt;0)*Quesería!$F$62:$F$77*(1+Quesería!$I$62:$I$77)/(Quesería!$J$62:$J$77+(Quesería!$J$62:$J$77=0)))+SUMPRODUCT((Quesería!$C$62:$C$77=0)*(Quesería!$J$62:$J$77=0)*(G$43=0)*(Quesería!$H$62:$H$77&gt;0)*Quesería!$F$62:$F$77*(1+Quesería!$I$62:$I$77)))*$B$47+(SUMPRODUCT((Quesería!$C$62:$C$77=1)*(Quesería!$J$62:$J$77&gt;0)*(G$43&gt;=2)*(G$43&lt;=Quesería!$J$62:$J$77+1)*(Quesería!$H$62:$H$77&gt;0)*Quesería!$F$62:$F$77*(1+Quesería!$I$62:$I$77)/(Quesería!$J$62:$J$77+(Quesería!$J$62:$J$77=0)))+SUMPRODUCT((Quesería!$C$62:$C$77=1)*(Quesería!$J$62:$J$77=0)*(G$43=1)*(Quesería!$H$62:$H$77&gt;0)*Quesería!$F$62:$F$77*(1+Quesería!$I$62:$I$77)))*$C$47*$B$21,IF(AND(G$43&gt;=1,G$43&lt;=Quesería!$B$11),Quesería!$F$80/Quesería!$B$11,0)*$B$47+IF(AND(G$43&gt;=2,G$43&lt;=Quesería!$B$11+1),Quesería!$F$81/Quesería!$B$11,0)*$C$47*$B$21)*$B$11+IF(AND(G$43&gt;=6,G$43&lt;=10),$G51*$G47/5,0)+IF(AND(G$43&gt;=7,G$43&lt;=11),$H51*$H47/5,0))*G49</f>
        <v>103.469843804163</v>
      </c>
      <c r="H59" s="35" t="n">
        <f aca="false">(IF($B$19=1,(SUMPRODUCT((Quesería!$C$62:$C$77=0)*(Quesería!$J$62:$J$77&gt;0)*(H$43&gt;=1)*(H$43&lt;=Quesería!$J$62:$J$77)*(Quesería!$H$62:$H$77&gt;0)*Quesería!$F$62:$F$77*(1+Quesería!$I$62:$I$77)/(Quesería!$J$62:$J$77+(Quesería!$J$62:$J$77=0)))+SUMPRODUCT((Quesería!$C$62:$C$77=0)*(Quesería!$J$62:$J$77=0)*(H$43=0)*(Quesería!$H$62:$H$77&gt;0)*Quesería!$F$62:$F$77*(1+Quesería!$I$62:$I$77)))*$B$47+(SUMPRODUCT((Quesería!$C$62:$C$77=1)*(Quesería!$J$62:$J$77&gt;0)*(H$43&gt;=2)*(H$43&lt;=Quesería!$J$62:$J$77+1)*(Quesería!$H$62:$H$77&gt;0)*Quesería!$F$62:$F$77*(1+Quesería!$I$62:$I$77)/(Quesería!$J$62:$J$77+(Quesería!$J$62:$J$77=0)))+SUMPRODUCT((Quesería!$C$62:$C$77=1)*(Quesería!$J$62:$J$77=0)*(H$43=1)*(Quesería!$H$62:$H$77&gt;0)*Quesería!$F$62:$F$77*(1+Quesería!$I$62:$I$77)))*$C$47*$B$21,IF(AND(H$43&gt;=1,H$43&lt;=Quesería!$B$11),Quesería!$F$80/Quesería!$B$11,0)*$B$47+IF(AND(H$43&gt;=2,H$43&lt;=Quesería!$B$11+1),Quesería!$F$81/Quesería!$B$11,0)*$C$47*$B$21)*$B$11+IF(AND(H$43&gt;=6,H$43&lt;=10),$G51*$G47/5,0)+IF(AND(H$43&gt;=7,H$43&lt;=11),$H51*$H47/5,0))*H49</f>
        <v>92.6731239063542</v>
      </c>
      <c r="I59" s="35" t="n">
        <f aca="false">(IF($B$19=1,(SUMPRODUCT((Quesería!$C$62:$C$77=0)*(Quesería!$J$62:$J$77&gt;0)*(I$43&gt;=1)*(I$43&lt;=Quesería!$J$62:$J$77)*(Quesería!$H$62:$H$77&gt;0)*Quesería!$F$62:$F$77*(1+Quesería!$I$62:$I$77)/(Quesería!$J$62:$J$77+(Quesería!$J$62:$J$77=0)))+SUMPRODUCT((Quesería!$C$62:$C$77=0)*(Quesería!$J$62:$J$77=0)*(I$43=0)*(Quesería!$H$62:$H$77&gt;0)*Quesería!$F$62:$F$77*(1+Quesería!$I$62:$I$77)))*$B$47+(SUMPRODUCT((Quesería!$C$62:$C$77=1)*(Quesería!$J$62:$J$77&gt;0)*(I$43&gt;=2)*(I$43&lt;=Quesería!$J$62:$J$77+1)*(Quesería!$H$62:$H$77&gt;0)*Quesería!$F$62:$F$77*(1+Quesería!$I$62:$I$77)/(Quesería!$J$62:$J$77+(Quesería!$J$62:$J$77=0)))+SUMPRODUCT((Quesería!$C$62:$C$77=1)*(Quesería!$J$62:$J$77=0)*(I$43=1)*(Quesería!$H$62:$H$77&gt;0)*Quesería!$F$62:$F$77*(1+Quesería!$I$62:$I$77)))*$C$47*$B$21,IF(AND(I$43&gt;=1,I$43&lt;=Quesería!$B$11),Quesería!$F$80/Quesería!$B$11,0)*$B$47+IF(AND(I$43&gt;=2,I$43&lt;=Quesería!$B$11+1),Quesería!$F$81/Quesería!$B$11,0)*$C$47*$B$21)*$B$11+IF(AND(I$43&gt;=6,I$43&lt;=10),$G51*$G47/5,0)+IF(AND(I$43&gt;=7,I$43&lt;=11),$H51*$H47/5,0))*I49</f>
        <v>95.8981101131611</v>
      </c>
      <c r="J59" s="35" t="n">
        <f aca="false">(IF($B$19=1,(SUMPRODUCT((Quesería!$C$62:$C$77=0)*(Quesería!$J$62:$J$77&gt;0)*(J$43&gt;=1)*(J$43&lt;=Quesería!$J$62:$J$77)*(Quesería!$H$62:$H$77&gt;0)*Quesería!$F$62:$F$77*(1+Quesería!$I$62:$I$77)/(Quesería!$J$62:$J$77+(Quesería!$J$62:$J$77=0)))+SUMPRODUCT((Quesería!$C$62:$C$77=0)*(Quesería!$J$62:$J$77=0)*(J$43=0)*(Quesería!$H$62:$H$77&gt;0)*Quesería!$F$62:$F$77*(1+Quesería!$I$62:$I$77)))*$B$47+(SUMPRODUCT((Quesería!$C$62:$C$77=1)*(Quesería!$J$62:$J$77&gt;0)*(J$43&gt;=2)*(J$43&lt;=Quesería!$J$62:$J$77+1)*(Quesería!$H$62:$H$77&gt;0)*Quesería!$F$62:$F$77*(1+Quesería!$I$62:$I$77)/(Quesería!$J$62:$J$77+(Quesería!$J$62:$J$77=0)))+SUMPRODUCT((Quesería!$C$62:$C$77=1)*(Quesería!$J$62:$J$77=0)*(J$43=1)*(Quesería!$H$62:$H$77&gt;0)*Quesería!$F$62:$F$77*(1+Quesería!$I$62:$I$77)))*$C$47*$B$21,IF(AND(J$43&gt;=1,J$43&lt;=Quesería!$B$11),Quesería!$F$80/Quesería!$B$11,0)*$B$47+IF(AND(J$43&gt;=2,J$43&lt;=Quesería!$B$11+1),Quesería!$F$81/Quesería!$B$11,0)*$C$47*$B$21)*$B$11+IF(AND(J$43&gt;=6,J$43&lt;=10),$G51*$G47/5,0)+IF(AND(J$43&gt;=7,J$43&lt;=11),$H51*$H47/5,0))*J49</f>
        <v>92.2097212626549</v>
      </c>
      <c r="K59" s="35" t="n">
        <f aca="false">(IF($B$19=1,(SUMPRODUCT((Quesería!$C$62:$C$77=0)*(Quesería!$J$62:$J$77&gt;0)*(K$43&gt;=1)*(K$43&lt;=Quesería!$J$62:$J$77)*(Quesería!$H$62:$H$77&gt;0)*Quesería!$F$62:$F$77*(1+Quesería!$I$62:$I$77)/(Quesería!$J$62:$J$77+(Quesería!$J$62:$J$77=0)))+SUMPRODUCT((Quesería!$C$62:$C$77=0)*(Quesería!$J$62:$J$77=0)*(K$43=0)*(Quesería!$H$62:$H$77&gt;0)*Quesería!$F$62:$F$77*(1+Quesería!$I$62:$I$77)))*$B$47+(SUMPRODUCT((Quesería!$C$62:$C$77=1)*(Quesería!$J$62:$J$77&gt;0)*(K$43&gt;=2)*(K$43&lt;=Quesería!$J$62:$J$77+1)*(Quesería!$H$62:$H$77&gt;0)*Quesería!$F$62:$F$77*(1+Quesería!$I$62:$I$77)/(Quesería!$J$62:$J$77+(Quesería!$J$62:$J$77=0)))+SUMPRODUCT((Quesería!$C$62:$C$77=1)*(Quesería!$J$62:$J$77=0)*(K$43=1)*(Quesería!$H$62:$H$77&gt;0)*Quesería!$F$62:$F$77*(1+Quesería!$I$62:$I$77)))*$C$47*$B$21,IF(AND(K$43&gt;=1,K$43&lt;=Quesería!$B$11),Quesería!$F$80/Quesería!$B$11,0)*$B$47+IF(AND(K$43&gt;=2,K$43&lt;=Quesería!$B$11+1),Quesería!$F$81/Quesería!$B$11,0)*$C$47*$B$21)*$B$11+IF(AND(K$43&gt;=6,K$43&lt;=10),$G51*$G47/5,0)+IF(AND(K$43&gt;=7,K$43&lt;=11),$H51*$H47/5,0))*K49</f>
        <v>88.6631935217835</v>
      </c>
      <c r="L59" s="35" t="n">
        <f aca="false">(IF($B$19=1,(SUMPRODUCT((Quesería!$C$62:$C$77=0)*(Quesería!$J$62:$J$77&gt;0)*(L$43&gt;=1)*(L$43&lt;=Quesería!$J$62:$J$77)*(Quesería!$H$62:$H$77&gt;0)*Quesería!$F$62:$F$77*(1+Quesería!$I$62:$I$77)/(Quesería!$J$62:$J$77+(Quesería!$J$62:$J$77=0)))+SUMPRODUCT((Quesería!$C$62:$C$77=0)*(Quesería!$J$62:$J$77=0)*(L$43=0)*(Quesería!$H$62:$H$77&gt;0)*Quesería!$F$62:$F$77*(1+Quesería!$I$62:$I$77)))*$B$47+(SUMPRODUCT((Quesería!$C$62:$C$77=1)*(Quesería!$J$62:$J$77&gt;0)*(L$43&gt;=2)*(L$43&lt;=Quesería!$J$62:$J$77+1)*(Quesería!$H$62:$H$77&gt;0)*Quesería!$F$62:$F$77*(1+Quesería!$I$62:$I$77)/(Quesería!$J$62:$J$77+(Quesería!$J$62:$J$77=0)))+SUMPRODUCT((Quesería!$C$62:$C$77=1)*(Quesería!$J$62:$J$77=0)*(L$43=1)*(Quesería!$H$62:$H$77&gt;0)*Quesería!$F$62:$F$77*(1+Quesería!$I$62:$I$77)))*$C$47*$B$21,IF(AND(L$43&gt;=1,L$43&lt;=Quesería!$B$11),Quesería!$F$80/Quesería!$B$11,0)*$B$47+IF(AND(L$43&gt;=2,L$43&lt;=Quesería!$B$11+1),Quesería!$F$81/Quesería!$B$11,0)*$C$47*$B$21)*$B$11+IF(AND(L$43&gt;=6,L$43&lt;=10),$G51*$G47/5,0)+IF(AND(L$43&gt;=7,L$43&lt;=11),$H51*$H47/5,0))*L49</f>
        <v>85.2530706940226</v>
      </c>
    </row>
    <row r="60" customFormat="false" ht="15" hidden="false" customHeight="false" outlineLevel="0" collapsed="false">
      <c r="A60" s="9" t="s">
        <v>292</v>
      </c>
      <c r="B60" s="36" t="n">
        <f aca="false">IF(B$43=1,MIN($B$7*Quesería!$B$35*Quesería!$F$75*$B$11*$B$21,Quesería!$B$50*Quesería!$B$51),0)</f>
        <v>0</v>
      </c>
      <c r="C60" s="36" t="n">
        <f aca="false">IF(C$43=1,MIN($B$7*Quesería!$B$35*Quesería!$F$75*$B$11*$B$21,Quesería!$B$50*Quesería!$B$51),0)</f>
        <v>20</v>
      </c>
      <c r="D60" s="36" t="n">
        <f aca="false">IF(D$43=1,MIN($B$7*Quesería!$B$35*Quesería!$F$75*$B$11*$B$21,Quesería!$B$50*Quesería!$B$51),0)</f>
        <v>0</v>
      </c>
      <c r="E60" s="36" t="n">
        <f aca="false">IF(E$43=1,MIN($B$7*Quesería!$B$35*Quesería!$F$75*$B$11*$B$21,Quesería!$B$50*Quesería!$B$51),0)</f>
        <v>0</v>
      </c>
      <c r="F60" s="36" t="n">
        <f aca="false">IF(F$43=1,MIN($B$7*Quesería!$B$35*Quesería!$F$75*$B$11*$B$21,Quesería!$B$50*Quesería!$B$51),0)</f>
        <v>0</v>
      </c>
      <c r="G60" s="36" t="n">
        <f aca="false">IF(G$43=1,MIN($B$7*Quesería!$B$35*Quesería!$F$75*$B$11*$B$21,Quesería!$B$50*Quesería!$B$51),0)</f>
        <v>0</v>
      </c>
      <c r="H60" s="36" t="n">
        <f aca="false">IF(H$43=1,MIN($B$7*Quesería!$B$35*Quesería!$F$75*$B$11*$B$21,Quesería!$B$50*Quesería!$B$51),0)</f>
        <v>0</v>
      </c>
      <c r="I60" s="36" t="n">
        <f aca="false">IF(I$43=1,MIN($B$7*Quesería!$B$35*Quesería!$F$75*$B$11*$B$21,Quesería!$B$50*Quesería!$B$51),0)</f>
        <v>0</v>
      </c>
      <c r="J60" s="36" t="n">
        <f aca="false">IF(J$43=1,MIN($B$7*Quesería!$B$35*Quesería!$F$75*$B$11*$B$21,Quesería!$B$50*Quesería!$B$51),0)</f>
        <v>0</v>
      </c>
      <c r="K60" s="36" t="n">
        <f aca="false">IF(K$43=1,MIN($B$7*Quesería!$B$35*Quesería!$F$75*$B$11*$B$21,Quesería!$B$50*Quesería!$B$51),0)</f>
        <v>0</v>
      </c>
      <c r="L60" s="36" t="n">
        <f aca="false">IF(L$43=1,MIN($B$7*Quesería!$B$35*Quesería!$F$75*$B$11*$B$21,Quesería!$B$50*Quesería!$B$51),0)</f>
        <v>0</v>
      </c>
    </row>
    <row r="61" customFormat="false" ht="15" hidden="false" customHeight="false" outlineLevel="0" collapsed="false">
      <c r="A61" s="9" t="s">
        <v>293</v>
      </c>
      <c r="B61" s="36" t="n">
        <v>0</v>
      </c>
      <c r="C61" s="36" t="n">
        <f aca="false">$B$20*Quesería!$B$52*Quesería!$F$86*$B$11*$B$47/C47</f>
        <v>166.879881289715</v>
      </c>
      <c r="D61" s="36" t="n">
        <v>0</v>
      </c>
      <c r="E61" s="36" t="n">
        <v>0</v>
      </c>
      <c r="F61" s="36" t="n">
        <v>0</v>
      </c>
      <c r="G61" s="36" t="n">
        <v>0</v>
      </c>
      <c r="H61" s="36" t="n">
        <v>0</v>
      </c>
      <c r="I61" s="36" t="n">
        <v>0</v>
      </c>
      <c r="J61" s="36" t="n">
        <v>0</v>
      </c>
      <c r="K61" s="36" t="n">
        <v>0</v>
      </c>
      <c r="L61" s="36" t="n">
        <v>0</v>
      </c>
    </row>
    <row r="62" customFormat="false" ht="15" hidden="false" customHeight="false" outlineLevel="0" collapsed="false">
      <c r="A62" s="9" t="s">
        <v>294</v>
      </c>
      <c r="B62" s="36" t="n">
        <f aca="false">0</f>
        <v>0</v>
      </c>
      <c r="C62" s="36" t="n">
        <f aca="false">B52*B47/C47</f>
        <v>94.6170242743742</v>
      </c>
      <c r="D62" s="36" t="n">
        <f aca="false">C52*C47/D47</f>
        <v>117.321834287022</v>
      </c>
      <c r="E62" s="36" t="n">
        <f aca="false">D52*D47/E47</f>
        <v>0</v>
      </c>
      <c r="F62" s="36" t="n">
        <f aca="false">E52*E47/F47</f>
        <v>0</v>
      </c>
      <c r="G62" s="36" t="n">
        <f aca="false">F52*F47/G47</f>
        <v>0</v>
      </c>
      <c r="H62" s="36" t="n">
        <f aca="false">G52*G47/H47</f>
        <v>4.87179487179487</v>
      </c>
      <c r="I62" s="36" t="n">
        <f aca="false">H52*H47/I47</f>
        <v>6.44987026996795</v>
      </c>
      <c r="J62" s="36" t="n">
        <f aca="false">I52*I47/J47</f>
        <v>0</v>
      </c>
      <c r="K62" s="36" t="n">
        <f aca="false">J52*J47/K47</f>
        <v>0</v>
      </c>
      <c r="L62" s="36" t="n">
        <f aca="false">K52*K47/L47</f>
        <v>0</v>
      </c>
    </row>
    <row r="63" customFormat="false" ht="15" hidden="false" customHeight="false" outlineLevel="0" collapsed="false">
      <c r="A63" s="6" t="s">
        <v>86</v>
      </c>
      <c r="B63" s="35" t="n">
        <f aca="false">$B$17*(B55-B56-B57-0.5*B58-B59)-B60-B61-B62</f>
        <v>-19.3080576189439</v>
      </c>
      <c r="C63" s="35" t="n">
        <f aca="false">$B$17*(C55-C56-C57-0.5*C58-C59)-C60-C61-C62</f>
        <v>-273.443442930927</v>
      </c>
      <c r="D63" s="35" t="n">
        <f aca="false">$B$17*(D55-D56-D57-0.5*D58-D59)-D60-D61-D62</f>
        <v>-55.9277356881633</v>
      </c>
      <c r="E63" s="35" t="n">
        <f aca="false">$B$17*(E55-E56-E57-0.5*E58-E59)-E60-E61-E62</f>
        <v>75.7936041207186</v>
      </c>
      <c r="F63" s="35" t="n">
        <f aca="false">$B$17*(F55-F56-F57-0.5*F58-F59)-F60-F61-F62</f>
        <v>77.4738068902017</v>
      </c>
      <c r="G63" s="35" t="n">
        <f aca="false">$B$17*(G55-G56-G57-0.5*G58-G59)-G60-G61-G62</f>
        <v>79.0747216230395</v>
      </c>
      <c r="H63" s="35" t="n">
        <f aca="false">$B$17*(H55-H56-H57-0.5*H58-H59)-H60-H61-H62</f>
        <v>78.1500063602923</v>
      </c>
      <c r="I63" s="35" t="n">
        <f aca="false">$B$17*(I55-I56-I57-0.5*I58-I59)-I60-I61-I62</f>
        <v>75.6488946016313</v>
      </c>
      <c r="J63" s="35" t="n">
        <f aca="false">$B$17*(J55-J56-J57-0.5*J58-J59)-J60-J61-J62</f>
        <v>83.5668825890707</v>
      </c>
      <c r="K63" s="35" t="n">
        <f aca="false">$B$17*(K55-K56-K57-0.5*K58-K59)-K60-K61-K62</f>
        <v>84.986234826269</v>
      </c>
      <c r="L63" s="35" t="n">
        <f aca="false">$B$17*(L55-L56-L57-0.5*L58-L59)-L60-L61-L62</f>
        <v>86.3587356815181</v>
      </c>
    </row>
    <row r="64" customFormat="false" ht="15" hidden="false" customHeight="false" outlineLevel="0" collapsed="false">
      <c r="A64" s="9" t="s">
        <v>295</v>
      </c>
      <c r="B64" s="36" t="n">
        <f aca="false">(IF(B$43&gt;=1,Quesería!$G$107*IF(B$43=1,Quesería!$B$12,1),Quesería!$G$107*Quesería!$B$12*Quesería!$B$13/12*$B$23)+IF(B$43&gt;=2,Quesería!$G$108*$B$21*IF(B$43=2,Quesería!$B$12,1),0))*$B$10</f>
        <v>26.8516916045565</v>
      </c>
      <c r="C64" s="36" t="n">
        <f aca="false">(IF(C$43&gt;=1,Quesería!$G$107*IF(C$43=1,Quesería!$B$12,1),Quesería!$G$107*Quesería!$B$12*Quesería!$B$13/12*$B$23)+IF(C$43&gt;=2,Quesería!$G$108*$B$21*IF(C$43=2,Quesería!$B$12,1),0))*$B$10</f>
        <v>80.5550748136695</v>
      </c>
      <c r="D64" s="36" t="n">
        <f aca="false">(IF(D$43&gt;=1,Quesería!$G$107*IF(D$43=1,Quesería!$B$12,1),Quesería!$G$107*Quesería!$B$12*Quesería!$B$13/12*$B$23)+IF(D$43&gt;=2,Quesería!$G$108*$B$21*IF(D$43=2,Quesería!$B$12,1),0))*$B$10</f>
        <v>189.651223070959</v>
      </c>
      <c r="E64" s="36" t="n">
        <f aca="false">(IF(E$43&gt;=1,Quesería!$G$107*IF(E$43=1,Quesería!$B$12,1),Quesería!$G$107*Quesería!$B$12*Quesería!$B$13/12*$B$23)+IF(E$43&gt;=2,Quesería!$G$108*$B$21*IF(E$43=2,Quesería!$B$12,1),0))*$B$10</f>
        <v>217.066041955203</v>
      </c>
      <c r="F64" s="36" t="n">
        <f aca="false">(IF(F$43&gt;=1,Quesería!$G$107*IF(F$43=1,Quesería!$B$12,1),Quesería!$G$107*Quesería!$B$12*Quesería!$B$13/12*$B$23)+IF(F$43&gt;=2,Quesería!$G$108*$B$21*IF(F$43=2,Quesería!$B$12,1),0))*$B$10</f>
        <v>217.066041955203</v>
      </c>
      <c r="G64" s="36" t="n">
        <f aca="false">(IF(G$43&gt;=1,Quesería!$G$107*IF(G$43=1,Quesería!$B$12,1),Quesería!$G$107*Quesería!$B$12*Quesería!$B$13/12*$B$23)+IF(G$43&gt;=2,Quesería!$G$108*$B$21*IF(G$43=2,Quesería!$B$12,1),0))*$B$10</f>
        <v>217.066041955203</v>
      </c>
      <c r="H64" s="36" t="n">
        <f aca="false">(IF(H$43&gt;=1,Quesería!$G$107*IF(H$43=1,Quesería!$B$12,1),Quesería!$G$107*Quesería!$B$12*Quesería!$B$13/12*$B$23)+IF(H$43&gt;=2,Quesería!$G$108*$B$21*IF(H$43=2,Quesería!$B$12,1),0))*$B$10</f>
        <v>217.066041955203</v>
      </c>
      <c r="I64" s="36" t="n">
        <f aca="false">(IF(I$43&gt;=1,Quesería!$G$107*IF(I$43=1,Quesería!$B$12,1),Quesería!$G$107*Quesería!$B$12*Quesería!$B$13/12*$B$23)+IF(I$43&gt;=2,Quesería!$G$108*$B$21*IF(I$43=2,Quesería!$B$12,1),0))*$B$10</f>
        <v>217.066041955203</v>
      </c>
      <c r="J64" s="36" t="n">
        <f aca="false">(IF(J$43&gt;=1,Quesería!$G$107*IF(J$43=1,Quesería!$B$12,1),Quesería!$G$107*Quesería!$B$12*Quesería!$B$13/12*$B$23)+IF(J$43&gt;=2,Quesería!$G$108*$B$21*IF(J$43=2,Quesería!$B$12,1),0))*$B$10</f>
        <v>217.066041955203</v>
      </c>
      <c r="K64" s="36" t="n">
        <f aca="false">(IF(K$43&gt;=1,Quesería!$G$107*IF(K$43=1,Quesería!$B$12,1),Quesería!$G$107*Quesería!$B$12*Quesería!$B$13/12*$B$23)+IF(K$43&gt;=2,Quesería!$G$108*$B$21*IF(K$43=2,Quesería!$B$12,1),0))*$B$10</f>
        <v>217.066041955203</v>
      </c>
      <c r="L64" s="36" t="n">
        <f aca="false">(IF(L$43&gt;=1,Quesería!$G$107*IF(L$43=1,Quesería!$B$12,1),Quesería!$G$107*Quesería!$B$12*Quesería!$B$13/12*$B$23)+IF(L$43&gt;=2,Quesería!$G$108*$B$21*IF(L$43=2,Quesería!$B$12,1),0))*$B$10</f>
        <v>217.066041955203</v>
      </c>
    </row>
    <row r="65" customFormat="false" ht="15" hidden="false" customHeight="false" outlineLevel="0" collapsed="false">
      <c r="A65" s="6" t="s">
        <v>296</v>
      </c>
      <c r="B65" s="35" t="n">
        <f aca="false">(B64*(Quesería!$B$23+Quesería!$B$25*Quesería!$B$24)/365-B56*Quesería!$B$26/365)</f>
        <v>2.50861009237089</v>
      </c>
      <c r="C65" s="35" t="n">
        <f aca="false">(C64*(Quesería!$B$23+Quesería!$B$25*Quesería!$B$24)/365-C56*Quesería!$B$26/365)-(B64*(Quesería!$B$23+Quesería!$B$25*Quesería!$B$24)/365-B56*Quesería!$B$26/365)*B47/C47</f>
        <v>2.91304119724236</v>
      </c>
      <c r="D65" s="35" t="n">
        <f aca="false">(D64*(Quesería!$B$23+Quesería!$B$25*Quesería!$B$24)/365-D56*Quesería!$B$26/365)-(C64*(Quesería!$B$23+Quesería!$B$25*Quesería!$B$24)/365-C56*Quesería!$B$26/365)*C47/D47</f>
        <v>7.29151021833416</v>
      </c>
      <c r="E65" s="35" t="n">
        <f aca="false">(E64*(Quesería!$B$23+Quesería!$B$25*Quesería!$B$24)/365-E56*Quesería!$B$26/365)-(D64*(Quesería!$B$23+Quesería!$B$25*Quesería!$B$24)/365-D56*Quesería!$B$26/365)*D47/E47</f>
        <v>3.03681159467532</v>
      </c>
      <c r="F65" s="35" t="n">
        <f aca="false">(F64*(Quesería!$B$23+Quesería!$B$25*Quesería!$B$24)/365-F56*Quesería!$B$26/365)-(E64*(Quesería!$B$23+Quesería!$B$25*Quesería!$B$24)/365-E56*Quesería!$B$26/365)*E47/F47</f>
        <v>0.574099993113848</v>
      </c>
      <c r="G65" s="35" t="n">
        <f aca="false">(G64*(Quesería!$B$23+Quesería!$B$25*Quesería!$B$24)/365-G56*Quesería!$B$26/365)-(F64*(Quesería!$B$23+Quesería!$B$25*Quesería!$B$24)/365-F56*Quesería!$B$26/365)*F47/G47</f>
        <v>0.574099993113849</v>
      </c>
      <c r="H65" s="35" t="n">
        <f aca="false">(H64*(Quesería!$B$23+Quesería!$B$25*Quesería!$B$24)/365-H56*Quesería!$B$26/365)-(G64*(Quesería!$B$23+Quesería!$B$25*Quesería!$B$24)/365-G56*Quesería!$B$26/365)*G47/H47</f>
        <v>0.574099993113848</v>
      </c>
      <c r="I65" s="35" t="n">
        <f aca="false">(I64*(Quesería!$B$23+Quesería!$B$25*Quesería!$B$24)/365-I56*Quesería!$B$26/365)-(H64*(Quesería!$B$23+Quesería!$B$25*Quesería!$B$24)/365-H56*Quesería!$B$26/365)*H47/I47</f>
        <v>0.574099993113846</v>
      </c>
      <c r="J65" s="35" t="n">
        <f aca="false">(J64*(Quesería!$B$23+Quesería!$B$25*Quesería!$B$24)/365-J56*Quesería!$B$26/365)-(I64*(Quesería!$B$23+Quesería!$B$25*Quesería!$B$24)/365-I56*Quesería!$B$26/365)*I47/J47</f>
        <v>0.574099993113849</v>
      </c>
      <c r="K65" s="35" t="n">
        <f aca="false">(K64*(Quesería!$B$23+Quesería!$B$25*Quesería!$B$24)/365-K56*Quesería!$B$26/365)-(J64*(Quesería!$B$23+Quesería!$B$25*Quesería!$B$24)/365-J56*Quesería!$B$26/365)*J47/K47</f>
        <v>0.574099993113848</v>
      </c>
      <c r="L65" s="35" t="n">
        <f aca="false">-(K64*(Quesería!$B$23+Quesería!$B$25*Quesería!$B$24)/365-K56*Quesería!$B$26/365)*K47/L47</f>
        <v>-14.3524998278462</v>
      </c>
    </row>
    <row r="66" customFormat="false" ht="15" hidden="false" customHeight="false" outlineLevel="0" collapsed="false">
      <c r="A66" s="6" t="s">
        <v>297</v>
      </c>
      <c r="B66" s="35" t="n">
        <v>0</v>
      </c>
      <c r="C66" s="35" t="n">
        <v>0</v>
      </c>
      <c r="D66" s="35" t="n">
        <v>0</v>
      </c>
      <c r="E66" s="35" t="n">
        <v>0</v>
      </c>
      <c r="F66" s="35" t="n">
        <v>0</v>
      </c>
      <c r="G66" s="35" t="n">
        <v>0</v>
      </c>
      <c r="H66" s="35" t="n">
        <v>0</v>
      </c>
      <c r="I66" s="35" t="n">
        <v>0</v>
      </c>
      <c r="J66" s="35" t="n">
        <v>0</v>
      </c>
      <c r="K66" s="35" t="n">
        <v>0</v>
      </c>
      <c r="L66" s="35" t="n">
        <f aca="false">$B$8*Quesería!$B$39*(Quesería!$F$82+Quesería!$F$83*$B$21)*$B$11*(1-$B$17)</f>
        <v>56.0502928201667</v>
      </c>
    </row>
    <row r="67" customFormat="false" ht="15" hidden="false" customHeight="false" outlineLevel="0" collapsed="false">
      <c r="A67" s="5" t="s">
        <v>298</v>
      </c>
      <c r="B67" s="37" t="n">
        <f aca="false">B55-B56-B57-B58-B63-B50-B51-B52-B65+B66</f>
        <v>-662.041045072899</v>
      </c>
      <c r="C67" s="37" t="n">
        <f aca="false">C55-C56-C57-C58-C63-C50-C51-C52-C65+C66</f>
        <v>-418.877649725493</v>
      </c>
      <c r="D67" s="37" t="n">
        <f aca="false">D55-D56-D57-D58-D63-D50-D51-D52-D65+D66</f>
        <v>340.259825124479</v>
      </c>
      <c r="E67" s="37" t="n">
        <f aca="false">E55-E56-E57-E58-E63-E50-E51-E52-E65+E66</f>
        <v>249.458108965084</v>
      </c>
      <c r="F67" s="37" t="n">
        <f aca="false">F55-F56-F57-F58-F63-F50-F51-F52-F65+F66</f>
        <v>250.736851636289</v>
      </c>
      <c r="G67" s="37" t="n">
        <f aca="false">G55-G56-G57-G58-G63-G50-G51-G52-G65+G66</f>
        <v>217.774385245107</v>
      </c>
      <c r="H67" s="37" t="n">
        <f aca="false">H55-H56-H57-H58-H63-H50-H51-H52-H65+H66</f>
        <v>208.880107947902</v>
      </c>
      <c r="I67" s="37" t="n">
        <f aca="false">I55-I56-I57-I58-I63-I50-I51-I52-I65+I66</f>
        <v>254.065402142827</v>
      </c>
      <c r="J67" s="37" t="n">
        <f aca="false">J55-J56-J57-J58-J63-J50-J51-J52-J65+J66</f>
        <v>246.6536473548</v>
      </c>
      <c r="K67" s="37" t="n">
        <f aca="false">K55-K56-K57-K58-K63-K50-K51-K52-K65+K66</f>
        <v>245.743059483011</v>
      </c>
      <c r="L67" s="37" t="n">
        <f aca="false">L55-L56-L57-L58-L63-L50-L51-L52-L65+L66</f>
        <v>315.858759456126</v>
      </c>
    </row>
    <row r="68" customFormat="false" ht="15" hidden="false" customHeight="false" outlineLevel="0" collapsed="false">
      <c r="A68" s="9" t="s">
        <v>299</v>
      </c>
      <c r="B68" s="36" t="n">
        <f aca="false">B67*B47</f>
        <v>-701.763507777273</v>
      </c>
      <c r="C68" s="36" t="n">
        <f aca="false">C67*C47</f>
        <v>-466.210824144474</v>
      </c>
      <c r="D68" s="36" t="n">
        <f aca="false">D67*D47</f>
        <v>395.751098704905</v>
      </c>
      <c r="E68" s="36" t="n">
        <f aca="false">E67*E47</f>
        <v>301.746624052281</v>
      </c>
      <c r="F68" s="36" t="n">
        <f aca="false">F67*F47</f>
        <v>315.425138005962</v>
      </c>
      <c r="G68" s="36" t="n">
        <f aca="false">G67*G47</f>
        <v>284.916938514219</v>
      </c>
      <c r="H68" s="36" t="n">
        <f aca="false">H67*H47</f>
        <v>284.211662626415</v>
      </c>
      <c r="I68" s="36" t="n">
        <f aca="false">I67*I47</f>
        <v>359.520516869641</v>
      </c>
      <c r="J68" s="36" t="n">
        <f aca="false">J67*J47</f>
        <v>362.993653910916</v>
      </c>
      <c r="K68" s="36" t="n">
        <f aca="false">K67*K47</f>
        <v>376.119708438521</v>
      </c>
      <c r="L68" s="36" t="n">
        <f aca="false">L67*L47</f>
        <v>502.772012991512</v>
      </c>
    </row>
    <row r="69" customFormat="false" ht="15" hidden="false" customHeight="false" outlineLevel="0" collapsed="false">
      <c r="A69" s="6" t="s">
        <v>300</v>
      </c>
      <c r="B69" s="35" t="n">
        <f aca="false">B67</f>
        <v>-662.041045072899</v>
      </c>
      <c r="C69" s="35" t="n">
        <f aca="false">B69+C67</f>
        <v>-1080.91869479839</v>
      </c>
      <c r="D69" s="35" t="n">
        <f aca="false">C69+D67</f>
        <v>-740.658869673913</v>
      </c>
      <c r="E69" s="35" t="n">
        <f aca="false">D69+E67</f>
        <v>-491.200760708829</v>
      </c>
      <c r="F69" s="35" t="n">
        <f aca="false">E69+F67</f>
        <v>-240.463909072539</v>
      </c>
      <c r="G69" s="35" t="n">
        <f aca="false">F69+G67</f>
        <v>-22.689523827432</v>
      </c>
      <c r="H69" s="35" t="n">
        <f aca="false">G69+H67</f>
        <v>186.19058412047</v>
      </c>
      <c r="I69" s="35" t="n">
        <f aca="false">H69+I67</f>
        <v>440.255986263298</v>
      </c>
      <c r="J69" s="35" t="n">
        <f aca="false">I69+J67</f>
        <v>686.909633618098</v>
      </c>
      <c r="K69" s="35" t="n">
        <f aca="false">J69+K67</f>
        <v>932.652693101109</v>
      </c>
      <c r="L69" s="35" t="n">
        <f aca="false">K69+L67</f>
        <v>1248.51145255723</v>
      </c>
    </row>
    <row r="70" customFormat="false" ht="15" hidden="false" customHeight="false" outlineLevel="0" collapsed="false">
      <c r="A70" s="9" t="s">
        <v>301</v>
      </c>
      <c r="B70" s="38" t="n">
        <v>0</v>
      </c>
      <c r="C70" s="38" t="n">
        <f aca="false">IF(AND(B69&lt;0,C69&gt;=0),B$43+(-B69)/C67,0)</f>
        <v>0</v>
      </c>
      <c r="D70" s="38" t="n">
        <f aca="false">IF(AND(C69&lt;0,D69&gt;=0),C$43+(-C69)/D67,0)</f>
        <v>0</v>
      </c>
      <c r="E70" s="38" t="n">
        <f aca="false">IF(AND(D69&lt;0,E69&gt;=0),D$43+(-D69)/E67,0)</f>
        <v>0</v>
      </c>
      <c r="F70" s="38" t="n">
        <f aca="false">IF(AND(E69&lt;0,F69&gt;=0),E$43+(-E69)/F67,0)</f>
        <v>0</v>
      </c>
      <c r="G70" s="38" t="n">
        <f aca="false">IF(AND(F69&lt;0,G69&gt;=0),F$43+(-F69)/G67,0)</f>
        <v>0</v>
      </c>
      <c r="H70" s="38" t="n">
        <f aca="false">IF(AND(G69&lt;0,H69&gt;=0),G$43+(-G69)/H67,0)</f>
        <v>5.10862462706641</v>
      </c>
      <c r="I70" s="38" t="n">
        <f aca="false">IF(AND(H69&lt;0,I69&gt;=0),H$43+(-H69)/I67,0)</f>
        <v>0</v>
      </c>
      <c r="J70" s="38" t="n">
        <f aca="false">IF(AND(I69&lt;0,J69&gt;=0),I$43+(-I69)/J67,0)</f>
        <v>0</v>
      </c>
      <c r="K70" s="38" t="n">
        <f aca="false">IF(AND(J69&lt;0,K69&gt;=0),J$43+(-J69)/K67,0)</f>
        <v>0</v>
      </c>
      <c r="L70" s="38" t="n">
        <f aca="false">IF(AND(K69&lt;0,L69&gt;=0),K$43+(-K69)/L67,0)</f>
        <v>0</v>
      </c>
    </row>
    <row r="71" customFormat="false" ht="15" hidden="false" customHeight="false" outlineLevel="0" collapsed="false">
      <c r="A71" s="9" t="s">
        <v>302</v>
      </c>
      <c r="B71" s="34" t="n">
        <f aca="false">(B47/$B$47)/(1+$B$25)^B$43</f>
        <v>1</v>
      </c>
      <c r="C71" s="34" t="n">
        <f aca="false">(C47/$B$47)/(1+$B$25)^C$43</f>
        <v>0.921735848062819</v>
      </c>
      <c r="D71" s="34" t="n">
        <f aca="false">(D47/$B$47)/(1+$B$25)^D$43</f>
        <v>0.845551273729778</v>
      </c>
      <c r="E71" s="34" t="n">
        <f aca="false">(E47/$B$47)/(1+$B$25)^E$43</f>
        <v>0.771952302082657</v>
      </c>
      <c r="F71" s="34" t="n">
        <f aca="false">(F47/$B$47)/(1+$B$25)^F$43</f>
        <v>0.704759575444925</v>
      </c>
      <c r="G71" s="34" t="n">
        <f aca="false">(G47/$B$47)/(1+$B$25)^G$43</f>
        <v>0.643415477667852</v>
      </c>
      <c r="H71" s="34" t="n">
        <f aca="false">(H47/$B$47)/(1+$B$25)^H$43</f>
        <v>0.587410928955732</v>
      </c>
      <c r="I71" s="34" t="n">
        <f aca="false">(I47/$B$47)/(1+$B$25)^I$43</f>
        <v>0.536281161136071</v>
      </c>
      <c r="J71" s="34" t="n">
        <f aca="false">(J47/$B$47)/(1+$B$25)^J$43</f>
        <v>0.489601860661204</v>
      </c>
      <c r="K71" s="34" t="n">
        <f aca="false">(K47/$B$47)/(1+$B$25)^K$43</f>
        <v>0.446985647333025</v>
      </c>
      <c r="L71" s="34" t="n">
        <f aca="false">(L47/$B$47)/(1+$B$25)^L$43</f>
        <v>0.408078859528639</v>
      </c>
    </row>
    <row r="72" customFormat="false" ht="15" hidden="false" customHeight="false" outlineLevel="0" collapsed="false">
      <c r="A72" s="9" t="s">
        <v>303</v>
      </c>
      <c r="B72" s="36" t="n">
        <f aca="false">B67*B71</f>
        <v>-662.041045072899</v>
      </c>
      <c r="C72" s="36" t="n">
        <f aca="false">C67*C71</f>
        <v>-386.094545704288</v>
      </c>
      <c r="D72" s="36" t="n">
        <f aca="false">D67*D71</f>
        <v>287.707128533075</v>
      </c>
      <c r="E72" s="36" t="n">
        <f aca="false">E67*E71</f>
        <v>192.569761488783</v>
      </c>
      <c r="F72" s="36" t="n">
        <f aca="false">F67*F71</f>
        <v>176.709197107588</v>
      </c>
      <c r="G72" s="36" t="n">
        <f aca="false">G67*G71</f>
        <v>140.119410106304</v>
      </c>
      <c r="H72" s="36" t="n">
        <f aca="false">H67*H71</f>
        <v>122.698458250051</v>
      </c>
      <c r="I72" s="36" t="n">
        <f aca="false">I67*I71</f>
        <v>136.250488865658</v>
      </c>
      <c r="J72" s="36" t="n">
        <f aca="false">J67*J71</f>
        <v>120.762084683783</v>
      </c>
      <c r="K72" s="36" t="n">
        <f aca="false">K67*K71</f>
        <v>109.843620520612</v>
      </c>
      <c r="L72" s="36" t="n">
        <f aca="false">L67*L71</f>
        <v>128.895282330986</v>
      </c>
    </row>
    <row r="73" customFormat="false" ht="15" hidden="false" customHeight="false" outlineLevel="0" collapsed="false">
      <c r="A73" s="9" t="s">
        <v>304</v>
      </c>
      <c r="B73" s="36" t="n">
        <f aca="false">B72</f>
        <v>-662.041045072899</v>
      </c>
      <c r="C73" s="36" t="n">
        <f aca="false">B73+C72</f>
        <v>-1048.13559077719</v>
      </c>
      <c r="D73" s="36" t="n">
        <f aca="false">C73+D72</f>
        <v>-760.428462244112</v>
      </c>
      <c r="E73" s="36" t="n">
        <f aca="false">D73+E72</f>
        <v>-567.858700755329</v>
      </c>
      <c r="F73" s="36" t="n">
        <f aca="false">E73+F72</f>
        <v>-391.14950364774</v>
      </c>
      <c r="G73" s="36" t="n">
        <f aca="false">F73+G72</f>
        <v>-251.030093541437</v>
      </c>
      <c r="H73" s="36" t="n">
        <f aca="false">G73+H72</f>
        <v>-128.331635291386</v>
      </c>
      <c r="I73" s="36" t="n">
        <f aca="false">H73+I72</f>
        <v>7.91885357427253</v>
      </c>
      <c r="J73" s="36" t="n">
        <f aca="false">I73+J72</f>
        <v>128.680938258055</v>
      </c>
      <c r="K73" s="36" t="n">
        <f aca="false">J73+K72</f>
        <v>238.524558778667</v>
      </c>
      <c r="L73" s="36" t="n">
        <f aca="false">K73+L72</f>
        <v>367.419841109653</v>
      </c>
    </row>
    <row r="74" customFormat="false" ht="15" hidden="false" customHeight="false" outlineLevel="0" collapsed="false">
      <c r="A74" s="9" t="s">
        <v>305</v>
      </c>
      <c r="B74" s="38" t="n">
        <v>0</v>
      </c>
      <c r="C74" s="38" t="n">
        <f aca="false">IF(AND(B73&lt;0,C73&gt;=0),B$43+(-B73)/C72,0)</f>
        <v>0</v>
      </c>
      <c r="D74" s="38" t="n">
        <f aca="false">IF(AND(C73&lt;0,D73&gt;=0),C$43+(-C73)/D72,0)</f>
        <v>0</v>
      </c>
      <c r="E74" s="38" t="n">
        <f aca="false">IF(AND(D73&lt;0,E73&gt;=0),D$43+(-D73)/E72,0)</f>
        <v>0</v>
      </c>
      <c r="F74" s="38" t="n">
        <f aca="false">IF(AND(E73&lt;0,F73&gt;=0),E$43+(-E73)/F72,0)</f>
        <v>0</v>
      </c>
      <c r="G74" s="38" t="n">
        <f aca="false">IF(AND(F73&lt;0,G73&gt;=0),F$43+(-F73)/G72,0)</f>
        <v>0</v>
      </c>
      <c r="H74" s="38" t="n">
        <f aca="false">IF(AND(G73&lt;0,H73&gt;=0),G$43+(-G73)/H72,0)</f>
        <v>0</v>
      </c>
      <c r="I74" s="38" t="n">
        <f aca="false">IF(AND(H73&lt;0,I73&gt;=0),H$43+(-H73)/I72,0)</f>
        <v>6.94188018230099</v>
      </c>
      <c r="J74" s="38" t="n">
        <f aca="false">IF(AND(I73&lt;0,J73&gt;=0),I$43+(-I73)/J72,0)</f>
        <v>0</v>
      </c>
      <c r="K74" s="38" t="n">
        <f aca="false">IF(AND(J73&lt;0,K73&gt;=0),J$43+(-J73)/K72,0)</f>
        <v>0</v>
      </c>
      <c r="L74" s="38" t="n">
        <f aca="false">IF(AND(K73&lt;0,L73&gt;=0),K$43+(-K73)/L72,0)</f>
        <v>0</v>
      </c>
    </row>
    <row r="75" customFormat="false" ht="15" hidden="false" customHeight="false" outlineLevel="0" collapsed="false">
      <c r="A75" s="9" t="s">
        <v>306</v>
      </c>
      <c r="B75" s="36" t="n">
        <f aca="false">IF(B$43&lt;0,0,(Quesería!$B$40*$B$50*$B$47)*(1-MAX(0,MIN(B$43-0-Quesería!$B$43,(Quesería!$B$42-Quesería!$B$43)))/(Quesería!$B$42-Quesería!$B$43)))+IF(B$43&lt;1,0,(Quesería!$B$40*$C$50*$C$47)*(1-MAX(0,MIN(B$43-1-Quesería!$B$43,(Quesería!$B$42-Quesería!$B$43)))/(Quesería!$B$42-Quesería!$B$43)))</f>
        <v>461.704769247221</v>
      </c>
      <c r="C75" s="36" t="n">
        <f aca="false">IF(C$43&lt;0,0,(Quesería!$B$40*$B$50*$B$47)*(1-MAX(0,MIN(C$43-0-Quesería!$B$43,(Quesería!$B$42-Quesería!$B$43)))/(Quesería!$B$42-Quesería!$B$43)))+IF(C$43&lt;1,0,(Quesería!$B$40*$C$50*$C$47)*(1-MAX(0,MIN(C$43-1-Quesería!$B$43,(Quesería!$B$42-Quesería!$B$43)))/(Quesería!$B$42-Quesería!$B$43)))</f>
        <v>964.434695258825</v>
      </c>
      <c r="D75" s="36" t="n">
        <f aca="false">IF(D$43&lt;0,0,(Quesería!$B$40*$B$50*$B$47)*(1-MAX(0,MIN(D$43-0-Quesería!$B$43,(Quesería!$B$42-Quesería!$B$43)))/(Quesería!$B$42-Quesería!$B$43)))+IF(D$43&lt;1,0,(Quesería!$B$40*$C$50*$C$47)*(1-MAX(0,MIN(D$43-1-Quesería!$B$43,(Quesería!$B$42-Quesería!$B$43)))/(Quesería!$B$42-Quesería!$B$43)))</f>
        <v>887.483900384289</v>
      </c>
      <c r="E75" s="36" t="n">
        <f aca="false">IF(E$43&lt;0,0,(Quesería!$B$40*$B$50*$B$47)*(1-MAX(0,MIN(E$43-0-Quesería!$B$43,(Quesería!$B$42-Quesería!$B$43)))/(Quesería!$B$42-Quesería!$B$43)))+IF(E$43&lt;1,0,(Quesería!$B$40*$C$50*$C$47)*(1-MAX(0,MIN(E$43-1-Quesería!$B$43,(Quesería!$B$42-Quesería!$B$43)))/(Quesería!$B$42-Quesería!$B$43)))</f>
        <v>726.744784507818</v>
      </c>
      <c r="F75" s="36" t="n">
        <f aca="false">IF(F$43&lt;0,0,(Quesería!$B$40*$B$50*$B$47)*(1-MAX(0,MIN(F$43-0-Quesería!$B$43,(Quesería!$B$42-Quesería!$B$43)))/(Quesería!$B$42-Quesería!$B$43)))+IF(F$43&lt;1,0,(Quesería!$B$40*$C$50*$C$47)*(1-MAX(0,MIN(F$43-1-Quesería!$B$43,(Quesería!$B$42-Quesería!$B$43)))/(Quesería!$B$42-Quesería!$B$43)))</f>
        <v>566.005668631347</v>
      </c>
      <c r="G75" s="36" t="n">
        <f aca="false">IF(G$43&lt;0,0,(Quesería!$B$40*$B$50*$B$47)*(1-MAX(0,MIN(G$43-0-Quesería!$B$43,(Quesería!$B$42-Quesería!$B$43)))/(Quesería!$B$42-Quesería!$B$43)))+IF(G$43&lt;1,0,(Quesería!$B$40*$C$50*$C$47)*(1-MAX(0,MIN(G$43-1-Quesería!$B$43,(Quesería!$B$42-Quesería!$B$43)))/(Quesería!$B$42-Quesería!$B$43)))</f>
        <v>405.266552754876</v>
      </c>
      <c r="H75" s="36" t="n">
        <f aca="false">IF(H$43&lt;0,0,(Quesería!$B$40*$B$50*$B$47)*(1-MAX(0,MIN(H$43-0-Quesería!$B$43,(Quesería!$B$42-Quesería!$B$43)))/(Quesería!$B$42-Quesería!$B$43)))+IF(H$43&lt;1,0,(Quesería!$B$40*$C$50*$C$47)*(1-MAX(0,MIN(H$43-1-Quesería!$B$43,(Quesería!$B$42-Quesería!$B$43)))/(Quesería!$B$42-Quesería!$B$43)))</f>
        <v>244.527436878405</v>
      </c>
      <c r="I75" s="36" t="n">
        <f aca="false">IF(I$43&lt;0,0,(Quesería!$B$40*$B$50*$B$47)*(1-MAX(0,MIN(I$43-0-Quesería!$B$43,(Quesería!$B$42-Quesería!$B$43)))/(Quesería!$B$42-Quesería!$B$43)))+IF(I$43&lt;1,0,(Quesería!$B$40*$C$50*$C$47)*(1-MAX(0,MIN(I$43-1-Quesería!$B$43,(Quesería!$B$42-Quesería!$B$43)))/(Quesería!$B$42-Quesería!$B$43)))</f>
        <v>83.788321001934</v>
      </c>
      <c r="J75" s="36" t="n">
        <f aca="false">IF(J$43&lt;0,0,(Quesería!$B$40*$B$50*$B$47)*(1-MAX(0,MIN(J$43-0-Quesería!$B$43,(Quesería!$B$42-Quesería!$B$43)))/(Quesería!$B$42-Quesería!$B$43)))+IF(J$43&lt;1,0,(Quesería!$B$40*$C$50*$C$47)*(1-MAX(0,MIN(J$43-1-Quesería!$B$43,(Quesería!$B$42-Quesería!$B$43)))/(Quesería!$B$42-Quesería!$B$43)))</f>
        <v>0</v>
      </c>
      <c r="K75" s="36" t="n">
        <f aca="false">IF(K$43&lt;0,0,(Quesería!$B$40*$B$50*$B$47)*(1-MAX(0,MIN(K$43-0-Quesería!$B$43,(Quesería!$B$42-Quesería!$B$43)))/(Quesería!$B$42-Quesería!$B$43)))+IF(K$43&lt;1,0,(Quesería!$B$40*$C$50*$C$47)*(1-MAX(0,MIN(K$43-1-Quesería!$B$43,(Quesería!$B$42-Quesería!$B$43)))/(Quesería!$B$42-Quesería!$B$43)))</f>
        <v>0</v>
      </c>
      <c r="L75" s="36" t="n">
        <f aca="false">IF(L$43&lt;0,0,(Quesería!$B$40*$B$50*$B$47)*(1-MAX(0,MIN(L$43-0-Quesería!$B$43,(Quesería!$B$42-Quesería!$B$43)))/(Quesería!$B$42-Quesería!$B$43)))+IF(L$43&lt;1,0,(Quesería!$B$40*$C$50*$C$47)*(1-MAX(0,MIN(L$43-1-Quesería!$B$43,(Quesería!$B$42-Quesería!$B$43)))/(Quesería!$B$42-Quesería!$B$43)))</f>
        <v>0</v>
      </c>
    </row>
    <row r="76" customFormat="false" ht="15" hidden="false" customHeight="false" outlineLevel="0" collapsed="false">
      <c r="A76" s="6" t="s">
        <v>307</v>
      </c>
      <c r="B76" s="35" t="n">
        <f aca="false">Quesería!$B$40*B50</f>
        <v>435.57053702568</v>
      </c>
      <c r="C76" s="35" t="n">
        <f aca="false">Quesería!$B$40*C50</f>
        <v>451.689062005035</v>
      </c>
      <c r="D76" s="35" t="n">
        <f aca="false">Quesería!$B$40*D50</f>
        <v>0</v>
      </c>
      <c r="E76" s="35" t="n">
        <f aca="false">Quesería!$B$40*E50</f>
        <v>0</v>
      </c>
      <c r="F76" s="35" t="n">
        <f aca="false">Quesería!$B$40*F50</f>
        <v>0</v>
      </c>
      <c r="G76" s="35" t="n">
        <f aca="false">Quesería!$B$40*G50</f>
        <v>0</v>
      </c>
      <c r="H76" s="35" t="n">
        <f aca="false">Quesería!$B$40*H50</f>
        <v>0</v>
      </c>
      <c r="I76" s="35" t="n">
        <f aca="false">Quesería!$B$40*I50</f>
        <v>0</v>
      </c>
      <c r="J76" s="35" t="n">
        <f aca="false">Quesería!$B$40*J50</f>
        <v>0</v>
      </c>
      <c r="K76" s="35" t="n">
        <f aca="false">Quesería!$B$40*K50</f>
        <v>0</v>
      </c>
      <c r="L76" s="35" t="n">
        <f aca="false">Quesería!$B$40*L50</f>
        <v>0</v>
      </c>
    </row>
    <row r="77" customFormat="false" ht="15" hidden="false" customHeight="false" outlineLevel="0" collapsed="false">
      <c r="A77" s="6" t="s">
        <v>308</v>
      </c>
      <c r="B77" s="35" t="n">
        <f aca="false">(IF(AND(B$43&gt;0,B$43&lt;=0+Quesería!$B$42),($B$14+$B$24)*((Quesería!$B$40*$B$50*$B$47)-(Quesería!$B$40*$B$50*$B$47)/(Quesería!$B$42-Quesería!$B$43)*MAX(0,MIN(B$43-1-0-Quesería!$B$43,(Quesería!$B$42-Quesería!$B$43)))),0)+IF(AND(B$43&gt;1,B$43&lt;=1+Quesería!$B$42),($B$14+$B$24)*((Quesería!$B$40*$C$50*$C$47)-(Quesería!$B$40*$C$50*$C$47)/(Quesería!$B$42-Quesería!$B$43)*MAX(0,MIN(B$43-1-1-Quesería!$B$43,(Quesería!$B$42-Quesería!$B$43)))),0))*B49</f>
        <v>0</v>
      </c>
      <c r="C77" s="35" t="n">
        <f aca="false">(IF(AND(C$43&gt;0,C$43&lt;=0+Quesería!$B$42),($B$14+$B$24)*((Quesería!$B$40*$B$50*$B$47)-(Quesería!$B$40*$B$50*$B$47)/(Quesería!$B$42-Quesería!$B$43)*MAX(0,MIN(C$43-1-0-Quesería!$B$43,(Quesería!$B$42-Quesería!$B$43)))),0)+IF(AND(C$43&gt;1,C$43&lt;=1+Quesería!$B$42),($B$14+$B$24)*((Quesería!$B$40*$C$50*$C$47)-(Quesería!$B$40*$C$50*$C$47)/(Quesería!$B$42-Quesería!$B$43)*MAX(0,MIN(C$43-1-1-Quesería!$B$43,(Quesería!$B$42-Quesería!$B$43)))),0))*C49</f>
        <v>58.4909006863056</v>
      </c>
      <c r="D77" s="35" t="n">
        <f aca="false">(IF(AND(D$43&gt;0,D$43&lt;=0+Quesería!$B$42),($B$14+$B$24)*((Quesería!$B$40*$B$50*$B$47)-(Quesería!$B$40*$B$50*$B$47)/(Quesería!$B$42-Quesería!$B$43)*MAX(0,MIN(D$43-1-0-Quesería!$B$43,(Quesería!$B$42-Quesería!$B$43)))),0)+IF(AND(D$43&gt;1,D$43&lt;=1+Quesería!$B$42),($B$14+$B$24)*((Quesería!$B$40*$C$50*$C$47)-(Quesería!$B$40*$C$50*$C$47)/(Quesería!$B$42-Quesería!$B$43)*MAX(0,MIN(D$43-1-1-Quesería!$B$43,(Quesería!$B$42-Quesería!$B$43)))),0))*D49</f>
        <v>116.917759262216</v>
      </c>
      <c r="E77" s="35" t="n">
        <f aca="false">(IF(AND(E$43&gt;0,E$43&lt;=0+Quesería!$B$42),($B$14+$B$24)*((Quesería!$B$40*$B$50*$B$47)-(Quesería!$B$40*$B$50*$B$47)/(Quesería!$B$42-Quesería!$B$43)*MAX(0,MIN(E$43-1-0-Quesería!$B$43,(Quesería!$B$42-Quesería!$B$43)))),0)+IF(AND(E$43&gt;1,E$43&lt;=1+Quesería!$B$42),($B$14+$B$24)*((Quesería!$B$40*$C$50*$C$47)-(Quesería!$B$40*$C$50*$C$47)/(Quesería!$B$42-Quesería!$B$43)*MAX(0,MIN(E$43-1-1-Quesería!$B$43,(Quesería!$B$42-Quesería!$B$43)))),0))*E49</f>
        <v>103.451025930528</v>
      </c>
      <c r="F77" s="35" t="n">
        <f aca="false">(IF(AND(F$43&gt;0,F$43&lt;=0+Quesería!$B$42),($B$14+$B$24)*((Quesería!$B$40*$B$50*$B$47)-(Quesería!$B$40*$B$50*$B$47)/(Quesería!$B$42-Quesería!$B$43)*MAX(0,MIN(F$43-1-0-Quesería!$B$43,(Quesería!$B$42-Quesería!$B$43)))),0)+IF(AND(F$43&gt;1,F$43&lt;=1+Quesería!$B$42),($B$14+$B$24)*((Quesería!$B$40*$C$50*$C$47)-(Quesería!$B$40*$C$50*$C$47)/(Quesería!$B$42-Quesería!$B$43)*MAX(0,MIN(F$43-1-1-Quesería!$B$43,(Quesería!$B$42-Quesería!$B$43)))),0))*F49</f>
        <v>81.455966861483</v>
      </c>
      <c r="G77" s="35" t="n">
        <f aca="false">(IF(AND(G$43&gt;0,G$43&lt;=0+Quesería!$B$42),($B$14+$B$24)*((Quesería!$B$40*$B$50*$B$47)-(Quesería!$B$40*$B$50*$B$47)/(Quesería!$B$42-Quesería!$B$43)*MAX(0,MIN(G$43-1-0-Quesería!$B$43,(Quesería!$B$42-Quesería!$B$43)))),0)+IF(AND(G$43&gt;1,G$43&lt;=1+Quesería!$B$42),($B$14+$B$24)*((Quesería!$B$40*$C$50*$C$47)-(Quesería!$B$40*$C$50*$C$47)/(Quesería!$B$42-Quesería!$B$43)*MAX(0,MIN(G$43-1-1-Quesería!$B$43,(Quesería!$B$42-Quesería!$B$43)))),0))*G49</f>
        <v>60.9998013511061</v>
      </c>
      <c r="H77" s="35" t="n">
        <f aca="false">(IF(AND(H$43&gt;0,H$43&lt;=0+Quesería!$B$42),($B$14+$B$24)*((Quesería!$B$40*$B$50*$B$47)-(Quesería!$B$40*$B$50*$B$47)/(Quesería!$B$42-Quesería!$B$43)*MAX(0,MIN(H$43-1-0-Quesería!$B$43,(Quesería!$B$42-Quesería!$B$43)))),0)+IF(AND(H$43&gt;1,H$43&lt;=1+Quesería!$B$42),($B$14+$B$24)*((Quesería!$B$40*$C$50*$C$47)-(Quesería!$B$40*$C$50*$C$47)/(Quesería!$B$42-Quesería!$B$43)*MAX(0,MIN(H$43-1-1-Quesería!$B$43,(Quesería!$B$42-Quesería!$B$43)))),0))*H49</f>
        <v>41.9966900414366</v>
      </c>
      <c r="I77" s="35" t="n">
        <f aca="false">(IF(AND(I$43&gt;0,I$43&lt;=0+Quesería!$B$42),($B$14+$B$24)*((Quesería!$B$40*$B$50*$B$47)-(Quesería!$B$40*$B$50*$B$47)/(Quesería!$B$42-Quesería!$B$43)*MAX(0,MIN(I$43-1-0-Quesería!$B$43,(Quesería!$B$42-Quesería!$B$43)))),0)+IF(AND(I$43&gt;1,I$43&lt;=1+Quesería!$B$42),($B$14+$B$24)*((Quesería!$B$40*$C$50*$C$47)-(Quesería!$B$40*$C$50*$C$47)/(Quesería!$B$42-Quesería!$B$43)*MAX(0,MIN(I$43-1-1-Quesería!$B$43,(Quesería!$B$42-Quesería!$B$43)))),0))*I49</f>
        <v>24.3651201322873</v>
      </c>
      <c r="J77" s="35" t="n">
        <f aca="false">(IF(AND(J$43&gt;0,J$43&lt;=0+Quesería!$B$42),($B$14+$B$24)*((Quesería!$B$40*$B$50*$B$47)-(Quesería!$B$40*$B$50*$B$47)/(Quesería!$B$42-Quesería!$B$43)*MAX(0,MIN(J$43-1-0-Quesería!$B$43,(Quesería!$B$42-Quesería!$B$43)))),0)+IF(AND(J$43&gt;1,J$43&lt;=1+Quesería!$B$42),($B$14+$B$24)*((Quesería!$B$40*$C$50*$C$47)-(Quesería!$B$40*$C$50*$C$47)/(Quesería!$B$42-Quesería!$B$43)*MAX(0,MIN(J$43-1-1-Quesería!$B$43,(Quesería!$B$42-Quesería!$B$43)))),0))*J49</f>
        <v>8.02769955040774</v>
      </c>
      <c r="K77" s="35" t="n">
        <f aca="false">(IF(AND(K$43&gt;0,K$43&lt;=0+Quesería!$B$42),($B$14+$B$24)*((Quesería!$B$40*$B$50*$B$47)-(Quesería!$B$40*$B$50*$B$47)/(Quesería!$B$42-Quesería!$B$43)*MAX(0,MIN(K$43-1-0-Quesería!$B$43,(Quesería!$B$42-Quesería!$B$43)))),0)+IF(AND(K$43&gt;1,K$43&lt;=1+Quesería!$B$42),($B$14+$B$24)*((Quesería!$B$40*$C$50*$C$47)-(Quesería!$B$40*$C$50*$C$47)/(Quesería!$B$42-Quesería!$B$43)*MAX(0,MIN(K$43-1-1-Quesería!$B$43,(Quesería!$B$42-Quesería!$B$43)))),0))*K49</f>
        <v>0</v>
      </c>
      <c r="L77" s="35" t="n">
        <f aca="false">(IF(AND(L$43&gt;0,L$43&lt;=0+Quesería!$B$42),($B$14+$B$24)*((Quesería!$B$40*$B$50*$B$47)-(Quesería!$B$40*$B$50*$B$47)/(Quesería!$B$42-Quesería!$B$43)*MAX(0,MIN(L$43-1-0-Quesería!$B$43,(Quesería!$B$42-Quesería!$B$43)))),0)+IF(AND(L$43&gt;1,L$43&lt;=1+Quesería!$B$42),($B$14+$B$24)*((Quesería!$B$40*$C$50*$C$47)-(Quesería!$B$40*$C$50*$C$47)/(Quesería!$B$42-Quesería!$B$43)*MAX(0,MIN(L$43-1-1-Quesería!$B$43,(Quesería!$B$42-Quesería!$B$43)))),0))*L49</f>
        <v>0</v>
      </c>
    </row>
    <row r="78" customFormat="false" ht="15" hidden="false" customHeight="false" outlineLevel="0" collapsed="false">
      <c r="A78" s="6" t="s">
        <v>309</v>
      </c>
      <c r="B78" s="35" t="n">
        <f aca="false">(IF(AND(B$43&gt;0+Quesería!$B$43,B$43&lt;=0+Quesería!$B$42),(Quesería!$B$40*$B$50*$B$47)/(Quesería!$B$42-Quesería!$B$43),0)+IF(AND(B$43&gt;1+Quesería!$B$43,B$43&lt;=1+Quesería!$B$42),(Quesería!$B$40*$C$50*$C$47)/(Quesería!$B$42-Quesería!$B$43),0))*B49</f>
        <v>0</v>
      </c>
      <c r="C78" s="35" t="n">
        <f aca="false">(IF(AND(C$43&gt;0+Quesería!$B$43,C$43&lt;=0+Quesería!$B$42),(Quesería!$B$40*$B$50*$B$47)/(Quesería!$B$42-Quesería!$B$43),0)+IF(AND(C$43&gt;1+Quesería!$B$43,C$43&lt;=1+Quesería!$B$42),(Quesería!$B$40*$C$50*$C$47)/(Quesería!$B$42-Quesería!$B$43),0))*C49</f>
        <v>0</v>
      </c>
      <c r="D78" s="35" t="n">
        <f aca="false">(IF(AND(D$43&gt;0+Quesería!$B$43,D$43&lt;=0+Quesería!$B$42),(Quesería!$B$40*$B$50*$B$47)/(Quesería!$B$42-Quesería!$B$43),0)+IF(AND(D$43&gt;1+Quesería!$B$43,D$43&lt;=1+Quesería!$B$42),(Quesería!$B$40*$C$50*$C$47)/(Quesería!$B$42-Quesería!$B$43),0))*D49</f>
        <v>66.1609382586284</v>
      </c>
      <c r="E78" s="35" t="n">
        <f aca="false">(IF(AND(E$43&gt;0+Quesería!$B$43,E$43&lt;=0+Quesería!$B$42),(Quesería!$B$40*$B$50*$B$47)/(Quesería!$B$42-Quesería!$B$43),0)+IF(AND(E$43&gt;1+Quesería!$B$43,E$43&lt;=1+Quesería!$B$42),(Quesería!$B$40*$C$50*$C$47)/(Quesería!$B$42-Quesería!$B$43),0))*E49</f>
        <v>132.885251025432</v>
      </c>
      <c r="F78" s="35" t="n">
        <f aca="false">(IF(AND(F$43&gt;0+Quesería!$B$43,F$43&lt;=0+Quesería!$B$42),(Quesería!$B$40*$B$50*$B$47)/(Quesería!$B$42-Quesería!$B$43),0)+IF(AND(F$43&gt;1+Quesería!$B$43,F$43&lt;=1+Quesería!$B$42),(Quesería!$B$40*$C$50*$C$47)/(Quesería!$B$42-Quesería!$B$43),0))*F49</f>
        <v>127.774279832146</v>
      </c>
      <c r="G78" s="35" t="n">
        <f aca="false">(IF(AND(G$43&gt;0+Quesería!$B$43,G$43&lt;=0+Quesería!$B$42),(Quesería!$B$40*$B$50*$B$47)/(Quesería!$B$42-Quesería!$B$43),0)+IF(AND(G$43&gt;1+Quesería!$B$43,G$43&lt;=1+Quesería!$B$42),(Quesería!$B$40*$C$50*$C$47)/(Quesería!$B$42-Quesería!$B$43),0))*G49</f>
        <v>122.859884453986</v>
      </c>
      <c r="H78" s="35" t="n">
        <f aca="false">(IF(AND(H$43&gt;0+Quesería!$B$43,H$43&lt;=0+Quesería!$B$42),(Quesería!$B$40*$B$50*$B$47)/(Quesería!$B$42-Quesería!$B$43),0)+IF(AND(H$43&gt;1+Quesería!$B$43,H$43&lt;=1+Quesería!$B$42),(Quesería!$B$40*$C$50*$C$47)/(Quesería!$B$42-Quesería!$B$43),0))*H49</f>
        <v>118.134504282679</v>
      </c>
      <c r="I78" s="35" t="n">
        <f aca="false">(IF(AND(I$43&gt;0+Quesería!$B$43,I$43&lt;=0+Quesería!$B$42),(Quesería!$B$40*$B$50*$B$47)/(Quesería!$B$42-Quesería!$B$43),0)+IF(AND(I$43&gt;1+Quesería!$B$43,I$43&lt;=1+Quesería!$B$42),(Quesería!$B$40*$C$50*$C$47)/(Quesería!$B$42-Quesería!$B$43),0))*I49</f>
        <v>113.590869502576</v>
      </c>
      <c r="J78" s="35" t="n">
        <f aca="false">(IF(AND(J$43&gt;0+Quesería!$B$43,J$43&lt;=0+Quesería!$B$42),(Quesería!$B$40*$B$50*$B$47)/(Quesería!$B$42-Quesería!$B$43),0)+IF(AND(J$43&gt;1+Quesería!$B$43,J$43&lt;=1+Quesería!$B$42),(Quesería!$B$40*$C$50*$C$47)/(Quesería!$B$42-Quesería!$B$43),0))*J49</f>
        <v>56.9340393645939</v>
      </c>
      <c r="K78" s="35" t="n">
        <f aca="false">(IF(AND(K$43&gt;0+Quesería!$B$43,K$43&lt;=0+Quesería!$B$42),(Quesería!$B$40*$B$50*$B$47)/(Quesería!$B$42-Quesería!$B$43),0)+IF(AND(K$43&gt;1+Quesería!$B$43,K$43&lt;=1+Quesería!$B$42),(Quesería!$B$40*$C$50*$C$47)/(Quesería!$B$42-Quesería!$B$43),0))*K49</f>
        <v>0</v>
      </c>
      <c r="L78" s="35" t="n">
        <f aca="false">(IF(AND(L$43&gt;0+Quesería!$B$43,L$43&lt;=0+Quesería!$B$42),(Quesería!$B$40*$B$50*$B$47)/(Quesería!$B$42-Quesería!$B$43),0)+IF(AND(L$43&gt;1+Quesería!$B$43,L$43&lt;=1+Quesería!$B$42),(Quesería!$B$40*$C$50*$C$47)/(Quesería!$B$42-Quesería!$B$43),0))*L49</f>
        <v>0</v>
      </c>
    </row>
    <row r="79" customFormat="false" ht="15" hidden="false" customHeight="false" outlineLevel="0" collapsed="false">
      <c r="A79" s="6" t="s">
        <v>310</v>
      </c>
      <c r="B79" s="35" t="n">
        <f aca="false">$B$13*Quesería!$B$44*(1+0.19)*B75*B49+(1-$B$13)*IF(B$43=0,Quesería!$B$53,0)</f>
        <v>4</v>
      </c>
      <c r="C79" s="35" t="n">
        <f aca="false">$B$13*Quesería!$B$44*(1+0.19)*C75*C49+(1-$B$13)*IF(C$43=0,Quesería!$B$53,0)</f>
        <v>0</v>
      </c>
      <c r="D79" s="35" t="n">
        <f aca="false">$B$13*Quesería!$B$44*(1+0.19)*D75*D49+(1-$B$13)*IF(D$43=0,Quesería!$B$53,0)</f>
        <v>0</v>
      </c>
      <c r="E79" s="35" t="n">
        <f aca="false">$B$13*Quesería!$B$44*(1+0.19)*E75*E49+(1-$B$13)*IF(E$43=0,Quesería!$B$53,0)</f>
        <v>0</v>
      </c>
      <c r="F79" s="35" t="n">
        <f aca="false">$B$13*Quesería!$B$44*(1+0.19)*F75*F49+(1-$B$13)*IF(F$43=0,Quesería!$B$53,0)</f>
        <v>0</v>
      </c>
      <c r="G79" s="35" t="n">
        <f aca="false">$B$13*Quesería!$B$44*(1+0.19)*G75*G49+(1-$B$13)*IF(G$43=0,Quesería!$B$53,0)</f>
        <v>0</v>
      </c>
      <c r="H79" s="35" t="n">
        <f aca="false">$B$13*Quesería!$B$44*(1+0.19)*H75*H49+(1-$B$13)*IF(H$43=0,Quesería!$B$53,0)</f>
        <v>0</v>
      </c>
      <c r="I79" s="35" t="n">
        <f aca="false">$B$13*Quesería!$B$44*(1+0.19)*I75*I49+(1-$B$13)*IF(I$43=0,Quesería!$B$53,0)</f>
        <v>0</v>
      </c>
      <c r="J79" s="35" t="n">
        <f aca="false">$B$13*Quesería!$B$44*(1+0.19)*J75*J49+(1-$B$13)*IF(J$43=0,Quesería!$B$53,0)</f>
        <v>0</v>
      </c>
      <c r="K79" s="35" t="n">
        <f aca="false">$B$13*Quesería!$B$44*(1+0.19)*K75*K49+(1-$B$13)*IF(K$43=0,Quesería!$B$53,0)</f>
        <v>0</v>
      </c>
      <c r="L79" s="35" t="n">
        <f aca="false">$B$13*Quesería!$B$44*(1+0.19)*L75*L49+(1-$B$13)*IF(L$43=0,Quesería!$B$53,0)</f>
        <v>0</v>
      </c>
    </row>
    <row r="80" customFormat="false" ht="15" hidden="false" customHeight="false" outlineLevel="0" collapsed="false">
      <c r="A80" s="6" t="s">
        <v>311</v>
      </c>
      <c r="B80" s="35" t="n">
        <f aca="false">Quesería!$B$45*(B77+B78+B79)</f>
        <v>0.016</v>
      </c>
      <c r="C80" s="35" t="n">
        <f aca="false">Quesería!$B$45*(C77+C78+C79)</f>
        <v>0.233963602745223</v>
      </c>
      <c r="D80" s="35" t="n">
        <f aca="false">Quesería!$B$45*(D77+D78+D79)</f>
        <v>0.732314790083377</v>
      </c>
      <c r="E80" s="35" t="n">
        <f aca="false">Quesería!$B$45*(E77+E78+E79)</f>
        <v>0.94534510782384</v>
      </c>
      <c r="F80" s="35" t="n">
        <f aca="false">Quesería!$B$45*(F77+F78+F79)</f>
        <v>0.836920986774515</v>
      </c>
      <c r="G80" s="35" t="n">
        <f aca="false">Quesería!$B$45*(G77+G78+G79)</f>
        <v>0.73543874322037</v>
      </c>
      <c r="H80" s="35" t="n">
        <f aca="false">Quesería!$B$45*(H77+H78+H79)</f>
        <v>0.640524777296463</v>
      </c>
      <c r="I80" s="35" t="n">
        <f aca="false">Quesería!$B$45*(I77+I78+I79)</f>
        <v>0.551823958539454</v>
      </c>
      <c r="J80" s="35" t="n">
        <f aca="false">Quesería!$B$45*(J77+J78+J79)</f>
        <v>0.259846955660007</v>
      </c>
      <c r="K80" s="35" t="n">
        <f aca="false">Quesería!$B$45*(K77+K78+K79)</f>
        <v>0</v>
      </c>
      <c r="L80" s="35" t="n">
        <f aca="false">Quesería!$B$45*(L77+L78+L79)</f>
        <v>0</v>
      </c>
    </row>
    <row r="81" customFormat="false" ht="15" hidden="false" customHeight="false" outlineLevel="0" collapsed="false">
      <c r="A81" s="6" t="s">
        <v>312</v>
      </c>
      <c r="B81" s="35" t="n">
        <f aca="false">$B$17*(B77+B79+0.5*B80)</f>
        <v>1.4028</v>
      </c>
      <c r="C81" s="35" t="n">
        <f aca="false">$B$17*(C77+C79+0.5*C80)</f>
        <v>20.5127588706874</v>
      </c>
      <c r="D81" s="35" t="n">
        <f aca="false">$B$17*(D77+D79+0.5*D80)</f>
        <v>41.0493708300401</v>
      </c>
      <c r="E81" s="35" t="n">
        <f aca="false">$B$17*(E77+E79+0.5*E80)</f>
        <v>36.373294469554</v>
      </c>
      <c r="F81" s="35" t="n">
        <f aca="false">$B$17*(F77+F79+0.5*F80)</f>
        <v>28.6560495742046</v>
      </c>
      <c r="G81" s="35" t="n">
        <f aca="false">$B$17*(G77+G79+0.5*G80)</f>
        <v>21.4786322529507</v>
      </c>
      <c r="H81" s="35" t="n">
        <f aca="false">$B$17*(H77+H79+0.5*H80)</f>
        <v>14.8109333505297</v>
      </c>
      <c r="I81" s="35" t="n">
        <f aca="false">$B$17*(I77+I79+0.5*I80)</f>
        <v>8.62436123904496</v>
      </c>
      <c r="J81" s="35" t="n">
        <f aca="false">$B$17*(J77+J79+0.5*J80)</f>
        <v>2.85516805988321</v>
      </c>
      <c r="K81" s="35" t="n">
        <f aca="false">$B$17*(K77+K79+0.5*K80)</f>
        <v>0</v>
      </c>
      <c r="L81" s="35" t="n">
        <f aca="false">$B$17*(L77+L79+0.5*L80)</f>
        <v>0</v>
      </c>
    </row>
    <row r="82" customFormat="false" ht="15" hidden="false" customHeight="false" outlineLevel="0" collapsed="false">
      <c r="A82" s="5" t="s">
        <v>313</v>
      </c>
      <c r="B82" s="37" t="n">
        <f aca="false">B67+B76-B77-B78-B79-B80+B81</f>
        <v>-229.083708047218</v>
      </c>
      <c r="C82" s="37" t="n">
        <f aca="false">C67+C76-C77-C78-C79-C80+C81</f>
        <v>-5.40069313882179</v>
      </c>
      <c r="D82" s="37" t="n">
        <f aca="false">D67+D76-D77-D78-D79-D80+D81</f>
        <v>197.498183643592</v>
      </c>
      <c r="E82" s="37" t="n">
        <f aca="false">E67+E76-E77-E78-E79-E80+E81</f>
        <v>48.5497813708543</v>
      </c>
      <c r="F82" s="37" t="n">
        <f aca="false">F67+F76-F77-F78-F79-F80+F81</f>
        <v>69.3257335300906</v>
      </c>
      <c r="G82" s="37" t="n">
        <f aca="false">G67+G76-G77-G78-G79-G80+G81</f>
        <v>54.6578929497451</v>
      </c>
      <c r="H82" s="37" t="n">
        <f aca="false">H67+H76-H77-H78-H79-H80+H81</f>
        <v>62.9193221970198</v>
      </c>
      <c r="I82" s="37" t="n">
        <f aca="false">I67+I76-I77-I78-I79-I80+I81</f>
        <v>124.181949788469</v>
      </c>
      <c r="J82" s="37" t="n">
        <f aca="false">J67+J76-J77-J78-J79-J80+J81</f>
        <v>184.287229544022</v>
      </c>
      <c r="K82" s="37" t="n">
        <f aca="false">K67+K76-K77-K78-K79-K80+K81</f>
        <v>245.743059483011</v>
      </c>
      <c r="L82" s="37" t="n">
        <f aca="false">L67+L76-L77-L78-L79-L80+L81</f>
        <v>315.858759456126</v>
      </c>
    </row>
    <row r="83" customFormat="false" ht="15" hidden="false" customHeight="false" outlineLevel="0" collapsed="false">
      <c r="A83" s="9" t="s">
        <v>314</v>
      </c>
      <c r="B83" s="36" t="n">
        <f aca="false">B82*B47</f>
        <v>-242.828730530051</v>
      </c>
      <c r="C83" s="36" t="n">
        <f aca="false">C82*C47</f>
        <v>-6.01097146350866</v>
      </c>
      <c r="D83" s="36" t="n">
        <f aca="false">D82*D47</f>
        <v>229.707174923107</v>
      </c>
      <c r="E83" s="36" t="n">
        <f aca="false">E82*E47</f>
        <v>58.7262233643489</v>
      </c>
      <c r="F83" s="36" t="n">
        <f aca="false">F82*F47</f>
        <v>87.2112691987256</v>
      </c>
      <c r="G83" s="36" t="n">
        <f aca="false">G82*G47</f>
        <v>71.5096015876788</v>
      </c>
      <c r="H83" s="36" t="n">
        <f aca="false">H82*H47</f>
        <v>85.6108575805706</v>
      </c>
      <c r="I83" s="36" t="n">
        <f aca="false">I82*I47</f>
        <v>175.726243704492</v>
      </c>
      <c r="J83" s="36" t="n">
        <f aca="false">J82*J47</f>
        <v>271.210645124086</v>
      </c>
      <c r="K83" s="36" t="n">
        <f aca="false">K82*K47</f>
        <v>376.119708438521</v>
      </c>
      <c r="L83" s="36" t="n">
        <f aca="false">L82*L47</f>
        <v>502.772012991512</v>
      </c>
    </row>
    <row r="84" customFormat="false" ht="15" hidden="false" customHeight="false" outlineLevel="0" collapsed="false">
      <c r="A84" s="9" t="s">
        <v>315</v>
      </c>
      <c r="B84" s="34" t="n">
        <f aca="false">(B47/$B$47)/(1+Quesería!$B$46+$B$24)^B$43</f>
        <v>1</v>
      </c>
      <c r="C84" s="34" t="n">
        <f aca="false">(C47/$B$47)/(1+Quesería!$B$46+$B$24)^C$43</f>
        <v>0.84</v>
      </c>
      <c r="D84" s="34" t="n">
        <f aca="false">(D47/$B$47)/(1+Quesería!$B$46+$B$24)^D$43</f>
        <v>0.70224</v>
      </c>
      <c r="E84" s="34" t="n">
        <f aca="false">(E47/$B$47)/(1+Quesería!$B$46+$B$24)^E$43</f>
        <v>0.58426368</v>
      </c>
      <c r="F84" s="34" t="n">
        <f aca="false">(F47/$B$47)/(1+Quesería!$B$46+$B$24)^F$43</f>
        <v>0.48610738176</v>
      </c>
      <c r="G84" s="34" t="n">
        <f aca="false">(G47/$B$47)/(1+Quesería!$B$46+$B$24)^G$43</f>
        <v>0.40444134162432</v>
      </c>
      <c r="H84" s="34" t="n">
        <f aca="false">(H47/$B$47)/(1+Quesería!$B$46+$B$24)^H$43</f>
        <v>0.336495196231434</v>
      </c>
      <c r="I84" s="34" t="n">
        <f aca="false">(I47/$B$47)/(1+Quesería!$B$46+$B$24)^I$43</f>
        <v>0.279964003264553</v>
      </c>
      <c r="J84" s="34" t="n">
        <f aca="false">(J47/$B$47)/(1+Quesería!$B$46+$B$24)^J$43</f>
        <v>0.232930050716108</v>
      </c>
      <c r="K84" s="34" t="n">
        <f aca="false">(K47/$B$47)/(1+Quesería!$B$46+$B$24)^K$43</f>
        <v>0.193797802195802</v>
      </c>
      <c r="L84" s="34" t="n">
        <f aca="false">(L47/$B$47)/(1+Quesería!$B$46+$B$24)^L$43</f>
        <v>0.161239771426907</v>
      </c>
    </row>
    <row r="85" customFormat="false" ht="15" hidden="false" customHeight="false" outlineLevel="0" collapsed="false">
      <c r="A85" s="9" t="s">
        <v>316</v>
      </c>
      <c r="B85" s="36" t="n">
        <f aca="false">B67+B50+B52+B81</f>
        <v>60.9532547375949</v>
      </c>
      <c r="C85" s="36" t="n">
        <f aca="false">C67+C50+C52+C81</f>
        <v>369.506514553754</v>
      </c>
      <c r="D85" s="36" t="n">
        <f aca="false">D67+D50+D52+D81</f>
        <v>381.30919595452</v>
      </c>
      <c r="E85" s="36" t="n">
        <f aca="false">E67+E50+E52+E81</f>
        <v>285.831403434638</v>
      </c>
      <c r="F85" s="36" t="n">
        <f aca="false">F67+F50+F52+F81</f>
        <v>279.392901210494</v>
      </c>
      <c r="G85" s="36" t="n">
        <f aca="false">G67+G50+G52+G81</f>
        <v>244.319684164725</v>
      </c>
      <c r="H85" s="36" t="n">
        <f aca="false">H67+H50+H52+H81</f>
        <v>230.398906379199</v>
      </c>
      <c r="I85" s="36" t="n">
        <f aca="false">I67+I50+I52+I81</f>
        <v>262.689763381872</v>
      </c>
      <c r="J85" s="36" t="n">
        <f aca="false">J67+J50+J52+J81</f>
        <v>249.508815414683</v>
      </c>
      <c r="K85" s="36" t="n">
        <f aca="false">K67+K50+K52+K81</f>
        <v>245.743059483011</v>
      </c>
      <c r="L85" s="36" t="n">
        <f aca="false">L67+L50+L52+L81</f>
        <v>315.858759456126</v>
      </c>
    </row>
    <row r="86" customFormat="false" ht="15" hidden="false" customHeight="false" outlineLevel="0" collapsed="false">
      <c r="A86" s="5" t="s">
        <v>317</v>
      </c>
      <c r="B86" s="12" t="str">
        <f aca="false">IF(AND(B$43&gt;=1,(B77+B78+B79)&gt;0.001),B85/(B77+B78+B79),"")</f>
        <v/>
      </c>
      <c r="C86" s="12" t="n">
        <f aca="false">IF(AND(C$43&gt;=1,(C77+C78+C79)&gt;0.001),C85/(C77+C78+C79),"")</f>
        <v>6.3173332983102</v>
      </c>
      <c r="D86" s="12" t="n">
        <f aca="false">IF(AND(D$43&gt;=1,(D77+D78+D79)&gt;0.001),D85/(D77+D78+D79),"")</f>
        <v>2.08276113561003</v>
      </c>
      <c r="E86" s="12" t="n">
        <f aca="false">IF(AND(E$43&gt;=1,(E77+E78+E79)&gt;0.001),E85/(E77+E78+E79),"")</f>
        <v>1.20942669960017</v>
      </c>
      <c r="F86" s="12" t="n">
        <f aca="false">IF(AND(F$43&gt;=1,(F77+F78+F79)&gt;0.001),F85/(F77+F78+F79),"")</f>
        <v>1.33533705391842</v>
      </c>
      <c r="G86" s="12" t="n">
        <f aca="false">IF(AND(G$43&gt;=1,(G77+G78+G79)&gt;0.001),G85/(G77+G78+G79),"")</f>
        <v>1.32883771173048</v>
      </c>
      <c r="H86" s="12" t="n">
        <f aca="false">IF(AND(H$43&gt;=1,(H77+H78+H79)&gt;0.001),H85/(H77+H78+H79),"")</f>
        <v>1.43881338893193</v>
      </c>
      <c r="I86" s="12" t="n">
        <f aca="false">IF(AND(I$43&gt;=1,(I77+I78+I79)&gt;0.001),I85/(I77+I78+I79),"")</f>
        <v>1.90415627532483</v>
      </c>
      <c r="J86" s="12" t="n">
        <f aca="false">IF(AND(J$43&gt;=1,(J77+J78+J79)&gt;0.001),J85/(J77+J78+J79),"")</f>
        <v>3.84085801245484</v>
      </c>
      <c r="K86" s="12" t="str">
        <f aca="false">IF(AND(K$43&gt;=1,(K77+K78+K79)&gt;0.001),K85/(K77+K78+K79),"")</f>
        <v/>
      </c>
      <c r="L86" s="12" t="str">
        <f aca="false">IF(AND(L$43&gt;=1,(L77+L78+L79)&gt;0.001),L85/(L77+L78+L79),"")</f>
        <v/>
      </c>
    </row>
    <row r="88" customFormat="false" ht="15" hidden="false" customHeight="false" outlineLevel="0" collapsed="false">
      <c r="A88" s="66" t="s">
        <v>627</v>
      </c>
      <c r="B88" s="67"/>
      <c r="C88" s="67"/>
      <c r="D88" s="67"/>
      <c r="E88" s="67"/>
      <c r="F88" s="67"/>
      <c r="G88" s="67"/>
      <c r="H88" s="67"/>
      <c r="I88" s="67"/>
      <c r="J88" s="67"/>
      <c r="K88" s="67"/>
      <c r="L88" s="67"/>
    </row>
    <row r="89" customFormat="false" ht="15" hidden="false" customHeight="false" outlineLevel="0" collapsed="false">
      <c r="A89" s="9" t="s">
        <v>281</v>
      </c>
      <c r="B89" s="33" t="n">
        <f aca="false">CHOOSE($C$15,Entorno!B$7,Entorno!B$8,Entorno!B$9)</f>
        <v>0.06</v>
      </c>
      <c r="C89" s="33" t="n">
        <f aca="false">CHOOSE($C$15,Entorno!C$7,Entorno!C$8,Entorno!C$9)</f>
        <v>0.05</v>
      </c>
      <c r="D89" s="33" t="n">
        <f aca="false">CHOOSE($C$15,Entorno!D$7,Entorno!D$8,Entorno!D$9)</f>
        <v>0.045</v>
      </c>
      <c r="E89" s="33" t="n">
        <f aca="false">CHOOSE($C$15,Entorno!E$7,Entorno!E$8,Entorno!E$9)</f>
        <v>0.04</v>
      </c>
      <c r="F89" s="33" t="n">
        <f aca="false">CHOOSE($C$15,Entorno!F$7,Entorno!F$8,Entorno!F$9)</f>
        <v>0.04</v>
      </c>
      <c r="G89" s="33" t="n">
        <f aca="false">CHOOSE($C$15,Entorno!G$7,Entorno!G$8,Entorno!G$9)</f>
        <v>0.04</v>
      </c>
      <c r="H89" s="33" t="n">
        <f aca="false">CHOOSE($C$15,Entorno!H$7,Entorno!H$8,Entorno!H$9)</f>
        <v>0.04</v>
      </c>
      <c r="I89" s="33" t="n">
        <f aca="false">CHOOSE($C$15,Entorno!I$7,Entorno!I$8,Entorno!I$9)</f>
        <v>0.04</v>
      </c>
      <c r="J89" s="33" t="n">
        <f aca="false">CHOOSE($C$15,Entorno!J$7,Entorno!J$8,Entorno!J$9)</f>
        <v>0.04</v>
      </c>
      <c r="K89" s="33" t="n">
        <f aca="false">CHOOSE($C$15,Entorno!K$7,Entorno!K$8,Entorno!K$9)</f>
        <v>0.04</v>
      </c>
      <c r="L89" s="33" t="n">
        <f aca="false">CHOOSE($C$15,Entorno!L$7,Entorno!L$8,Entorno!L$9)</f>
        <v>0.04</v>
      </c>
    </row>
    <row r="90" customFormat="false" ht="15" hidden="false" customHeight="false" outlineLevel="0" collapsed="false">
      <c r="A90" s="9" t="s">
        <v>282</v>
      </c>
      <c r="B90" s="34" t="n">
        <f aca="false">1+B89</f>
        <v>1.06</v>
      </c>
      <c r="C90" s="34" t="n">
        <f aca="false">B90*(1+C89)</f>
        <v>1.113</v>
      </c>
      <c r="D90" s="34" t="n">
        <f aca="false">C90*(1+D89)</f>
        <v>1.163085</v>
      </c>
      <c r="E90" s="34" t="n">
        <f aca="false">D90*(1+E89)</f>
        <v>1.2096084</v>
      </c>
      <c r="F90" s="34" t="n">
        <f aca="false">E90*(1+F89)</f>
        <v>1.257992736</v>
      </c>
      <c r="G90" s="34" t="n">
        <f aca="false">F90*(1+G89)</f>
        <v>1.30831244544</v>
      </c>
      <c r="H90" s="34" t="n">
        <f aca="false">G90*(1+H89)</f>
        <v>1.3606449432576</v>
      </c>
      <c r="I90" s="34" t="n">
        <f aca="false">H90*(1+I89)</f>
        <v>1.4150707409879</v>
      </c>
      <c r="J90" s="34" t="n">
        <f aca="false">I90*(1+J89)</f>
        <v>1.47167357062742</v>
      </c>
      <c r="K90" s="34" t="n">
        <f aca="false">J90*(1+K89)</f>
        <v>1.53054051345252</v>
      </c>
      <c r="L90" s="34" t="n">
        <f aca="false">K90*(1+L89)</f>
        <v>1.59176213399062</v>
      </c>
    </row>
    <row r="91" customFormat="false" ht="15" hidden="false" customHeight="false" outlineLevel="0" collapsed="false">
      <c r="A91" s="9" t="s">
        <v>283</v>
      </c>
      <c r="B91" s="34" t="n">
        <f aca="false">(1+$C$16)/(1+B89)</f>
        <v>1.02358490566038</v>
      </c>
      <c r="C91" s="34" t="n">
        <f aca="false">B91*(1+Entorno!$B$13)</f>
        <v>1.02870283018868</v>
      </c>
      <c r="D91" s="34" t="n">
        <f aca="false">C91*(1+Entorno!$B$13)</f>
        <v>1.03384634433962</v>
      </c>
      <c r="E91" s="34" t="n">
        <f aca="false">D91*(1+Entorno!$B$13)</f>
        <v>1.03901557606132</v>
      </c>
      <c r="F91" s="34" t="n">
        <f aca="false">E91*(1+Entorno!$B$13)</f>
        <v>1.04421065394163</v>
      </c>
      <c r="G91" s="34" t="n">
        <f aca="false">F91*(1+Entorno!$B$13)</f>
        <v>1.04943170721133</v>
      </c>
      <c r="H91" s="34" t="n">
        <f aca="false">G91*(1+Entorno!$B$13)</f>
        <v>1.05467886574739</v>
      </c>
      <c r="I91" s="34" t="n">
        <f aca="false">H91*(1+Entorno!$B$13)</f>
        <v>1.05995226007613</v>
      </c>
      <c r="J91" s="34" t="n">
        <f aca="false">I91*(1+Entorno!$B$13)</f>
        <v>1.06525202137651</v>
      </c>
      <c r="K91" s="34" t="n">
        <f aca="false">J91*(1+Entorno!$B$13)</f>
        <v>1.07057828148339</v>
      </c>
      <c r="L91" s="34" t="n">
        <f aca="false">K91*(1+Entorno!$B$13)</f>
        <v>1.07593117289081</v>
      </c>
    </row>
    <row r="92" customFormat="false" ht="15" hidden="false" customHeight="false" outlineLevel="0" collapsed="false">
      <c r="A92" s="9" t="s">
        <v>284</v>
      </c>
      <c r="B92" s="34" t="n">
        <f aca="false">1/B90</f>
        <v>0.943396226415094</v>
      </c>
      <c r="C92" s="34" t="n">
        <f aca="false">1/C90</f>
        <v>0.898472596585804</v>
      </c>
      <c r="D92" s="34" t="n">
        <f aca="false">1/D90</f>
        <v>0.859782389077324</v>
      </c>
      <c r="E92" s="34" t="n">
        <f aca="false">1/E90</f>
        <v>0.826713835651273</v>
      </c>
      <c r="F92" s="34" t="n">
        <f aca="false">1/F90</f>
        <v>0.794917149664686</v>
      </c>
      <c r="G92" s="34" t="n">
        <f aca="false">1/G90</f>
        <v>0.764343413139121</v>
      </c>
      <c r="H92" s="34" t="n">
        <f aca="false">1/H90</f>
        <v>0.734945589556847</v>
      </c>
      <c r="I92" s="34" t="n">
        <f aca="false">1/I90</f>
        <v>0.706678451496968</v>
      </c>
      <c r="J92" s="34" t="n">
        <f aca="false">1/J90</f>
        <v>0.679498511054777</v>
      </c>
      <c r="K92" s="34" t="n">
        <f aca="false">1/K90</f>
        <v>0.653363952937286</v>
      </c>
      <c r="L92" s="34" t="n">
        <f aca="false">1/L90</f>
        <v>0.628234570132006</v>
      </c>
    </row>
    <row r="93" customFormat="false" ht="15" hidden="false" customHeight="false" outlineLevel="0" collapsed="false">
      <c r="A93" s="6" t="s">
        <v>202</v>
      </c>
      <c r="B93" s="35" t="n">
        <f aca="false">IF(B$43=0,Quesería!$F$80,IF(B$43=1,Quesería!$F$81*$C$21,0))*$C$11</f>
        <v>622.243624322401</v>
      </c>
      <c r="C93" s="35" t="n">
        <f aca="false">IF(C$43=0,Quesería!$F$80,IF(C$43=1,Quesería!$F$81*$C$21,0))*$C$11</f>
        <v>645.270088578622</v>
      </c>
      <c r="D93" s="35" t="n">
        <f aca="false">IF(D$43=0,Quesería!$F$80,IF(D$43=1,Quesería!$F$81*$C$21,0))*$C$11</f>
        <v>0</v>
      </c>
      <c r="E93" s="35" t="n">
        <f aca="false">IF(E$43=0,Quesería!$F$80,IF(E$43=1,Quesería!$F$81*$C$21,0))*$C$11</f>
        <v>0</v>
      </c>
      <c r="F93" s="35" t="n">
        <f aca="false">IF(F$43=0,Quesería!$F$80,IF(F$43=1,Quesería!$F$81*$C$21,0))*$C$11</f>
        <v>0</v>
      </c>
      <c r="G93" s="35" t="n">
        <f aca="false">IF(G$43=0,Quesería!$F$80,IF(G$43=1,Quesería!$F$81*$C$21,0))*$C$11</f>
        <v>0</v>
      </c>
      <c r="H93" s="35" t="n">
        <f aca="false">IF(H$43=0,Quesería!$F$80,IF(H$43=1,Quesería!$F$81*$C$21,0))*$C$11</f>
        <v>0</v>
      </c>
      <c r="I93" s="35" t="n">
        <f aca="false">IF(I$43=0,Quesería!$F$80,IF(I$43=1,Quesería!$F$81*$C$21,0))*$C$11</f>
        <v>0</v>
      </c>
      <c r="J93" s="35" t="n">
        <f aca="false">IF(J$43=0,Quesería!$F$80,IF(J$43=1,Quesería!$F$81*$C$21,0))*$C$11</f>
        <v>0</v>
      </c>
      <c r="K93" s="35" t="n">
        <f aca="false">IF(K$43=0,Quesería!$F$80,IF(K$43=1,Quesería!$F$81*$C$21,0))*$C$11</f>
        <v>0</v>
      </c>
      <c r="L93" s="35" t="n">
        <f aca="false">IF(L$43=0,Quesería!$F$80,IF(L$43=1,Quesería!$F$81*$C$21,0))*$C$11</f>
        <v>0</v>
      </c>
    </row>
    <row r="94" customFormat="false" ht="15" hidden="false" customHeight="false" outlineLevel="0" collapsed="false">
      <c r="A94" s="6" t="s">
        <v>285</v>
      </c>
      <c r="B94" s="35" t="n">
        <f aca="false">IF(B$43=5,Quesería!$F$87,IF(B$43=6,Quesería!$F$88,0))*$C$11</f>
        <v>0</v>
      </c>
      <c r="C94" s="35" t="n">
        <f aca="false">IF(C$43=5,Quesería!$F$87,IF(C$43=6,Quesería!$F$88,0))*$C$11</f>
        <v>0</v>
      </c>
      <c r="D94" s="35" t="n">
        <f aca="false">IF(D$43=5,Quesería!$F$87,IF(D$43=6,Quesería!$F$88,0))*$C$11</f>
        <v>0</v>
      </c>
      <c r="E94" s="35" t="n">
        <f aca="false">IF(E$43=5,Quesería!$F$87,IF(E$43=6,Quesería!$F$88,0))*$C$11</f>
        <v>0</v>
      </c>
      <c r="F94" s="35" t="n">
        <f aca="false">IF(F$43=5,Quesería!$F$87,IF(F$43=6,Quesería!$F$88,0))*$C$11</f>
        <v>0</v>
      </c>
      <c r="G94" s="35" t="n">
        <f aca="false">IF(G$43=5,Quesería!$F$87,IF(G$43=6,Quesería!$F$88,0))*$C$11</f>
        <v>26.6666666666667</v>
      </c>
      <c r="H94" s="35" t="n">
        <f aca="false">IF(H$43=5,Quesería!$F$87,IF(H$43=6,Quesería!$F$88,0))*$C$11</f>
        <v>35.3045530566667</v>
      </c>
      <c r="I94" s="35" t="n">
        <f aca="false">IF(I$43=5,Quesería!$F$87,IF(I$43=6,Quesería!$F$88,0))*$C$11</f>
        <v>0</v>
      </c>
      <c r="J94" s="35" t="n">
        <f aca="false">IF(J$43=5,Quesería!$F$87,IF(J$43=6,Quesería!$F$88,0))*$C$11</f>
        <v>0</v>
      </c>
      <c r="K94" s="35" t="n">
        <f aca="false">IF(K$43=5,Quesería!$F$87,IF(K$43=6,Quesería!$F$88,0))*$C$11</f>
        <v>0</v>
      </c>
      <c r="L94" s="35" t="n">
        <f aca="false">IF(L$43=5,Quesería!$F$87,IF(L$43=6,Quesería!$F$88,0))*$C$11</f>
        <v>0</v>
      </c>
    </row>
    <row r="95" customFormat="false" ht="15" hidden="false" customHeight="false" outlineLevel="0" collapsed="false">
      <c r="A95" s="6" t="s">
        <v>286</v>
      </c>
      <c r="B95" s="35" t="n">
        <f aca="false">Quesería!$B$36*(IF(B$43=0,SUMPRODUCT((Quesería!$C$62:$C$77=0)*(Quesería!$H$62:$H$77&gt;0)*(Quesería!$J$62:$J$77&gt;0)*Quesería!$F$62:$F$77*(1+Quesería!$I$62:$I$77)),IF(B$43=1,SUMPRODUCT((Quesería!$C$62:$C$77=1)*(Quesería!$H$62:$H$77&gt;0)*(Quesería!$J$62:$J$77&gt;0)*Quesería!$F$62:$F$77*(1+Quesería!$I$62:$I$77))*$C$21,0))*$C$11+B94)</f>
        <v>99.347875488093</v>
      </c>
      <c r="C95" s="35" t="n">
        <f aca="false">Quesería!$B$36*(IF(C$43=0,SUMPRODUCT((Quesería!$C$62:$C$77=0)*(Quesería!$H$62:$H$77&gt;0)*(Quesería!$J$62:$J$77&gt;0)*Quesería!$F$62:$F$77*(1+Quesería!$I$62:$I$77)),IF(C$43=1,SUMPRODUCT((Quesería!$C$62:$C$77=1)*(Quesería!$H$62:$H$77&gt;0)*(Quesería!$J$62:$J$77&gt;0)*Quesería!$F$62:$F$77*(1+Quesería!$I$62:$I$77))*$C$21,0))*$C$11+C94)</f>
        <v>122.601316829938</v>
      </c>
      <c r="D95" s="35" t="n">
        <f aca="false">Quesería!$B$36*(IF(D$43=0,SUMPRODUCT((Quesería!$C$62:$C$77=0)*(Quesería!$H$62:$H$77&gt;0)*(Quesería!$J$62:$J$77&gt;0)*Quesería!$F$62:$F$77*(1+Quesería!$I$62:$I$77)),IF(D$43=1,SUMPRODUCT((Quesería!$C$62:$C$77=1)*(Quesería!$H$62:$H$77&gt;0)*(Quesería!$J$62:$J$77&gt;0)*Quesería!$F$62:$F$77*(1+Quesería!$I$62:$I$77))*$C$21,0))*$C$11+D94)</f>
        <v>0</v>
      </c>
      <c r="E95" s="35" t="n">
        <f aca="false">Quesería!$B$36*(IF(E$43=0,SUMPRODUCT((Quesería!$C$62:$C$77=0)*(Quesería!$H$62:$H$77&gt;0)*(Quesería!$J$62:$J$77&gt;0)*Quesería!$F$62:$F$77*(1+Quesería!$I$62:$I$77)),IF(E$43=1,SUMPRODUCT((Quesería!$C$62:$C$77=1)*(Quesería!$H$62:$H$77&gt;0)*(Quesería!$J$62:$J$77&gt;0)*Quesería!$F$62:$F$77*(1+Quesería!$I$62:$I$77))*$C$21,0))*$C$11+E94)</f>
        <v>0</v>
      </c>
      <c r="F95" s="35" t="n">
        <f aca="false">Quesería!$B$36*(IF(F$43=0,SUMPRODUCT((Quesería!$C$62:$C$77=0)*(Quesería!$H$62:$H$77&gt;0)*(Quesería!$J$62:$J$77&gt;0)*Quesería!$F$62:$F$77*(1+Quesería!$I$62:$I$77)),IF(F$43=1,SUMPRODUCT((Quesería!$C$62:$C$77=1)*(Quesería!$H$62:$H$77&gt;0)*(Quesería!$J$62:$J$77&gt;0)*Quesería!$F$62:$F$77*(1+Quesería!$I$62:$I$77))*$C$21,0))*$C$11+F94)</f>
        <v>0</v>
      </c>
      <c r="G95" s="35" t="n">
        <f aca="false">Quesería!$B$36*(IF(G$43=0,SUMPRODUCT((Quesería!$C$62:$C$77=0)*(Quesería!$H$62:$H$77&gt;0)*(Quesería!$J$62:$J$77&gt;0)*Quesería!$F$62:$F$77*(1+Quesería!$I$62:$I$77)),IF(G$43=1,SUMPRODUCT((Quesería!$C$62:$C$77=1)*(Quesería!$H$62:$H$77&gt;0)*(Quesería!$J$62:$J$77&gt;0)*Quesería!$F$62:$F$77*(1+Quesería!$I$62:$I$77))*$C$21,0))*$C$11+G94)</f>
        <v>5.06666666666667</v>
      </c>
      <c r="H95" s="35" t="n">
        <f aca="false">Quesería!$B$36*(IF(H$43=0,SUMPRODUCT((Quesería!$C$62:$C$77=0)*(Quesería!$H$62:$H$77&gt;0)*(Quesería!$J$62:$J$77&gt;0)*Quesería!$F$62:$F$77*(1+Quesería!$I$62:$I$77)),IF(H$43=1,SUMPRODUCT((Quesería!$C$62:$C$77=1)*(Quesería!$H$62:$H$77&gt;0)*(Quesería!$J$62:$J$77&gt;0)*Quesería!$F$62:$F$77*(1+Quesería!$I$62:$I$77))*$C$21,0))*$C$11+H94)</f>
        <v>6.70786508076667</v>
      </c>
      <c r="I95" s="35" t="n">
        <f aca="false">Quesería!$B$36*(IF(I$43=0,SUMPRODUCT((Quesería!$C$62:$C$77=0)*(Quesería!$H$62:$H$77&gt;0)*(Quesería!$J$62:$J$77&gt;0)*Quesería!$F$62:$F$77*(1+Quesería!$I$62:$I$77)),IF(I$43=1,SUMPRODUCT((Quesería!$C$62:$C$77=1)*(Quesería!$H$62:$H$77&gt;0)*(Quesería!$J$62:$J$77&gt;0)*Quesería!$F$62:$F$77*(1+Quesería!$I$62:$I$77))*$C$21,0))*$C$11+I94)</f>
        <v>0</v>
      </c>
      <c r="J95" s="35" t="n">
        <f aca="false">Quesería!$B$36*(IF(J$43=0,SUMPRODUCT((Quesería!$C$62:$C$77=0)*(Quesería!$H$62:$H$77&gt;0)*(Quesería!$J$62:$J$77&gt;0)*Quesería!$F$62:$F$77*(1+Quesería!$I$62:$I$77)),IF(J$43=1,SUMPRODUCT((Quesería!$C$62:$C$77=1)*(Quesería!$H$62:$H$77&gt;0)*(Quesería!$J$62:$J$77&gt;0)*Quesería!$F$62:$F$77*(1+Quesería!$I$62:$I$77))*$C$21,0))*$C$11+J94)</f>
        <v>0</v>
      </c>
      <c r="K95" s="35" t="n">
        <f aca="false">Quesería!$B$36*(IF(K$43=0,SUMPRODUCT((Quesería!$C$62:$C$77=0)*(Quesería!$H$62:$H$77&gt;0)*(Quesería!$J$62:$J$77&gt;0)*Quesería!$F$62:$F$77*(1+Quesería!$I$62:$I$77)),IF(K$43=1,SUMPRODUCT((Quesería!$C$62:$C$77=1)*(Quesería!$H$62:$H$77&gt;0)*(Quesería!$J$62:$J$77&gt;0)*Quesería!$F$62:$F$77*(1+Quesería!$I$62:$I$77))*$C$21,0))*$C$11+K94)</f>
        <v>0</v>
      </c>
      <c r="L95" s="35" t="n">
        <f aca="false">Quesería!$B$36*(IF(L$43=0,SUMPRODUCT((Quesería!$C$62:$C$77=0)*(Quesería!$H$62:$H$77&gt;0)*(Quesería!$J$62:$J$77&gt;0)*Quesería!$F$62:$F$77*(1+Quesería!$I$62:$I$77)),IF(L$43=1,SUMPRODUCT((Quesería!$C$62:$C$77=1)*(Quesería!$H$62:$H$77&gt;0)*(Quesería!$J$62:$J$77&gt;0)*Quesería!$F$62:$F$77*(1+Quesería!$I$62:$I$77))*$C$21,0))*$C$11+L94)</f>
        <v>0</v>
      </c>
    </row>
    <row r="96" customFormat="false" ht="15" hidden="false" customHeight="false" outlineLevel="0" collapsed="false">
      <c r="A96" s="6" t="s">
        <v>260</v>
      </c>
      <c r="B96" s="35" t="n">
        <f aca="false">IF(B$43=0,($C$22*Quesería!$J$109+(1-$C$22)*Quesería!$E$105)*Quesería!$B$12*Quesería!$B$13/12*$C$23,(($C$22*Quesería!$J$109+(1-$C$22)*Quesería!$E$105)+($C$22*Quesería!$J$92+(1-$C$22)*Quesería!$E$92)*(B91-1))*IF(B$43=1,Quesería!$B$12,1))*$C$10</f>
        <v>30.0801799076979</v>
      </c>
      <c r="C96" s="35" t="n">
        <f aca="false">IF(C$43=0,($C$22*Quesería!$J$109+(1-$C$22)*Quesería!$E$105)*Quesería!$B$12*Quesería!$B$13/12*$C$23,(($C$22*Quesería!$J$109+(1-$C$22)*Quesería!$E$105)+($C$22*Quesería!$J$92+(1-$C$22)*Quesería!$E$92)*(C91-1))*IF(C$43=1,Quesería!$B$12,1))*$C$10</f>
        <v>90.4304089447919</v>
      </c>
      <c r="D96" s="35" t="n">
        <f aca="false">IF(D$43=0,($C$22*Quesería!$J$109+(1-$C$22)*Quesería!$E$105)*Quesería!$B$12*Quesería!$B$13/12*$C$23,(($C$22*Quesería!$J$109+(1-$C$22)*Quesería!$E$105)+($C$22*Quesería!$J$92+(1-$C$22)*Quesería!$E$92)*(D91-1))*IF(D$43=1,Quesería!$B$12,1))*$C$10</f>
        <v>120.619244387867</v>
      </c>
      <c r="E96" s="35" t="n">
        <f aca="false">IF(E$43=0,($C$22*Quesería!$J$109+(1-$C$22)*Quesería!$E$105)*Quesería!$B$12*Quesería!$B$13/12*$C$23,(($C$22*Quesería!$J$109+(1-$C$22)*Quesería!$E$105)+($C$22*Quesería!$J$92+(1-$C$22)*Quesería!$E$92)*(E91-1))*IF(E$43=1,Quesería!$B$12,1))*$C$10</f>
        <v>120.664837011653</v>
      </c>
      <c r="F96" s="35" t="n">
        <f aca="false">IF(F$43=0,($C$22*Quesería!$J$109+(1-$C$22)*Quesería!$E$105)*Quesería!$B$12*Quesería!$B$13/12*$C$23,(($C$22*Quesería!$J$109+(1-$C$22)*Quesería!$E$105)+($C$22*Quesería!$J$92+(1-$C$22)*Quesería!$E$92)*(F91-1))*IF(F$43=1,Quesería!$B$12,1))*$C$10</f>
        <v>120.710657598557</v>
      </c>
      <c r="G96" s="35" t="n">
        <f aca="false">IF(G$43=0,($C$22*Quesería!$J$109+(1-$C$22)*Quesería!$E$105)*Quesería!$B$12*Quesería!$B$13/12*$C$23,(($C$22*Quesería!$J$109+(1-$C$22)*Quesería!$E$105)+($C$22*Quesería!$J$92+(1-$C$22)*Quesería!$E$92)*(G91-1))*IF(G$43=1,Quesería!$B$12,1))*$C$10</f>
        <v>120.756707288396</v>
      </c>
      <c r="H96" s="35" t="n">
        <f aca="false">IF(H$43=0,($C$22*Quesería!$J$109+(1-$C$22)*Quesería!$E$105)*Quesería!$B$12*Quesería!$B$13/12*$C$23,(($C$22*Quesería!$J$109+(1-$C$22)*Quesería!$E$105)+($C$22*Quesería!$J$92+(1-$C$22)*Quesería!$E$92)*(H91-1))*IF(H$43=1,Quesería!$B$12,1))*$C$10</f>
        <v>120.802987226684</v>
      </c>
      <c r="I96" s="35" t="n">
        <f aca="false">IF(I$43=0,($C$22*Quesería!$J$109+(1-$C$22)*Quesería!$E$105)*Quesería!$B$12*Quesería!$B$13/12*$C$23,(($C$22*Quesería!$J$109+(1-$C$22)*Quesería!$E$105)+($C$22*Quesería!$J$92+(1-$C$22)*Quesería!$E$92)*(I91-1))*IF(I$43=1,Quesería!$B$12,1))*$C$10</f>
        <v>120.849498564663</v>
      </c>
      <c r="J96" s="35" t="n">
        <f aca="false">IF(J$43=0,($C$22*Quesería!$J$109+(1-$C$22)*Quesería!$E$105)*Quesería!$B$12*Quesería!$B$13/12*$C$23,(($C$22*Quesería!$J$109+(1-$C$22)*Quesería!$E$105)+($C$22*Quesería!$J$92+(1-$C$22)*Quesería!$E$92)*(J91-1))*IF(J$43=1,Quesería!$B$12,1))*$C$10</f>
        <v>120.896242459332</v>
      </c>
      <c r="K96" s="35" t="n">
        <f aca="false">IF(K$43=0,($C$22*Quesería!$J$109+(1-$C$22)*Quesería!$E$105)*Quesería!$B$12*Quesería!$B$13/12*$C$23,(($C$22*Quesería!$J$109+(1-$C$22)*Quesería!$E$105)+($C$22*Quesería!$J$92+(1-$C$22)*Quesería!$E$92)*(K91-1))*IF(K$43=1,Quesería!$B$12,1))*$C$10</f>
        <v>120.943220073475</v>
      </c>
      <c r="L96" s="35" t="n">
        <f aca="false">IF(L$43=0,($C$22*Quesería!$J$109+(1-$C$22)*Quesería!$E$105)*Quesería!$B$12*Quesería!$B$13/12*$C$23,(($C$22*Quesería!$J$109+(1-$C$22)*Quesería!$E$105)+($C$22*Quesería!$J$92+(1-$C$22)*Quesería!$E$92)*(L91-1))*IF(L$43=1,Quesería!$B$12,1))*$C$10</f>
        <v>120.990432575689</v>
      </c>
    </row>
    <row r="97" customFormat="false" ht="15" hidden="false" customHeight="false" outlineLevel="0" collapsed="false">
      <c r="A97" s="6" t="s">
        <v>261</v>
      </c>
      <c r="B97" s="35" t="n">
        <f aca="false">IF(B$43&lt;=1,0,((($C$22*Quesería!$J$110+(1-$C$22)*Quesería!$E$106)-($C$22*Quesería!$J$99+(1-$C$22)*Quesería!$E$99)+$C$6*($C$22*Quesería!$J$99+(1-$C$22)*Quesería!$E$99)-(1-$C$9)*($C$22*Quesería!$J$102+(1-$C$22)*Quesería!$E$102))+($C$6*($C$22*Quesería!$J$99+(1-$C$22)*Quesería!$E$99)+$C$9*($C$22*Quesería!$J$102+(1-$C$22)*Quesería!$E$102))*(B91-1))*IF(B$43=2,Quesería!$B$12,1)+IF(B$43=2,Quesería!$B$14*$C$9*($C$22*Quesería!$J$102+(1-$C$22)*Quesería!$E$102)*B91,0))*$C$10*$C$21</f>
        <v>0</v>
      </c>
      <c r="C97" s="35" t="n">
        <f aca="false">IF(C$43&lt;=1,0,((($C$22*Quesería!$J$110+(1-$C$22)*Quesería!$E$106)-($C$22*Quesería!$J$99+(1-$C$22)*Quesería!$E$99)+$C$6*($C$22*Quesería!$J$99+(1-$C$22)*Quesería!$E$99)-(1-$C$9)*($C$22*Quesería!$J$102+(1-$C$22)*Quesería!$E$102))+($C$6*($C$22*Quesería!$J$99+(1-$C$22)*Quesería!$E$99)+$C$9*($C$22*Quesería!$J$102+(1-$C$22)*Quesería!$E$102))*(C91-1))*IF(C$43=2,Quesería!$B$12,1)+IF(C$43=2,Quesería!$B$14*$C$9*($C$22*Quesería!$J$102+(1-$C$22)*Quesería!$E$102)*C91,0))*$C$10*$C$21</f>
        <v>0</v>
      </c>
      <c r="D97" s="35" t="n">
        <f aca="false">IF(D$43&lt;=1,0,((($C$22*Quesería!$J$110+(1-$C$22)*Quesería!$E$106)-($C$22*Quesería!$J$99+(1-$C$22)*Quesería!$E$99)+$C$6*($C$22*Quesería!$J$99+(1-$C$22)*Quesería!$E$99)-(1-$C$9)*($C$22*Quesería!$J$102+(1-$C$22)*Quesería!$E$102))+($C$6*($C$22*Quesería!$J$99+(1-$C$22)*Quesería!$E$99)+$C$9*($C$22*Quesería!$J$102+(1-$C$22)*Quesería!$E$102))*(D91-1))*IF(D$43=2,Quesería!$B$12,1)+IF(D$43=2,Quesería!$B$14*$C$9*($C$22*Quesería!$J$102+(1-$C$22)*Quesería!$E$102)*D91,0))*$C$10*$C$21</f>
        <v>127.996936227655</v>
      </c>
      <c r="E97" s="35" t="n">
        <f aca="false">IF(E$43&lt;=1,0,((($C$22*Quesería!$J$110+(1-$C$22)*Quesería!$E$106)-($C$22*Quesería!$J$99+(1-$C$22)*Quesería!$E$99)+$C$6*($C$22*Quesería!$J$99+(1-$C$22)*Quesería!$E$99)-(1-$C$9)*($C$22*Quesería!$J$102+(1-$C$22)*Quesería!$E$102))+($C$6*($C$22*Quesería!$J$99+(1-$C$22)*Quesería!$E$99)+$C$9*($C$22*Quesería!$J$102+(1-$C$22)*Quesería!$E$102))*(E91-1))*IF(E$43=2,Quesería!$B$12,1)+IF(E$43=2,Quesería!$B$14*$C$9*($C$22*Quesería!$J$102+(1-$C$22)*Quesería!$E$102)*E91,0))*$C$10*$C$21</f>
        <v>156.006879244149</v>
      </c>
      <c r="F97" s="35" t="n">
        <f aca="false">IF(F$43&lt;=1,0,((($C$22*Quesería!$J$110+(1-$C$22)*Quesería!$E$106)-($C$22*Quesería!$J$99+(1-$C$22)*Quesería!$E$99)+$C$6*($C$22*Quesería!$J$99+(1-$C$22)*Quesería!$E$99)-(1-$C$9)*($C$22*Quesería!$J$102+(1-$C$22)*Quesería!$E$102))+($C$6*($C$22*Quesería!$J$99+(1-$C$22)*Quesería!$E$99)+$C$9*($C$22*Quesería!$J$102+(1-$C$22)*Quesería!$E$102))*(F91-1))*IF(F$43=2,Quesería!$B$12,1)+IF(F$43=2,Quesería!$B$14*$C$9*($C$22*Quesería!$J$102+(1-$C$22)*Quesería!$E$102)*F91,0))*$C$10*$C$21</f>
        <v>156.239722634744</v>
      </c>
      <c r="G97" s="35" t="n">
        <f aca="false">IF(G$43&lt;=1,0,((($C$22*Quesería!$J$110+(1-$C$22)*Quesería!$E$106)-($C$22*Quesería!$J$99+(1-$C$22)*Quesería!$E$99)+$C$6*($C$22*Quesería!$J$99+(1-$C$22)*Quesería!$E$99)-(1-$C$9)*($C$22*Quesería!$J$102+(1-$C$22)*Quesería!$E$102))+($C$6*($C$22*Quesería!$J$99+(1-$C$22)*Quesería!$E$99)+$C$9*($C$22*Quesería!$J$102+(1-$C$22)*Quesería!$E$102))*(G91-1))*IF(G$43=2,Quesería!$B$12,1)+IF(G$43=2,Quesería!$B$14*$C$9*($C$22*Quesería!$J$102+(1-$C$22)*Quesería!$E$102)*G91,0))*$C$10*$C$21</f>
        <v>156.473730242292</v>
      </c>
      <c r="H97" s="35" t="n">
        <f aca="false">IF(H$43&lt;=1,0,((($C$22*Quesería!$J$110+(1-$C$22)*Quesería!$E$106)-($C$22*Quesería!$J$99+(1-$C$22)*Quesería!$E$99)+$C$6*($C$22*Quesería!$J$99+(1-$C$22)*Quesería!$E$99)-(1-$C$9)*($C$22*Quesería!$J$102+(1-$C$22)*Quesería!$E$102))+($C$6*($C$22*Quesería!$J$99+(1-$C$22)*Quesería!$E$99)+$C$9*($C$22*Quesería!$J$102+(1-$C$22)*Quesería!$E$102))*(H91-1))*IF(H$43=2,Quesería!$B$12,1)+IF(H$43=2,Quesería!$B$14*$C$9*($C$22*Quesería!$J$102+(1-$C$22)*Quesería!$E$102)*H91,0))*$C$10*$C$21</f>
        <v>156.708907887878</v>
      </c>
      <c r="I97" s="35" t="n">
        <f aca="false">IF(I$43&lt;=1,0,((($C$22*Quesería!$J$110+(1-$C$22)*Quesería!$E$106)-($C$22*Quesería!$J$99+(1-$C$22)*Quesería!$E$99)+$C$6*($C$22*Quesería!$J$99+(1-$C$22)*Quesería!$E$99)-(1-$C$9)*($C$22*Quesería!$J$102+(1-$C$22)*Quesería!$E$102))+($C$6*($C$22*Quesería!$J$99+(1-$C$22)*Quesería!$E$99)+$C$9*($C$22*Quesería!$J$102+(1-$C$22)*Quesería!$E$102))*(I91-1))*IF(I$43=2,Quesería!$B$12,1)+IF(I$43=2,Quesería!$B$14*$C$9*($C$22*Quesería!$J$102+(1-$C$22)*Quesería!$E$102)*I91,0))*$C$10*$C$21</f>
        <v>156.945261421692</v>
      </c>
      <c r="J97" s="35" t="n">
        <f aca="false">IF(J$43&lt;=1,0,((($C$22*Quesería!$J$110+(1-$C$22)*Quesería!$E$106)-($C$22*Quesería!$J$99+(1-$C$22)*Quesería!$E$99)+$C$6*($C$22*Quesería!$J$99+(1-$C$22)*Quesería!$E$99)-(1-$C$9)*($C$22*Quesería!$J$102+(1-$C$22)*Quesería!$E$102))+($C$6*($C$22*Quesería!$J$99+(1-$C$22)*Quesería!$E$99)+$C$9*($C$22*Quesería!$J$102+(1-$C$22)*Quesería!$E$102))*(J91-1))*IF(J$43=2,Quesería!$B$12,1)+IF(J$43=2,Quesería!$B$14*$C$9*($C$22*Quesería!$J$102+(1-$C$22)*Quesería!$E$102)*J91,0))*$C$10*$C$21</f>
        <v>157.182796723176</v>
      </c>
      <c r="K97" s="35" t="n">
        <f aca="false">IF(K$43&lt;=1,0,((($C$22*Quesería!$J$110+(1-$C$22)*Quesería!$E$106)-($C$22*Quesería!$J$99+(1-$C$22)*Quesería!$E$99)+$C$6*($C$22*Quesería!$J$99+(1-$C$22)*Quesería!$E$99)-(1-$C$9)*($C$22*Quesería!$J$102+(1-$C$22)*Quesería!$E$102))+($C$6*($C$22*Quesería!$J$99+(1-$C$22)*Quesería!$E$99)+$C$9*($C$22*Quesería!$J$102+(1-$C$22)*Quesería!$E$102))*(K91-1))*IF(K$43=2,Quesería!$B$12,1)+IF(K$43=2,Quesería!$B$14*$C$9*($C$22*Quesería!$J$102+(1-$C$22)*Quesería!$E$102)*K91,0))*$C$10*$C$21</f>
        <v>157.421519701166</v>
      </c>
      <c r="L97" s="35" t="n">
        <f aca="false">IF(L$43&lt;=1,0,((($C$22*Quesería!$J$110+(1-$C$22)*Quesería!$E$106)-($C$22*Quesería!$J$99+(1-$C$22)*Quesería!$E$99)+$C$6*($C$22*Quesería!$J$99+(1-$C$22)*Quesería!$E$99)-(1-$C$9)*($C$22*Quesería!$J$102+(1-$C$22)*Quesería!$E$102))+($C$6*($C$22*Quesería!$J$99+(1-$C$22)*Quesería!$E$99)+$C$9*($C$22*Quesería!$J$102+(1-$C$22)*Quesería!$E$102))*(L91-1))*IF(L$43=2,Quesería!$B$12,1)+IF(L$43=2,Quesería!$B$14*$C$9*($C$22*Quesería!$J$102+(1-$C$22)*Quesería!$E$102)*L91,0))*$C$10*$C$21</f>
        <v>157.661436294046</v>
      </c>
    </row>
    <row r="98" customFormat="false" ht="15" hidden="false" customHeight="false" outlineLevel="0" collapsed="false">
      <c r="A98" s="5" t="s">
        <v>287</v>
      </c>
      <c r="B98" s="10" t="n">
        <f aca="false">B96+B97</f>
        <v>30.0801799076979</v>
      </c>
      <c r="C98" s="10" t="n">
        <f aca="false">C96+C97</f>
        <v>90.4304089447919</v>
      </c>
      <c r="D98" s="10" t="n">
        <f aca="false">D96+D97</f>
        <v>248.616180615522</v>
      </c>
      <c r="E98" s="10" t="n">
        <f aca="false">E96+E97</f>
        <v>276.671716255801</v>
      </c>
      <c r="F98" s="10" t="n">
        <f aca="false">F96+F97</f>
        <v>276.950380233301</v>
      </c>
      <c r="G98" s="10" t="n">
        <f aca="false">G96+G97</f>
        <v>277.230437530688</v>
      </c>
      <c r="H98" s="10" t="n">
        <f aca="false">H96+H97</f>
        <v>277.511895114562</v>
      </c>
      <c r="I98" s="10" t="n">
        <f aca="false">I96+I97</f>
        <v>277.794759986356</v>
      </c>
      <c r="J98" s="10" t="n">
        <f aca="false">J96+J97</f>
        <v>278.079039182508</v>
      </c>
      <c r="K98" s="10" t="n">
        <f aca="false">K96+K97</f>
        <v>278.364739774641</v>
      </c>
      <c r="L98" s="10" t="n">
        <f aca="false">L96+L97</f>
        <v>278.651868869735</v>
      </c>
    </row>
    <row r="99" customFormat="false" ht="15" hidden="false" customHeight="false" outlineLevel="0" collapsed="false">
      <c r="A99" s="6" t="s">
        <v>288</v>
      </c>
      <c r="B99" s="35" t="n">
        <f aca="false">(IF(B$43&gt;=1,(Quesería!$B$21+Quesería!$B$54)*Quesería!$F$82*$C$11+Quesería!$B$22+'Beneficios y costos'!$B$118,0)+IF(B$43&gt;=2,((Quesería!$B$21+Quesería!$B$54)*Quesería!$F$83*$C$11+'Beneficios y costos'!$C$118)*$C$21,0))*$C$12</f>
        <v>0</v>
      </c>
      <c r="C99" s="35" t="n">
        <f aca="false">(IF(C$43&gt;=1,(Quesería!$B$21+Quesería!$B$54)*Quesería!$F$82*$C$11+Quesería!$B$22+'Beneficios y costos'!$B$118,0)+IF(C$43&gt;=2,((Quesería!$B$21+Quesería!$B$54)*Quesería!$F$83*$C$11+'Beneficios y costos'!$C$118)*$C$21,0))*$C$12</f>
        <v>36.8921528634167</v>
      </c>
      <c r="D99" s="35" t="n">
        <f aca="false">(IF(D$43&gt;=1,(Quesería!$B$21+Quesería!$B$54)*Quesería!$F$82*$C$11+Quesería!$B$22+'Beneficios y costos'!$B$118,0)+IF(D$43&gt;=2,((Quesería!$B$21+Quesería!$B$54)*Quesería!$F$83*$C$11+'Beneficios y costos'!$C$118)*$C$21,0))*$C$12</f>
        <v>88.8065043646377</v>
      </c>
      <c r="E99" s="35" t="n">
        <f aca="false">(IF(E$43&gt;=1,(Quesería!$B$21+Quesería!$B$54)*Quesería!$F$82*$C$11+Quesería!$B$22+'Beneficios y costos'!$B$118,0)+IF(E$43&gt;=2,((Quesería!$B$21+Quesería!$B$54)*Quesería!$F$83*$C$11+'Beneficios y costos'!$C$118)*$C$21,0))*$C$12</f>
        <v>88.8065043646377</v>
      </c>
      <c r="F99" s="35" t="n">
        <f aca="false">(IF(F$43&gt;=1,(Quesería!$B$21+Quesería!$B$54)*Quesería!$F$82*$C$11+Quesería!$B$22+'Beneficios y costos'!$B$118,0)+IF(F$43&gt;=2,((Quesería!$B$21+Quesería!$B$54)*Quesería!$F$83*$C$11+'Beneficios y costos'!$C$118)*$C$21,0))*$C$12</f>
        <v>88.8065043646377</v>
      </c>
      <c r="G99" s="35" t="n">
        <f aca="false">(IF(G$43&gt;=1,(Quesería!$B$21+Quesería!$B$54)*Quesería!$F$82*$C$11+Quesería!$B$22+'Beneficios y costos'!$B$118,0)+IF(G$43&gt;=2,((Quesería!$B$21+Quesería!$B$54)*Quesería!$F$83*$C$11+'Beneficios y costos'!$C$118)*$C$21,0))*$C$12</f>
        <v>88.8065043646377</v>
      </c>
      <c r="H99" s="35" t="n">
        <f aca="false">(IF(H$43&gt;=1,(Quesería!$B$21+Quesería!$B$54)*Quesería!$F$82*$C$11+Quesería!$B$22+'Beneficios y costos'!$B$118,0)+IF(H$43&gt;=2,((Quesería!$B$21+Quesería!$B$54)*Quesería!$F$83*$C$11+'Beneficios y costos'!$C$118)*$C$21,0))*$C$12</f>
        <v>88.8065043646377</v>
      </c>
      <c r="I99" s="35" t="n">
        <f aca="false">(IF(I$43&gt;=1,(Quesería!$B$21+Quesería!$B$54)*Quesería!$F$82*$C$11+Quesería!$B$22+'Beneficios y costos'!$B$118,0)+IF(I$43&gt;=2,((Quesería!$B$21+Quesería!$B$54)*Quesería!$F$83*$C$11+'Beneficios y costos'!$C$118)*$C$21,0))*$C$12</f>
        <v>88.8065043646377</v>
      </c>
      <c r="J99" s="35" t="n">
        <f aca="false">(IF(J$43&gt;=1,(Quesería!$B$21+Quesería!$B$54)*Quesería!$F$82*$C$11+Quesería!$B$22+'Beneficios y costos'!$B$118,0)+IF(J$43&gt;=2,((Quesería!$B$21+Quesería!$B$54)*Quesería!$F$83*$C$11+'Beneficios y costos'!$C$118)*$C$21,0))*$C$12</f>
        <v>88.8065043646377</v>
      </c>
      <c r="K99" s="35" t="n">
        <f aca="false">(IF(K$43&gt;=1,(Quesería!$B$21+Quesería!$B$54)*Quesería!$F$82*$C$11+Quesería!$B$22+'Beneficios y costos'!$B$118,0)+IF(K$43&gt;=2,((Quesería!$B$21+Quesería!$B$54)*Quesería!$F$83*$C$11+'Beneficios y costos'!$C$118)*$C$21,0))*$C$12</f>
        <v>88.8065043646377</v>
      </c>
      <c r="L99" s="35" t="n">
        <f aca="false">(IF(L$43&gt;=1,(Quesería!$B$21+Quesería!$B$54)*Quesería!$F$82*$C$11+Quesería!$B$22+'Beneficios y costos'!$B$118,0)+IF(L$43&gt;=2,((Quesería!$B$21+Quesería!$B$54)*Quesería!$F$83*$C$11+'Beneficios y costos'!$C$118)*$C$21,0))*$C$12</f>
        <v>88.8065043646377</v>
      </c>
    </row>
    <row r="100" customFormat="false" ht="15" hidden="false" customHeight="false" outlineLevel="0" collapsed="false">
      <c r="A100" s="6" t="s">
        <v>289</v>
      </c>
      <c r="B100" s="35" t="n">
        <f aca="false">IF(B$43=1,2*Quesería!$B$33*Quesería!$B$34/12*B91,0)*$C$21</f>
        <v>0</v>
      </c>
      <c r="C100" s="35" t="n">
        <f aca="false">IF(C$43=1,2*Quesería!$B$33*Quesería!$B$34/12*C91,0)*$C$21</f>
        <v>18.5166509433962</v>
      </c>
      <c r="D100" s="35" t="n">
        <f aca="false">IF(D$43=1,2*Quesería!$B$33*Quesería!$B$34/12*D91,0)*$C$21</f>
        <v>0</v>
      </c>
      <c r="E100" s="35" t="n">
        <f aca="false">IF(E$43=1,2*Quesería!$B$33*Quesería!$B$34/12*E91,0)*$C$21</f>
        <v>0</v>
      </c>
      <c r="F100" s="35" t="n">
        <f aca="false">IF(F$43=1,2*Quesería!$B$33*Quesería!$B$34/12*F91,0)*$C$21</f>
        <v>0</v>
      </c>
      <c r="G100" s="35" t="n">
        <f aca="false">IF(G$43=1,2*Quesería!$B$33*Quesería!$B$34/12*G91,0)*$C$21</f>
        <v>0</v>
      </c>
      <c r="H100" s="35" t="n">
        <f aca="false">IF(H$43=1,2*Quesería!$B$33*Quesería!$B$34/12*H91,0)*$C$21</f>
        <v>0</v>
      </c>
      <c r="I100" s="35" t="n">
        <f aca="false">IF(I$43=1,2*Quesería!$B$33*Quesería!$B$34/12*I91,0)*$C$21</f>
        <v>0</v>
      </c>
      <c r="J100" s="35" t="n">
        <f aca="false">IF(J$43=1,2*Quesería!$B$33*Quesería!$B$34/12*J91,0)*$C$21</f>
        <v>0</v>
      </c>
      <c r="K100" s="35" t="n">
        <f aca="false">IF(K$43=1,2*Quesería!$B$33*Quesería!$B$34/12*K91,0)*$C$21</f>
        <v>0</v>
      </c>
      <c r="L100" s="35" t="n">
        <f aca="false">IF(L$43=1,2*Quesería!$B$33*Quesería!$B$34/12*L91,0)*$C$21</f>
        <v>0</v>
      </c>
    </row>
    <row r="101" customFormat="false" ht="15" hidden="false" customHeight="false" outlineLevel="0" collapsed="false">
      <c r="A101" s="6" t="s">
        <v>290</v>
      </c>
      <c r="B101" s="35" t="n">
        <f aca="false">Quesería!$B$45*(B93+B94+B95+B99+B100)</f>
        <v>2.88636599924197</v>
      </c>
      <c r="C101" s="35" t="n">
        <f aca="false">Quesería!$B$45*(C93+C94+C95+C99+C100)</f>
        <v>3.29312083686149</v>
      </c>
      <c r="D101" s="35" t="n">
        <f aca="false">Quesería!$B$45*(D93+D94+D95+D99+D100)</f>
        <v>0.355226017458551</v>
      </c>
      <c r="E101" s="35" t="n">
        <f aca="false">Quesería!$B$45*(E93+E94+E95+E99+E100)</f>
        <v>0.355226017458551</v>
      </c>
      <c r="F101" s="35" t="n">
        <f aca="false">Quesería!$B$45*(F93+F94+F95+F99+F100)</f>
        <v>0.355226017458551</v>
      </c>
      <c r="G101" s="35" t="n">
        <f aca="false">Quesería!$B$45*(G93+G94+G95+G99+G100)</f>
        <v>0.482159350791884</v>
      </c>
      <c r="H101" s="35" t="n">
        <f aca="false">Quesería!$B$45*(H93+H94+H95+H99+H100)</f>
        <v>0.523275690008284</v>
      </c>
      <c r="I101" s="35" t="n">
        <f aca="false">Quesería!$B$45*(I93+I94+I95+I99+I100)</f>
        <v>0.355226017458551</v>
      </c>
      <c r="J101" s="35" t="n">
        <f aca="false">Quesería!$B$45*(J93+J94+J95+J99+J100)</f>
        <v>0.355226017458551</v>
      </c>
      <c r="K101" s="35" t="n">
        <f aca="false">Quesería!$B$45*(K93+K94+K95+K99+K100)</f>
        <v>0.355226017458551</v>
      </c>
      <c r="L101" s="35" t="n">
        <f aca="false">Quesería!$B$45*(L93+L94+L95+L99+L100)</f>
        <v>0.355226017458551</v>
      </c>
    </row>
    <row r="102" customFormat="false" ht="15" hidden="false" customHeight="false" outlineLevel="0" collapsed="false">
      <c r="A102" s="6" t="s">
        <v>291</v>
      </c>
      <c r="B102" s="35" t="n">
        <f aca="false">(IF($C$19=1,(SUMPRODUCT((Quesería!$C$62:$C$77=0)*(Quesería!$J$62:$J$77&gt;0)*(B$43&gt;=1)*(B$43&lt;=Quesería!$J$62:$J$77)*(Quesería!$H$62:$H$77&gt;0)*Quesería!$F$62:$F$77*(1+Quesería!$I$62:$I$77)/(Quesería!$J$62:$J$77+(Quesería!$J$62:$J$77=0)))+SUMPRODUCT((Quesería!$C$62:$C$77=0)*(Quesería!$J$62:$J$77=0)*(B$43=0)*(Quesería!$H$62:$H$77&gt;0)*Quesería!$F$62:$F$77*(1+Quesería!$I$62:$I$77)))*$B$90+(SUMPRODUCT((Quesería!$C$62:$C$77=1)*(Quesería!$J$62:$J$77&gt;0)*(B$43&gt;=2)*(B$43&lt;=Quesería!$J$62:$J$77+1)*(Quesería!$H$62:$H$77&gt;0)*Quesería!$F$62:$F$77*(1+Quesería!$I$62:$I$77)/(Quesería!$J$62:$J$77+(Quesería!$J$62:$J$77=0)))+SUMPRODUCT((Quesería!$C$62:$C$77=1)*(Quesería!$J$62:$J$77=0)*(B$43=1)*(Quesería!$H$62:$H$77&gt;0)*Quesería!$F$62:$F$77*(1+Quesería!$I$62:$I$77)))*$C$90*$C$21,IF(AND(B$43&gt;=1,B$43&lt;=Quesería!$B$11),Quesería!$F$80/Quesería!$B$11,0)*$B$90+IF(AND(B$43&gt;=2,B$43&lt;=Quesería!$B$11+1),Quesería!$F$81/Quesería!$B$11,0)*$C$90*$C$21)*$C$11+IF(AND(B$43&gt;=6,B$43&lt;=10),$G94*$G90/5,0)+IF(AND(B$43&gt;=7,B$43&lt;=11),$H94*$H90/5,0))*B92</f>
        <v>99.3600691219113</v>
      </c>
      <c r="C102" s="35" t="n">
        <f aca="false">(IF($C$19=1,(SUMPRODUCT((Quesería!$C$62:$C$77=0)*(Quesería!$J$62:$J$77&gt;0)*(C$43&gt;=1)*(C$43&lt;=Quesería!$J$62:$J$77)*(Quesería!$H$62:$H$77&gt;0)*Quesería!$F$62:$F$77*(1+Quesería!$I$62:$I$77)/(Quesería!$J$62:$J$77+(Quesería!$J$62:$J$77=0)))+SUMPRODUCT((Quesería!$C$62:$C$77=0)*(Quesería!$J$62:$J$77=0)*(C$43=0)*(Quesería!$H$62:$H$77&gt;0)*Quesería!$F$62:$F$77*(1+Quesería!$I$62:$I$77)))*$B$90+(SUMPRODUCT((Quesería!$C$62:$C$77=1)*(Quesería!$J$62:$J$77&gt;0)*(C$43&gt;=2)*(C$43&lt;=Quesería!$J$62:$J$77+1)*(Quesería!$H$62:$H$77&gt;0)*Quesería!$F$62:$F$77*(1+Quesería!$I$62:$I$77)/(Quesería!$J$62:$J$77+(Quesería!$J$62:$J$77=0)))+SUMPRODUCT((Quesería!$C$62:$C$77=1)*(Quesería!$J$62:$J$77=0)*(C$43=1)*(Quesería!$H$62:$H$77&gt;0)*Quesería!$F$62:$F$77*(1+Quesería!$I$62:$I$77)))*$C$90*$C$21,IF(AND(C$43&gt;=1,C$43&lt;=Quesería!$B$11),Quesería!$F$80/Quesería!$B$11,0)*$B$90+IF(AND(C$43&gt;=2,C$43&lt;=Quesería!$B$11+1),Quesería!$F$81/Quesería!$B$11,0)*$C$90*$C$21)*$C$11+IF(AND(C$43&gt;=6,C$43&lt;=10),$G94*$G90/5,0)+IF(AND(C$43&gt;=7,C$43&lt;=11),$H94*$H90/5,0))*C92</f>
        <v>57.1000211302053</v>
      </c>
      <c r="D102" s="35" t="n">
        <f aca="false">(IF($C$19=1,(SUMPRODUCT((Quesería!$C$62:$C$77=0)*(Quesería!$J$62:$J$77&gt;0)*(D$43&gt;=1)*(D$43&lt;=Quesería!$J$62:$J$77)*(Quesería!$H$62:$H$77&gt;0)*Quesería!$F$62:$F$77*(1+Quesería!$I$62:$I$77)/(Quesería!$J$62:$J$77+(Quesería!$J$62:$J$77=0)))+SUMPRODUCT((Quesería!$C$62:$C$77=0)*(Quesería!$J$62:$J$77=0)*(D$43=0)*(Quesería!$H$62:$H$77&gt;0)*Quesería!$F$62:$F$77*(1+Quesería!$I$62:$I$77)))*$B$90+(SUMPRODUCT((Quesería!$C$62:$C$77=1)*(Quesería!$J$62:$J$77&gt;0)*(D$43&gt;=2)*(D$43&lt;=Quesería!$J$62:$J$77+1)*(Quesería!$H$62:$H$77&gt;0)*Quesería!$F$62:$F$77*(1+Quesería!$I$62:$I$77)/(Quesería!$J$62:$J$77+(Quesería!$J$62:$J$77=0)))+SUMPRODUCT((Quesería!$C$62:$C$77=1)*(Quesería!$J$62:$J$77=0)*(D$43=1)*(Quesería!$H$62:$H$77&gt;0)*Quesería!$F$62:$F$77*(1+Quesería!$I$62:$I$77)))*$C$90*$C$21,IF(AND(D$43&gt;=1,D$43&lt;=Quesería!$B$11),Quesería!$F$80/Quesería!$B$11,0)*$B$90+IF(AND(D$43&gt;=2,D$43&lt;=Quesería!$B$11+1),Quesería!$F$81/Quesería!$B$11,0)*$C$90*$C$21)*$C$11+IF(AND(D$43&gt;=6,D$43&lt;=10),$G94*$G90/5,0)+IF(AND(D$43&gt;=7,D$43&lt;=11),$H94*$H90/5,0))*D92</f>
        <v>116.389502380926</v>
      </c>
      <c r="E102" s="35" t="n">
        <f aca="false">(IF($C$19=1,(SUMPRODUCT((Quesería!$C$62:$C$77=0)*(Quesería!$J$62:$J$77&gt;0)*(E$43&gt;=1)*(E$43&lt;=Quesería!$J$62:$J$77)*(Quesería!$H$62:$H$77&gt;0)*Quesería!$F$62:$F$77*(1+Quesería!$I$62:$I$77)/(Quesería!$J$62:$J$77+(Quesería!$J$62:$J$77=0)))+SUMPRODUCT((Quesería!$C$62:$C$77=0)*(Quesería!$J$62:$J$77=0)*(E$43=0)*(Quesería!$H$62:$H$77&gt;0)*Quesería!$F$62:$F$77*(1+Quesería!$I$62:$I$77)))*$B$90+(SUMPRODUCT((Quesería!$C$62:$C$77=1)*(Quesería!$J$62:$J$77&gt;0)*(E$43&gt;=2)*(E$43&lt;=Quesería!$J$62:$J$77+1)*(Quesería!$H$62:$H$77&gt;0)*Quesería!$F$62:$F$77*(1+Quesería!$I$62:$I$77)/(Quesería!$J$62:$J$77+(Quesería!$J$62:$J$77=0)))+SUMPRODUCT((Quesería!$C$62:$C$77=1)*(Quesería!$J$62:$J$77=0)*(E$43=1)*(Quesería!$H$62:$H$77&gt;0)*Quesería!$F$62:$F$77*(1+Quesería!$I$62:$I$77)))*$C$90*$C$21,IF(AND(E$43&gt;=1,E$43&lt;=Quesería!$B$11),Quesería!$F$80/Quesería!$B$11,0)*$B$90+IF(AND(E$43&gt;=2,E$43&lt;=Quesería!$B$11+1),Quesería!$F$81/Quesería!$B$11,0)*$C$90*$C$21)*$C$11+IF(AND(E$43&gt;=6,E$43&lt;=10),$G94*$G90/5,0)+IF(AND(E$43&gt;=7,E$43&lt;=11),$H94*$H90/5,0))*E92</f>
        <v>111.912983058583</v>
      </c>
      <c r="F102" s="35" t="n">
        <f aca="false">(IF($C$19=1,(SUMPRODUCT((Quesería!$C$62:$C$77=0)*(Quesería!$J$62:$J$77&gt;0)*(F$43&gt;=1)*(F$43&lt;=Quesería!$J$62:$J$77)*(Quesería!$H$62:$H$77&gt;0)*Quesería!$F$62:$F$77*(1+Quesería!$I$62:$I$77)/(Quesería!$J$62:$J$77+(Quesería!$J$62:$J$77=0)))+SUMPRODUCT((Quesería!$C$62:$C$77=0)*(Quesería!$J$62:$J$77=0)*(F$43=0)*(Quesería!$H$62:$H$77&gt;0)*Quesería!$F$62:$F$77*(1+Quesería!$I$62:$I$77)))*$B$90+(SUMPRODUCT((Quesería!$C$62:$C$77=1)*(Quesería!$J$62:$J$77&gt;0)*(F$43&gt;=2)*(F$43&lt;=Quesería!$J$62:$J$77+1)*(Quesería!$H$62:$H$77&gt;0)*Quesería!$F$62:$F$77*(1+Quesería!$I$62:$I$77)/(Quesería!$J$62:$J$77+(Quesería!$J$62:$J$77=0)))+SUMPRODUCT((Quesería!$C$62:$C$77=1)*(Quesería!$J$62:$J$77=0)*(F$43=1)*(Quesería!$H$62:$H$77&gt;0)*Quesería!$F$62:$F$77*(1+Quesería!$I$62:$I$77)))*$C$90*$C$21,IF(AND(F$43&gt;=1,F$43&lt;=Quesería!$B$11),Quesería!$F$80/Quesería!$B$11,0)*$B$90+IF(AND(F$43&gt;=2,F$43&lt;=Quesería!$B$11+1),Quesería!$F$81/Quesería!$B$11,0)*$C$90*$C$21)*$C$11+IF(AND(F$43&gt;=6,F$43&lt;=10),$G94*$G90/5,0)+IF(AND(F$43&gt;=7,F$43&lt;=11),$H94*$H90/5,0))*F92</f>
        <v>107.608637556329</v>
      </c>
      <c r="G102" s="35" t="n">
        <f aca="false">(IF($C$19=1,(SUMPRODUCT((Quesería!$C$62:$C$77=0)*(Quesería!$J$62:$J$77&gt;0)*(G$43&gt;=1)*(G$43&lt;=Quesería!$J$62:$J$77)*(Quesería!$H$62:$H$77&gt;0)*Quesería!$F$62:$F$77*(1+Quesería!$I$62:$I$77)/(Quesería!$J$62:$J$77+(Quesería!$J$62:$J$77=0)))+SUMPRODUCT((Quesería!$C$62:$C$77=0)*(Quesería!$J$62:$J$77=0)*(G$43=0)*(Quesería!$H$62:$H$77&gt;0)*Quesería!$F$62:$F$77*(1+Quesería!$I$62:$I$77)))*$B$90+(SUMPRODUCT((Quesería!$C$62:$C$77=1)*(Quesería!$J$62:$J$77&gt;0)*(G$43&gt;=2)*(G$43&lt;=Quesería!$J$62:$J$77+1)*(Quesería!$H$62:$H$77&gt;0)*Quesería!$F$62:$F$77*(1+Quesería!$I$62:$I$77)/(Quesería!$J$62:$J$77+(Quesería!$J$62:$J$77=0)))+SUMPRODUCT((Quesería!$C$62:$C$77=1)*(Quesería!$J$62:$J$77=0)*(G$43=1)*(Quesería!$H$62:$H$77&gt;0)*Quesería!$F$62:$F$77*(1+Quesería!$I$62:$I$77)))*$C$90*$C$21,IF(AND(G$43&gt;=1,G$43&lt;=Quesería!$B$11),Quesería!$F$80/Quesería!$B$11,0)*$B$90+IF(AND(G$43&gt;=2,G$43&lt;=Quesería!$B$11+1),Quesería!$F$81/Quesería!$B$11,0)*$C$90*$C$21)*$C$11+IF(AND(G$43&gt;=6,G$43&lt;=10),$G94*$G90/5,0)+IF(AND(G$43&gt;=7,G$43&lt;=11),$H94*$H90/5,0))*G92</f>
        <v>103.469843804163</v>
      </c>
      <c r="H102" s="35" t="n">
        <f aca="false">(IF($C$19=1,(SUMPRODUCT((Quesería!$C$62:$C$77=0)*(Quesería!$J$62:$J$77&gt;0)*(H$43&gt;=1)*(H$43&lt;=Quesería!$J$62:$J$77)*(Quesería!$H$62:$H$77&gt;0)*Quesería!$F$62:$F$77*(1+Quesería!$I$62:$I$77)/(Quesería!$J$62:$J$77+(Quesería!$J$62:$J$77=0)))+SUMPRODUCT((Quesería!$C$62:$C$77=0)*(Quesería!$J$62:$J$77=0)*(H$43=0)*(Quesería!$H$62:$H$77&gt;0)*Quesería!$F$62:$F$77*(1+Quesería!$I$62:$I$77)))*$B$90+(SUMPRODUCT((Quesería!$C$62:$C$77=1)*(Quesería!$J$62:$J$77&gt;0)*(H$43&gt;=2)*(H$43&lt;=Quesería!$J$62:$J$77+1)*(Quesería!$H$62:$H$77&gt;0)*Quesería!$F$62:$F$77*(1+Quesería!$I$62:$I$77)/(Quesería!$J$62:$J$77+(Quesería!$J$62:$J$77=0)))+SUMPRODUCT((Quesería!$C$62:$C$77=1)*(Quesería!$J$62:$J$77=0)*(H$43=1)*(Quesería!$H$62:$H$77&gt;0)*Quesería!$F$62:$F$77*(1+Quesería!$I$62:$I$77)))*$C$90*$C$21,IF(AND(H$43&gt;=1,H$43&lt;=Quesería!$B$11),Quesería!$F$80/Quesería!$B$11,0)*$B$90+IF(AND(H$43&gt;=2,H$43&lt;=Quesería!$B$11+1),Quesería!$F$81/Quesería!$B$11,0)*$C$90*$C$21)*$C$11+IF(AND(H$43&gt;=6,H$43&lt;=10),$G94*$G90/5,0)+IF(AND(H$43&gt;=7,H$43&lt;=11),$H94*$H90/5,0))*H92</f>
        <v>92.6731239063542</v>
      </c>
      <c r="I102" s="35" t="n">
        <f aca="false">(IF($C$19=1,(SUMPRODUCT((Quesería!$C$62:$C$77=0)*(Quesería!$J$62:$J$77&gt;0)*(I$43&gt;=1)*(I$43&lt;=Quesería!$J$62:$J$77)*(Quesería!$H$62:$H$77&gt;0)*Quesería!$F$62:$F$77*(1+Quesería!$I$62:$I$77)/(Quesería!$J$62:$J$77+(Quesería!$J$62:$J$77=0)))+SUMPRODUCT((Quesería!$C$62:$C$77=0)*(Quesería!$J$62:$J$77=0)*(I$43=0)*(Quesería!$H$62:$H$77&gt;0)*Quesería!$F$62:$F$77*(1+Quesería!$I$62:$I$77)))*$B$90+(SUMPRODUCT((Quesería!$C$62:$C$77=1)*(Quesería!$J$62:$J$77&gt;0)*(I$43&gt;=2)*(I$43&lt;=Quesería!$J$62:$J$77+1)*(Quesería!$H$62:$H$77&gt;0)*Quesería!$F$62:$F$77*(1+Quesería!$I$62:$I$77)/(Quesería!$J$62:$J$77+(Quesería!$J$62:$J$77=0)))+SUMPRODUCT((Quesería!$C$62:$C$77=1)*(Quesería!$J$62:$J$77=0)*(I$43=1)*(Quesería!$H$62:$H$77&gt;0)*Quesería!$F$62:$F$77*(1+Quesería!$I$62:$I$77)))*$C$90*$C$21,IF(AND(I$43&gt;=1,I$43&lt;=Quesería!$B$11),Quesería!$F$80/Quesería!$B$11,0)*$B$90+IF(AND(I$43&gt;=2,I$43&lt;=Quesería!$B$11+1),Quesería!$F$81/Quesería!$B$11,0)*$C$90*$C$21)*$C$11+IF(AND(I$43&gt;=6,I$43&lt;=10),$G94*$G90/5,0)+IF(AND(I$43&gt;=7,I$43&lt;=11),$H94*$H90/5,0))*I92</f>
        <v>95.8981101131611</v>
      </c>
      <c r="J102" s="35" t="n">
        <f aca="false">(IF($C$19=1,(SUMPRODUCT((Quesería!$C$62:$C$77=0)*(Quesería!$J$62:$J$77&gt;0)*(J$43&gt;=1)*(J$43&lt;=Quesería!$J$62:$J$77)*(Quesería!$H$62:$H$77&gt;0)*Quesería!$F$62:$F$77*(1+Quesería!$I$62:$I$77)/(Quesería!$J$62:$J$77+(Quesería!$J$62:$J$77=0)))+SUMPRODUCT((Quesería!$C$62:$C$77=0)*(Quesería!$J$62:$J$77=0)*(J$43=0)*(Quesería!$H$62:$H$77&gt;0)*Quesería!$F$62:$F$77*(1+Quesería!$I$62:$I$77)))*$B$90+(SUMPRODUCT((Quesería!$C$62:$C$77=1)*(Quesería!$J$62:$J$77&gt;0)*(J$43&gt;=2)*(J$43&lt;=Quesería!$J$62:$J$77+1)*(Quesería!$H$62:$H$77&gt;0)*Quesería!$F$62:$F$77*(1+Quesería!$I$62:$I$77)/(Quesería!$J$62:$J$77+(Quesería!$J$62:$J$77=0)))+SUMPRODUCT((Quesería!$C$62:$C$77=1)*(Quesería!$J$62:$J$77=0)*(J$43=1)*(Quesería!$H$62:$H$77&gt;0)*Quesería!$F$62:$F$77*(1+Quesería!$I$62:$I$77)))*$C$90*$C$21,IF(AND(J$43&gt;=1,J$43&lt;=Quesería!$B$11),Quesería!$F$80/Quesería!$B$11,0)*$B$90+IF(AND(J$43&gt;=2,J$43&lt;=Quesería!$B$11+1),Quesería!$F$81/Quesería!$B$11,0)*$C$90*$C$21)*$C$11+IF(AND(J$43&gt;=6,J$43&lt;=10),$G94*$G90/5,0)+IF(AND(J$43&gt;=7,J$43&lt;=11),$H94*$H90/5,0))*J92</f>
        <v>92.2097212626549</v>
      </c>
      <c r="K102" s="35" t="n">
        <f aca="false">(IF($C$19=1,(SUMPRODUCT((Quesería!$C$62:$C$77=0)*(Quesería!$J$62:$J$77&gt;0)*(K$43&gt;=1)*(K$43&lt;=Quesería!$J$62:$J$77)*(Quesería!$H$62:$H$77&gt;0)*Quesería!$F$62:$F$77*(1+Quesería!$I$62:$I$77)/(Quesería!$J$62:$J$77+(Quesería!$J$62:$J$77=0)))+SUMPRODUCT((Quesería!$C$62:$C$77=0)*(Quesería!$J$62:$J$77=0)*(K$43=0)*(Quesería!$H$62:$H$77&gt;0)*Quesería!$F$62:$F$77*(1+Quesería!$I$62:$I$77)))*$B$90+(SUMPRODUCT((Quesería!$C$62:$C$77=1)*(Quesería!$J$62:$J$77&gt;0)*(K$43&gt;=2)*(K$43&lt;=Quesería!$J$62:$J$77+1)*(Quesería!$H$62:$H$77&gt;0)*Quesería!$F$62:$F$77*(1+Quesería!$I$62:$I$77)/(Quesería!$J$62:$J$77+(Quesería!$J$62:$J$77=0)))+SUMPRODUCT((Quesería!$C$62:$C$77=1)*(Quesería!$J$62:$J$77=0)*(K$43=1)*(Quesería!$H$62:$H$77&gt;0)*Quesería!$F$62:$F$77*(1+Quesería!$I$62:$I$77)))*$C$90*$C$21,IF(AND(K$43&gt;=1,K$43&lt;=Quesería!$B$11),Quesería!$F$80/Quesería!$B$11,0)*$B$90+IF(AND(K$43&gt;=2,K$43&lt;=Quesería!$B$11+1),Quesería!$F$81/Quesería!$B$11,0)*$C$90*$C$21)*$C$11+IF(AND(K$43&gt;=6,K$43&lt;=10),$G94*$G90/5,0)+IF(AND(K$43&gt;=7,K$43&lt;=11),$H94*$H90/5,0))*K92</f>
        <v>88.6631935217835</v>
      </c>
      <c r="L102" s="35" t="n">
        <f aca="false">(IF($C$19=1,(SUMPRODUCT((Quesería!$C$62:$C$77=0)*(Quesería!$J$62:$J$77&gt;0)*(L$43&gt;=1)*(L$43&lt;=Quesería!$J$62:$J$77)*(Quesería!$H$62:$H$77&gt;0)*Quesería!$F$62:$F$77*(1+Quesería!$I$62:$I$77)/(Quesería!$J$62:$J$77+(Quesería!$J$62:$J$77=0)))+SUMPRODUCT((Quesería!$C$62:$C$77=0)*(Quesería!$J$62:$J$77=0)*(L$43=0)*(Quesería!$H$62:$H$77&gt;0)*Quesería!$F$62:$F$77*(1+Quesería!$I$62:$I$77)))*$B$90+(SUMPRODUCT((Quesería!$C$62:$C$77=1)*(Quesería!$J$62:$J$77&gt;0)*(L$43&gt;=2)*(L$43&lt;=Quesería!$J$62:$J$77+1)*(Quesería!$H$62:$H$77&gt;0)*Quesería!$F$62:$F$77*(1+Quesería!$I$62:$I$77)/(Quesería!$J$62:$J$77+(Quesería!$J$62:$J$77=0)))+SUMPRODUCT((Quesería!$C$62:$C$77=1)*(Quesería!$J$62:$J$77=0)*(L$43=1)*(Quesería!$H$62:$H$77&gt;0)*Quesería!$F$62:$F$77*(1+Quesería!$I$62:$I$77)))*$C$90*$C$21,IF(AND(L$43&gt;=1,L$43&lt;=Quesería!$B$11),Quesería!$F$80/Quesería!$B$11,0)*$B$90+IF(AND(L$43&gt;=2,L$43&lt;=Quesería!$B$11+1),Quesería!$F$81/Quesería!$B$11,0)*$C$90*$C$21)*$C$11+IF(AND(L$43&gt;=6,L$43&lt;=10),$G94*$G90/5,0)+IF(AND(L$43&gt;=7,L$43&lt;=11),$H94*$H90/5,0))*L92</f>
        <v>85.2530706940226</v>
      </c>
    </row>
    <row r="103" customFormat="false" ht="15" hidden="false" customHeight="false" outlineLevel="0" collapsed="false">
      <c r="A103" s="9" t="s">
        <v>292</v>
      </c>
      <c r="B103" s="36" t="n">
        <f aca="false">IF(B$43=1,MIN($C$7*Quesería!$B$35*Quesería!$F$75*$C$11*$C$21,Quesería!$B$50*Quesería!$B$51),0)</f>
        <v>0</v>
      </c>
      <c r="C103" s="36" t="n">
        <f aca="false">IF(C$43=1,MIN($C$7*Quesería!$B$35*Quesería!$F$75*$C$11*$C$21,Quesería!$B$50*Quesería!$B$51),0)</f>
        <v>0</v>
      </c>
      <c r="D103" s="36" t="n">
        <f aca="false">IF(D$43=1,MIN($C$7*Quesería!$B$35*Quesería!$F$75*$C$11*$C$21,Quesería!$B$50*Quesería!$B$51),0)</f>
        <v>0</v>
      </c>
      <c r="E103" s="36" t="n">
        <f aca="false">IF(E$43=1,MIN($C$7*Quesería!$B$35*Quesería!$F$75*$C$11*$C$21,Quesería!$B$50*Quesería!$B$51),0)</f>
        <v>0</v>
      </c>
      <c r="F103" s="36" t="n">
        <f aca="false">IF(F$43=1,MIN($C$7*Quesería!$B$35*Quesería!$F$75*$C$11*$C$21,Quesería!$B$50*Quesería!$B$51),0)</f>
        <v>0</v>
      </c>
      <c r="G103" s="36" t="n">
        <f aca="false">IF(G$43=1,MIN($C$7*Quesería!$B$35*Quesería!$F$75*$C$11*$C$21,Quesería!$B$50*Quesería!$B$51),0)</f>
        <v>0</v>
      </c>
      <c r="H103" s="36" t="n">
        <f aca="false">IF(H$43=1,MIN($C$7*Quesería!$B$35*Quesería!$F$75*$C$11*$C$21,Quesería!$B$50*Quesería!$B$51),0)</f>
        <v>0</v>
      </c>
      <c r="I103" s="36" t="n">
        <f aca="false">IF(I$43=1,MIN($C$7*Quesería!$B$35*Quesería!$F$75*$C$11*$C$21,Quesería!$B$50*Quesería!$B$51),0)</f>
        <v>0</v>
      </c>
      <c r="J103" s="36" t="n">
        <f aca="false">IF(J$43=1,MIN($C$7*Quesería!$B$35*Quesería!$F$75*$C$11*$C$21,Quesería!$B$50*Quesería!$B$51),0)</f>
        <v>0</v>
      </c>
      <c r="K103" s="36" t="n">
        <f aca="false">IF(K$43=1,MIN($C$7*Quesería!$B$35*Quesería!$F$75*$C$11*$C$21,Quesería!$B$50*Quesería!$B$51),0)</f>
        <v>0</v>
      </c>
      <c r="L103" s="36" t="n">
        <f aca="false">IF(L$43=1,MIN($C$7*Quesería!$B$35*Quesería!$F$75*$C$11*$C$21,Quesería!$B$50*Quesería!$B$51),0)</f>
        <v>0</v>
      </c>
    </row>
    <row r="104" customFormat="false" ht="15" hidden="false" customHeight="false" outlineLevel="0" collapsed="false">
      <c r="A104" s="9" t="s">
        <v>293</v>
      </c>
      <c r="B104" s="36" t="n">
        <v>0</v>
      </c>
      <c r="C104" s="36" t="n">
        <f aca="false">$C$20*Quesería!$B$52*Quesería!$F$86*$C$11*$B$90/C90</f>
        <v>0</v>
      </c>
      <c r="D104" s="36" t="n">
        <v>0</v>
      </c>
      <c r="E104" s="36" t="n">
        <v>0</v>
      </c>
      <c r="F104" s="36" t="n">
        <v>0</v>
      </c>
      <c r="G104" s="36" t="n">
        <v>0</v>
      </c>
      <c r="H104" s="36" t="n">
        <v>0</v>
      </c>
      <c r="I104" s="36" t="n">
        <v>0</v>
      </c>
      <c r="J104" s="36" t="n">
        <v>0</v>
      </c>
      <c r="K104" s="36" t="n">
        <v>0</v>
      </c>
      <c r="L104" s="36" t="n">
        <v>0</v>
      </c>
    </row>
    <row r="105" customFormat="false" ht="15" hidden="false" customHeight="false" outlineLevel="0" collapsed="false">
      <c r="A105" s="9" t="s">
        <v>294</v>
      </c>
      <c r="B105" s="36" t="n">
        <f aca="false">0</f>
        <v>0</v>
      </c>
      <c r="C105" s="36" t="n">
        <f aca="false">B95*B90/C90</f>
        <v>94.6170242743742</v>
      </c>
      <c r="D105" s="36" t="n">
        <f aca="false">C95*C90/D90</f>
        <v>117.321834287022</v>
      </c>
      <c r="E105" s="36" t="n">
        <f aca="false">D95*D90/E90</f>
        <v>0</v>
      </c>
      <c r="F105" s="36" t="n">
        <f aca="false">E95*E90/F90</f>
        <v>0</v>
      </c>
      <c r="G105" s="36" t="n">
        <f aca="false">F95*F90/G90</f>
        <v>0</v>
      </c>
      <c r="H105" s="36" t="n">
        <f aca="false">G95*G90/H90</f>
        <v>4.87179487179487</v>
      </c>
      <c r="I105" s="36" t="n">
        <f aca="false">H95*H90/I90</f>
        <v>6.44987026996795</v>
      </c>
      <c r="J105" s="36" t="n">
        <f aca="false">I95*I90/J90</f>
        <v>0</v>
      </c>
      <c r="K105" s="36" t="n">
        <f aca="false">J95*J90/K90</f>
        <v>0</v>
      </c>
      <c r="L105" s="36" t="n">
        <f aca="false">K95*K90/L90</f>
        <v>0</v>
      </c>
    </row>
    <row r="106" customFormat="false" ht="15" hidden="false" customHeight="false" outlineLevel="0" collapsed="false">
      <c r="A106" s="6" t="s">
        <v>86</v>
      </c>
      <c r="B106" s="35" t="n">
        <f aca="false">$C$17*(B98-B99-B100-0.5*B101-B102)-B103-B104-B105</f>
        <v>-24.753075274842</v>
      </c>
      <c r="C106" s="35" t="n">
        <f aca="false">$C$17*(C98-C99-C100-0.5*C101-C102)-C103-C104-C105</f>
        <v>-102.920766018104</v>
      </c>
      <c r="D106" s="35" t="n">
        <f aca="false">$C$17*(D98-D99-D100-0.5*D101-D102)-D103-D104-D105</f>
        <v>-102.186937985592</v>
      </c>
      <c r="E106" s="35" t="n">
        <f aca="false">$C$17*(E98-E99-E100-0.5*E101-E102)-E103-E104-E105</f>
        <v>26.5211155383481</v>
      </c>
      <c r="F106" s="35" t="n">
        <f aca="false">$C$17*(F98-F99-F100-0.5*F101-F102)-F103-F104-F105</f>
        <v>28.1251688562616</v>
      </c>
      <c r="G106" s="35" t="n">
        <f aca="false">$C$17*(G98-G99-G100-0.5*G101-G102)-G103-G104-G105</f>
        <v>29.649553390272</v>
      </c>
      <c r="H106" s="35" t="n">
        <f aca="false">$C$17*(H98-H99-H100-0.5*H101-H102)-H103-H104-H105</f>
        <v>28.6479252777032</v>
      </c>
      <c r="I106" s="35" t="n">
        <f aca="false">$C$17*(I98-I99-I100-0.5*I101-I102)-I103-I104-I105</f>
        <v>26.0695161049717</v>
      </c>
      <c r="J106" s="35" t="n">
        <f aca="false">$C$17*(J98-J99-J100-0.5*J101-J102)-J103-J104-J105</f>
        <v>33.9098201912701</v>
      </c>
      <c r="K106" s="35" t="n">
        <f aca="false">$C$17*(K98-K99-K100-0.5*K101-K102)-K103-K104-K105</f>
        <v>35.2511001078217</v>
      </c>
      <c r="L106" s="35" t="n">
        <f aca="false">$C$17*(L98-L99-L100-0.5*L101-L102)-L103-L104-L105</f>
        <v>36.5451382808209</v>
      </c>
    </row>
    <row r="107" customFormat="false" ht="15" hidden="false" customHeight="false" outlineLevel="0" collapsed="false">
      <c r="A107" s="9" t="s">
        <v>295</v>
      </c>
      <c r="B107" s="36" t="n">
        <f aca="false">(IF(B$43&gt;=1,Quesería!$G$107*IF(B$43=1,Quesería!$B$12,1),Quesería!$G$107*Quesería!$B$12*Quesería!$B$13/12*$C$23)+IF(B$43&gt;=2,Quesería!$G$108*$C$21*IF(B$43=2,Quesería!$B$12,1),0))*$C$10</f>
        <v>26.8516916045565</v>
      </c>
      <c r="C107" s="36" t="n">
        <f aca="false">(IF(C$43&gt;=1,Quesería!$G$107*IF(C$43=1,Quesería!$B$12,1),Quesería!$G$107*Quesería!$B$12*Quesería!$B$13/12*$C$23)+IF(C$43&gt;=2,Quesería!$G$108*$C$21*IF(C$43=2,Quesería!$B$12,1),0))*$C$10</f>
        <v>80.5550748136695</v>
      </c>
      <c r="D107" s="36" t="n">
        <f aca="false">(IF(D$43&gt;=1,Quesería!$G$107*IF(D$43=1,Quesería!$B$12,1),Quesería!$G$107*Quesería!$B$12*Quesería!$B$13/12*$C$23)+IF(D$43&gt;=2,Quesería!$G$108*$C$21*IF(D$43=2,Quesería!$B$12,1),0))*$C$10</f>
        <v>189.651223070959</v>
      </c>
      <c r="E107" s="36" t="n">
        <f aca="false">(IF(E$43&gt;=1,Quesería!$G$107*IF(E$43=1,Quesería!$B$12,1),Quesería!$G$107*Quesería!$B$12*Quesería!$B$13/12*$C$23)+IF(E$43&gt;=2,Quesería!$G$108*$C$21*IF(E$43=2,Quesería!$B$12,1),0))*$C$10</f>
        <v>217.066041955203</v>
      </c>
      <c r="F107" s="36" t="n">
        <f aca="false">(IF(F$43&gt;=1,Quesería!$G$107*IF(F$43=1,Quesería!$B$12,1),Quesería!$G$107*Quesería!$B$12*Quesería!$B$13/12*$C$23)+IF(F$43&gt;=2,Quesería!$G$108*$C$21*IF(F$43=2,Quesería!$B$12,1),0))*$C$10</f>
        <v>217.066041955203</v>
      </c>
      <c r="G107" s="36" t="n">
        <f aca="false">(IF(G$43&gt;=1,Quesería!$G$107*IF(G$43=1,Quesería!$B$12,1),Quesería!$G$107*Quesería!$B$12*Quesería!$B$13/12*$C$23)+IF(G$43&gt;=2,Quesería!$G$108*$C$21*IF(G$43=2,Quesería!$B$12,1),0))*$C$10</f>
        <v>217.066041955203</v>
      </c>
      <c r="H107" s="36" t="n">
        <f aca="false">(IF(H$43&gt;=1,Quesería!$G$107*IF(H$43=1,Quesería!$B$12,1),Quesería!$G$107*Quesería!$B$12*Quesería!$B$13/12*$C$23)+IF(H$43&gt;=2,Quesería!$G$108*$C$21*IF(H$43=2,Quesería!$B$12,1),0))*$C$10</f>
        <v>217.066041955203</v>
      </c>
      <c r="I107" s="36" t="n">
        <f aca="false">(IF(I$43&gt;=1,Quesería!$G$107*IF(I$43=1,Quesería!$B$12,1),Quesería!$G$107*Quesería!$B$12*Quesería!$B$13/12*$C$23)+IF(I$43&gt;=2,Quesería!$G$108*$C$21*IF(I$43=2,Quesería!$B$12,1),0))*$C$10</f>
        <v>217.066041955203</v>
      </c>
      <c r="J107" s="36" t="n">
        <f aca="false">(IF(J$43&gt;=1,Quesería!$G$107*IF(J$43=1,Quesería!$B$12,1),Quesería!$G$107*Quesería!$B$12*Quesería!$B$13/12*$C$23)+IF(J$43&gt;=2,Quesería!$G$108*$C$21*IF(J$43=2,Quesería!$B$12,1),0))*$C$10</f>
        <v>217.066041955203</v>
      </c>
      <c r="K107" s="36" t="n">
        <f aca="false">(IF(K$43&gt;=1,Quesería!$G$107*IF(K$43=1,Quesería!$B$12,1),Quesería!$G$107*Quesería!$B$12*Quesería!$B$13/12*$C$23)+IF(K$43&gt;=2,Quesería!$G$108*$C$21*IF(K$43=2,Quesería!$B$12,1),0))*$C$10</f>
        <v>217.066041955203</v>
      </c>
      <c r="L107" s="36" t="n">
        <f aca="false">(IF(L$43&gt;=1,Quesería!$G$107*IF(L$43=1,Quesería!$B$12,1),Quesería!$G$107*Quesería!$B$12*Quesería!$B$13/12*$C$23)+IF(L$43&gt;=2,Quesería!$G$108*$C$21*IF(L$43=2,Quesería!$B$12,1),0))*$C$10</f>
        <v>217.066041955203</v>
      </c>
    </row>
    <row r="108" customFormat="false" ht="15" hidden="false" customHeight="false" outlineLevel="0" collapsed="false">
      <c r="A108" s="6" t="s">
        <v>296</v>
      </c>
      <c r="B108" s="35" t="n">
        <f aca="false">(B107*(Quesería!$B$23+Quesería!$B$25*Quesería!$B$24)/365-B99*Quesería!$B$26/365)</f>
        <v>2.50861009237089</v>
      </c>
      <c r="C108" s="35" t="n">
        <f aca="false">(C107*(Quesería!$B$23+Quesería!$B$25*Quesería!$B$24)/365-C99*Quesería!$B$26/365)-(B107*(Quesería!$B$23+Quesería!$B$25*Quesería!$B$24)/365-B99*Quesería!$B$26/365)*B90/C90</f>
        <v>2.91304119724236</v>
      </c>
      <c r="D108" s="35" t="n">
        <f aca="false">(D107*(Quesería!$B$23+Quesería!$B$25*Quesería!$B$24)/365-D99*Quesería!$B$26/365)-(C107*(Quesería!$B$23+Quesería!$B$25*Quesería!$B$24)/365-C99*Quesería!$B$26/365)*C90/D90</f>
        <v>7.29151021833416</v>
      </c>
      <c r="E108" s="35" t="n">
        <f aca="false">(E107*(Quesería!$B$23+Quesería!$B$25*Quesería!$B$24)/365-E99*Quesería!$B$26/365)-(D107*(Quesería!$B$23+Quesería!$B$25*Quesería!$B$24)/365-D99*Quesería!$B$26/365)*D90/E90</f>
        <v>3.03681159467532</v>
      </c>
      <c r="F108" s="35" t="n">
        <f aca="false">(F107*(Quesería!$B$23+Quesería!$B$25*Quesería!$B$24)/365-F99*Quesería!$B$26/365)-(E107*(Quesería!$B$23+Quesería!$B$25*Quesería!$B$24)/365-E99*Quesería!$B$26/365)*E90/F90</f>
        <v>0.574099993113848</v>
      </c>
      <c r="G108" s="35" t="n">
        <f aca="false">(G107*(Quesería!$B$23+Quesería!$B$25*Quesería!$B$24)/365-G99*Quesería!$B$26/365)-(F107*(Quesería!$B$23+Quesería!$B$25*Quesería!$B$24)/365-F99*Quesería!$B$26/365)*F90/G90</f>
        <v>0.574099993113849</v>
      </c>
      <c r="H108" s="35" t="n">
        <f aca="false">(H107*(Quesería!$B$23+Quesería!$B$25*Quesería!$B$24)/365-H99*Quesería!$B$26/365)-(G107*(Quesería!$B$23+Quesería!$B$25*Quesería!$B$24)/365-G99*Quesería!$B$26/365)*G90/H90</f>
        <v>0.574099993113848</v>
      </c>
      <c r="I108" s="35" t="n">
        <f aca="false">(I107*(Quesería!$B$23+Quesería!$B$25*Quesería!$B$24)/365-I99*Quesería!$B$26/365)-(H107*(Quesería!$B$23+Quesería!$B$25*Quesería!$B$24)/365-H99*Quesería!$B$26/365)*H90/I90</f>
        <v>0.574099993113846</v>
      </c>
      <c r="J108" s="35" t="n">
        <f aca="false">(J107*(Quesería!$B$23+Quesería!$B$25*Quesería!$B$24)/365-J99*Quesería!$B$26/365)-(I107*(Quesería!$B$23+Quesería!$B$25*Quesería!$B$24)/365-I99*Quesería!$B$26/365)*I90/J90</f>
        <v>0.574099993113849</v>
      </c>
      <c r="K108" s="35" t="n">
        <f aca="false">(K107*(Quesería!$B$23+Quesería!$B$25*Quesería!$B$24)/365-K99*Quesería!$B$26/365)-(J107*(Quesería!$B$23+Quesería!$B$25*Quesería!$B$24)/365-J99*Quesería!$B$26/365)*J90/K90</f>
        <v>0.574099993113848</v>
      </c>
      <c r="L108" s="35" t="n">
        <f aca="false">-(K107*(Quesería!$B$23+Quesería!$B$25*Quesería!$B$24)/365-K99*Quesería!$B$26/365)*K90/L90</f>
        <v>-14.3524998278462</v>
      </c>
    </row>
    <row r="109" customFormat="false" ht="15" hidden="false" customHeight="false" outlineLevel="0" collapsed="false">
      <c r="A109" s="6" t="s">
        <v>297</v>
      </c>
      <c r="B109" s="35" t="n">
        <v>0</v>
      </c>
      <c r="C109" s="35" t="n">
        <v>0</v>
      </c>
      <c r="D109" s="35" t="n">
        <v>0</v>
      </c>
      <c r="E109" s="35" t="n">
        <v>0</v>
      </c>
      <c r="F109" s="35" t="n">
        <v>0</v>
      </c>
      <c r="G109" s="35" t="n">
        <v>0</v>
      </c>
      <c r="H109" s="35" t="n">
        <v>0</v>
      </c>
      <c r="I109" s="35" t="n">
        <v>0</v>
      </c>
      <c r="J109" s="35" t="n">
        <v>0</v>
      </c>
      <c r="K109" s="35" t="n">
        <v>0</v>
      </c>
      <c r="L109" s="35" t="n">
        <f aca="false">$C$8*Quesería!$B$39*(Quesería!$F$82+Quesería!$F$83*$C$21)*$C$11*(1-$C$17)</f>
        <v>0</v>
      </c>
    </row>
    <row r="110" customFormat="false" ht="15" hidden="false" customHeight="false" outlineLevel="0" collapsed="false">
      <c r="A110" s="5" t="s">
        <v>298</v>
      </c>
      <c r="B110" s="37" t="n">
        <f aca="false">B98-B99-B100-B101-B106-B93-B94-B95-B108+B109</f>
        <v>-672.153220719566</v>
      </c>
      <c r="C110" s="37" t="n">
        <f aca="false">C98-C99-C100-C101-C106-C93-C94-C95-C108+C109</f>
        <v>-636.135196286581</v>
      </c>
      <c r="D110" s="37" t="n">
        <f aca="false">D98-D99-D100-D101-D106-D93-D94-D95-D108+D109</f>
        <v>254.349878000683</v>
      </c>
      <c r="E110" s="37" t="n">
        <f aca="false">E98-E99-E100-E101-E106-E93-E94-E95-E108+E109</f>
        <v>157.952058740682</v>
      </c>
      <c r="F110" s="37" t="n">
        <f aca="false">F98-F99-F100-F101-F106-F93-F94-F95-F108+F109</f>
        <v>159.089381001829</v>
      </c>
      <c r="G110" s="37" t="n">
        <f aca="false">G98-G99-G100-G101-G106-G93-G94-G95-G108+G109</f>
        <v>125.984787098539</v>
      </c>
      <c r="H110" s="37" t="n">
        <f aca="false">H98-H99-H100-H101-H106-H93-H94-H95-H108+H109</f>
        <v>116.947671651666</v>
      </c>
      <c r="I110" s="37" t="n">
        <f aca="false">I98-I99-I100-I101-I106-I93-I94-I95-I108+I109</f>
        <v>161.989413506174</v>
      </c>
      <c r="J110" s="37" t="n">
        <f aca="false">J98-J99-J100-J101-J106-J93-J94-J95-J108+J109</f>
        <v>154.433388616028</v>
      </c>
      <c r="K110" s="37" t="n">
        <f aca="false">K98-K99-K100-K101-K106-K93-K94-K95-K108+K109</f>
        <v>153.377809291609</v>
      </c>
      <c r="L110" s="37" t="n">
        <f aca="false">L98-L99-L100-L101-L106-L93-L94-L95-L108+L109</f>
        <v>167.297500034664</v>
      </c>
    </row>
    <row r="111" customFormat="false" ht="15" hidden="false" customHeight="false" outlineLevel="0" collapsed="false">
      <c r="A111" s="9" t="s">
        <v>299</v>
      </c>
      <c r="B111" s="36" t="n">
        <f aca="false">B110*B90</f>
        <v>-712.482413962741</v>
      </c>
      <c r="C111" s="36" t="n">
        <f aca="false">C110*C90</f>
        <v>-708.018473466964</v>
      </c>
      <c r="D111" s="36" t="n">
        <f aca="false">D110*D90</f>
        <v>295.830527854425</v>
      </c>
      <c r="E111" s="36" t="n">
        <f aca="false">E110*E90</f>
        <v>191.060137050022</v>
      </c>
      <c r="F111" s="36" t="n">
        <f aca="false">F110*F90</f>
        <v>200.133285675037</v>
      </c>
      <c r="G111" s="36" t="n">
        <f aca="false">G110*G90</f>
        <v>164.827464897128</v>
      </c>
      <c r="H111" s="36" t="n">
        <f aca="false">H110*H90</f>
        <v>159.124258058589</v>
      </c>
      <c r="I111" s="36" t="n">
        <f aca="false">I110*I90</f>
        <v>229.226479402377</v>
      </c>
      <c r="J111" s="36" t="n">
        <f aca="false">J110*J90</f>
        <v>227.275536448641</v>
      </c>
      <c r="K111" s="36" t="n">
        <f aca="false">K110*K90</f>
        <v>234.750950985402</v>
      </c>
      <c r="L111" s="36" t="n">
        <f aca="false">L110*L90</f>
        <v>266.297825666472</v>
      </c>
    </row>
    <row r="112" customFormat="false" ht="15" hidden="false" customHeight="false" outlineLevel="0" collapsed="false">
      <c r="A112" s="6" t="s">
        <v>300</v>
      </c>
      <c r="B112" s="35" t="n">
        <f aca="false">B110</f>
        <v>-672.153220719566</v>
      </c>
      <c r="C112" s="35" t="n">
        <f aca="false">B112+C110</f>
        <v>-1308.28841700615</v>
      </c>
      <c r="D112" s="35" t="n">
        <f aca="false">C112+D110</f>
        <v>-1053.93853900546</v>
      </c>
      <c r="E112" s="35" t="n">
        <f aca="false">D112+E110</f>
        <v>-895.986480264782</v>
      </c>
      <c r="F112" s="35" t="n">
        <f aca="false">E112+F110</f>
        <v>-736.897099262953</v>
      </c>
      <c r="G112" s="35" t="n">
        <f aca="false">F112+G110</f>
        <v>-610.912312164414</v>
      </c>
      <c r="H112" s="35" t="n">
        <f aca="false">G112+H110</f>
        <v>-493.964640512748</v>
      </c>
      <c r="I112" s="35" t="n">
        <f aca="false">H112+I110</f>
        <v>-331.975227006575</v>
      </c>
      <c r="J112" s="35" t="n">
        <f aca="false">I112+J110</f>
        <v>-177.541838390547</v>
      </c>
      <c r="K112" s="35" t="n">
        <f aca="false">J112+K110</f>
        <v>-24.1640290989376</v>
      </c>
      <c r="L112" s="35" t="n">
        <f aca="false">K112+L110</f>
        <v>143.133470935726</v>
      </c>
    </row>
    <row r="113" customFormat="false" ht="15" hidden="false" customHeight="false" outlineLevel="0" collapsed="false">
      <c r="A113" s="9" t="s">
        <v>301</v>
      </c>
      <c r="B113" s="38" t="n">
        <v>0</v>
      </c>
      <c r="C113" s="38" t="n">
        <f aca="false">IF(AND(B112&lt;0,C112&gt;=0),B$43+(-B112)/C110,0)</f>
        <v>0</v>
      </c>
      <c r="D113" s="38" t="n">
        <f aca="false">IF(AND(C112&lt;0,D112&gt;=0),C$43+(-C112)/D110,0)</f>
        <v>0</v>
      </c>
      <c r="E113" s="38" t="n">
        <f aca="false">IF(AND(D112&lt;0,E112&gt;=0),D$43+(-D112)/E110,0)</f>
        <v>0</v>
      </c>
      <c r="F113" s="38" t="n">
        <f aca="false">IF(AND(E112&lt;0,F112&gt;=0),E$43+(-E112)/F110,0)</f>
        <v>0</v>
      </c>
      <c r="G113" s="38" t="n">
        <f aca="false">IF(AND(F112&lt;0,G112&gt;=0),F$43+(-F112)/G110,0)</f>
        <v>0</v>
      </c>
      <c r="H113" s="38" t="n">
        <f aca="false">IF(AND(G112&lt;0,H112&gt;=0),G$43+(-G112)/H110,0)</f>
        <v>0</v>
      </c>
      <c r="I113" s="38" t="n">
        <f aca="false">IF(AND(H112&lt;0,I112&gt;=0),H$43+(-H112)/I110,0)</f>
        <v>0</v>
      </c>
      <c r="J113" s="38" t="n">
        <f aca="false">IF(AND(I112&lt;0,J112&gt;=0),I$43+(-I112)/J110,0)</f>
        <v>0</v>
      </c>
      <c r="K113" s="38" t="n">
        <f aca="false">IF(AND(J112&lt;0,K112&gt;=0),J$43+(-J112)/K110,0)</f>
        <v>0</v>
      </c>
      <c r="L113" s="38" t="n">
        <f aca="false">IF(AND(K112&lt;0,L112&gt;=0),K$43+(-K112)/L110,0)</f>
        <v>9.14443747870668</v>
      </c>
    </row>
    <row r="114" customFormat="false" ht="15" hidden="false" customHeight="false" outlineLevel="0" collapsed="false">
      <c r="A114" s="9" t="s">
        <v>302</v>
      </c>
      <c r="B114" s="34" t="n">
        <f aca="false">(B90/$B$90)/(1+$C$25)^B$43</f>
        <v>1</v>
      </c>
      <c r="C114" s="34" t="n">
        <f aca="false">(C90/$B$90)/(1+$C$25)^C$43</f>
        <v>0.913099173340447</v>
      </c>
      <c r="D114" s="34" t="n">
        <f aca="false">(D90/$B$90)/(1+$C$25)^D$43</f>
        <v>0.829779861781889</v>
      </c>
      <c r="E114" s="34" t="n">
        <f aca="false">(E90/$B$90)/(1+$C$25)^E$43</f>
        <v>0.750455388649045</v>
      </c>
      <c r="F114" s="34" t="n">
        <f aca="false">(F90/$B$90)/(1+$C$25)^F$43</f>
        <v>0.678714097909047</v>
      </c>
      <c r="G114" s="34" t="n">
        <f aca="false">(G90/$B$90)/(1+$C$25)^G$43</f>
        <v>0.613831060004446</v>
      </c>
      <c r="H114" s="34" t="n">
        <f aca="false">(H90/$B$90)/(1+$C$25)^H$43</f>
        <v>0.55515064647541</v>
      </c>
      <c r="I114" s="34" t="n">
        <f aca="false">(I90/$B$90)/(1+$C$25)^I$43</f>
        <v>0.502079904982053</v>
      </c>
      <c r="J114" s="34" t="n">
        <f aca="false">(J90/$B$90)/(1+$C$25)^J$43</f>
        <v>0.45408256765482</v>
      </c>
      <c r="K114" s="34" t="n">
        <f aca="false">(K90/$B$90)/(1+$C$25)^K$43</f>
        <v>0.410673632228649</v>
      </c>
      <c r="L114" s="34" t="n">
        <f aca="false">(L90/$B$90)/(1+$C$25)^L$43</f>
        <v>0.371414461204501</v>
      </c>
    </row>
    <row r="115" customFormat="false" ht="15" hidden="false" customHeight="false" outlineLevel="0" collapsed="false">
      <c r="A115" s="9" t="s">
        <v>303</v>
      </c>
      <c r="B115" s="36" t="n">
        <f aca="false">B110*B114</f>
        <v>-672.153220719566</v>
      </c>
      <c r="C115" s="36" t="n">
        <f aca="false">C110*C114</f>
        <v>-580.85452186204</v>
      </c>
      <c r="D115" s="36" t="n">
        <f aca="false">D110*D114</f>
        <v>211.054406611647</v>
      </c>
      <c r="E115" s="36" t="n">
        <f aca="false">E110*E114</f>
        <v>118.535973630155</v>
      </c>
      <c r="F115" s="36" t="n">
        <f aca="false">F110*F114</f>
        <v>107.976205713565</v>
      </c>
      <c r="G115" s="36" t="n">
        <f aca="false">G110*G114</f>
        <v>77.3333754091308</v>
      </c>
      <c r="H115" s="36" t="n">
        <f aca="false">H110*H114</f>
        <v>64.9235755212161</v>
      </c>
      <c r="I115" s="36" t="n">
        <f aca="false">I110*I114</f>
        <v>81.3316293412782</v>
      </c>
      <c r="J115" s="36" t="n">
        <f aca="false">J110*J114</f>
        <v>70.1255096344005</v>
      </c>
      <c r="K115" s="36" t="n">
        <f aca="false">K110*K114</f>
        <v>62.9882220450582</v>
      </c>
      <c r="L115" s="36" t="n">
        <f aca="false">L110*L114</f>
        <v>62.1367108362347</v>
      </c>
    </row>
    <row r="116" customFormat="false" ht="15" hidden="false" customHeight="false" outlineLevel="0" collapsed="false">
      <c r="A116" s="9" t="s">
        <v>304</v>
      </c>
      <c r="B116" s="36" t="n">
        <f aca="false">B115</f>
        <v>-672.153220719566</v>
      </c>
      <c r="C116" s="36" t="n">
        <f aca="false">B116+C115</f>
        <v>-1253.00774258161</v>
      </c>
      <c r="D116" s="36" t="n">
        <f aca="false">C116+D115</f>
        <v>-1041.95333596996</v>
      </c>
      <c r="E116" s="36" t="n">
        <f aca="false">D116+E115</f>
        <v>-923.417362339804</v>
      </c>
      <c r="F116" s="36" t="n">
        <f aca="false">E116+F115</f>
        <v>-815.441156626239</v>
      </c>
      <c r="G116" s="36" t="n">
        <f aca="false">F116+G115</f>
        <v>-738.107781217108</v>
      </c>
      <c r="H116" s="36" t="n">
        <f aca="false">G116+H115</f>
        <v>-673.184205695892</v>
      </c>
      <c r="I116" s="36" t="n">
        <f aca="false">H116+I115</f>
        <v>-591.852576354614</v>
      </c>
      <c r="J116" s="36" t="n">
        <f aca="false">I116+J115</f>
        <v>-521.727066720213</v>
      </c>
      <c r="K116" s="36" t="n">
        <f aca="false">J116+K115</f>
        <v>-458.738844675155</v>
      </c>
      <c r="L116" s="36" t="n">
        <f aca="false">K116+L115</f>
        <v>-396.602133838921</v>
      </c>
    </row>
    <row r="117" customFormat="false" ht="15" hidden="false" customHeight="false" outlineLevel="0" collapsed="false">
      <c r="A117" s="9" t="s">
        <v>305</v>
      </c>
      <c r="B117" s="38" t="n">
        <v>0</v>
      </c>
      <c r="C117" s="38" t="n">
        <f aca="false">IF(AND(B116&lt;0,C116&gt;=0),B$43+(-B116)/C115,0)</f>
        <v>0</v>
      </c>
      <c r="D117" s="38" t="n">
        <f aca="false">IF(AND(C116&lt;0,D116&gt;=0),C$43+(-C116)/D115,0)</f>
        <v>0</v>
      </c>
      <c r="E117" s="38" t="n">
        <f aca="false">IF(AND(D116&lt;0,E116&gt;=0),D$43+(-D116)/E115,0)</f>
        <v>0</v>
      </c>
      <c r="F117" s="38" t="n">
        <f aca="false">IF(AND(E116&lt;0,F116&gt;=0),E$43+(-E116)/F115,0)</f>
        <v>0</v>
      </c>
      <c r="G117" s="38" t="n">
        <f aca="false">IF(AND(F116&lt;0,G116&gt;=0),F$43+(-F116)/G115,0)</f>
        <v>0</v>
      </c>
      <c r="H117" s="38" t="n">
        <f aca="false">IF(AND(G116&lt;0,H116&gt;=0),G$43+(-G116)/H115,0)</f>
        <v>0</v>
      </c>
      <c r="I117" s="38" t="n">
        <f aca="false">IF(AND(H116&lt;0,I116&gt;=0),H$43+(-H116)/I115,0)</f>
        <v>0</v>
      </c>
      <c r="J117" s="38" t="n">
        <f aca="false">IF(AND(I116&lt;0,J116&gt;=0),I$43+(-I116)/J115,0)</f>
        <v>0</v>
      </c>
      <c r="K117" s="38" t="n">
        <f aca="false">IF(AND(J116&lt;0,K116&gt;=0),J$43+(-J116)/K115,0)</f>
        <v>0</v>
      </c>
      <c r="L117" s="38" t="n">
        <f aca="false">IF(AND(K116&lt;0,L116&gt;=0),K$43+(-K116)/L115,0)</f>
        <v>0</v>
      </c>
    </row>
    <row r="118" customFormat="false" ht="15" hidden="false" customHeight="false" outlineLevel="0" collapsed="false">
      <c r="A118" s="9" t="s">
        <v>306</v>
      </c>
      <c r="B118" s="36" t="n">
        <f aca="false">IF(B$43&lt;0,0,(Quesería!$B$40*$B$93*$B$90)*(1-MAX(0,MIN(B$43-0-Quesería!$B$43,(Quesería!$B$42-Quesería!$B$43)))/(Quesería!$B$42-Quesería!$B$43)))+IF(B$43&lt;1,0,(Quesería!$B$40*$C$93*$C$90)*(1-MAX(0,MIN(B$43-1-Quesería!$B$43,(Quesería!$B$42-Quesería!$B$43)))/(Quesería!$B$42-Quesería!$B$43)))</f>
        <v>461.704769247221</v>
      </c>
      <c r="C118" s="36" t="n">
        <f aca="false">IF(C$43&lt;0,0,(Quesería!$B$40*$B$93*$B$90)*(1-MAX(0,MIN(C$43-0-Quesería!$B$43,(Quesería!$B$42-Quesería!$B$43)))/(Quesería!$B$42-Quesería!$B$43)))+IF(C$43&lt;1,0,(Quesería!$B$40*$C$93*$C$90)*(1-MAX(0,MIN(C$43-1-Quesería!$B$43,(Quesería!$B$42-Quesería!$B$43)))/(Quesería!$B$42-Quesería!$B$43)))</f>
        <v>964.434695258825</v>
      </c>
      <c r="D118" s="36" t="n">
        <f aca="false">IF(D$43&lt;0,0,(Quesería!$B$40*$B$93*$B$90)*(1-MAX(0,MIN(D$43-0-Quesería!$B$43,(Quesería!$B$42-Quesería!$B$43)))/(Quesería!$B$42-Quesería!$B$43)))+IF(D$43&lt;1,0,(Quesería!$B$40*$C$93*$C$90)*(1-MAX(0,MIN(D$43-1-Quesería!$B$43,(Quesería!$B$42-Quesería!$B$43)))/(Quesería!$B$42-Quesería!$B$43)))</f>
        <v>887.483900384289</v>
      </c>
      <c r="E118" s="36" t="n">
        <f aca="false">IF(E$43&lt;0,0,(Quesería!$B$40*$B$93*$B$90)*(1-MAX(0,MIN(E$43-0-Quesería!$B$43,(Quesería!$B$42-Quesería!$B$43)))/(Quesería!$B$42-Quesería!$B$43)))+IF(E$43&lt;1,0,(Quesería!$B$40*$C$93*$C$90)*(1-MAX(0,MIN(E$43-1-Quesería!$B$43,(Quesería!$B$42-Quesería!$B$43)))/(Quesería!$B$42-Quesería!$B$43)))</f>
        <v>726.744784507818</v>
      </c>
      <c r="F118" s="36" t="n">
        <f aca="false">IF(F$43&lt;0,0,(Quesería!$B$40*$B$93*$B$90)*(1-MAX(0,MIN(F$43-0-Quesería!$B$43,(Quesería!$B$42-Quesería!$B$43)))/(Quesería!$B$42-Quesería!$B$43)))+IF(F$43&lt;1,0,(Quesería!$B$40*$C$93*$C$90)*(1-MAX(0,MIN(F$43-1-Quesería!$B$43,(Quesería!$B$42-Quesería!$B$43)))/(Quesería!$B$42-Quesería!$B$43)))</f>
        <v>566.005668631347</v>
      </c>
      <c r="G118" s="36" t="n">
        <f aca="false">IF(G$43&lt;0,0,(Quesería!$B$40*$B$93*$B$90)*(1-MAX(0,MIN(G$43-0-Quesería!$B$43,(Quesería!$B$42-Quesería!$B$43)))/(Quesería!$B$42-Quesería!$B$43)))+IF(G$43&lt;1,0,(Quesería!$B$40*$C$93*$C$90)*(1-MAX(0,MIN(G$43-1-Quesería!$B$43,(Quesería!$B$42-Quesería!$B$43)))/(Quesería!$B$42-Quesería!$B$43)))</f>
        <v>405.266552754876</v>
      </c>
      <c r="H118" s="36" t="n">
        <f aca="false">IF(H$43&lt;0,0,(Quesería!$B$40*$B$93*$B$90)*(1-MAX(0,MIN(H$43-0-Quesería!$B$43,(Quesería!$B$42-Quesería!$B$43)))/(Quesería!$B$42-Quesería!$B$43)))+IF(H$43&lt;1,0,(Quesería!$B$40*$C$93*$C$90)*(1-MAX(0,MIN(H$43-1-Quesería!$B$43,(Quesería!$B$42-Quesería!$B$43)))/(Quesería!$B$42-Quesería!$B$43)))</f>
        <v>244.527436878405</v>
      </c>
      <c r="I118" s="36" t="n">
        <f aca="false">IF(I$43&lt;0,0,(Quesería!$B$40*$B$93*$B$90)*(1-MAX(0,MIN(I$43-0-Quesería!$B$43,(Quesería!$B$42-Quesería!$B$43)))/(Quesería!$B$42-Quesería!$B$43)))+IF(I$43&lt;1,0,(Quesería!$B$40*$C$93*$C$90)*(1-MAX(0,MIN(I$43-1-Quesería!$B$43,(Quesería!$B$42-Quesería!$B$43)))/(Quesería!$B$42-Quesería!$B$43)))</f>
        <v>83.788321001934</v>
      </c>
      <c r="J118" s="36" t="n">
        <f aca="false">IF(J$43&lt;0,0,(Quesería!$B$40*$B$93*$B$90)*(1-MAX(0,MIN(J$43-0-Quesería!$B$43,(Quesería!$B$42-Quesería!$B$43)))/(Quesería!$B$42-Quesería!$B$43)))+IF(J$43&lt;1,0,(Quesería!$B$40*$C$93*$C$90)*(1-MAX(0,MIN(J$43-1-Quesería!$B$43,(Quesería!$B$42-Quesería!$B$43)))/(Quesería!$B$42-Quesería!$B$43)))</f>
        <v>0</v>
      </c>
      <c r="K118" s="36" t="n">
        <f aca="false">IF(K$43&lt;0,0,(Quesería!$B$40*$B$93*$B$90)*(1-MAX(0,MIN(K$43-0-Quesería!$B$43,(Quesería!$B$42-Quesería!$B$43)))/(Quesería!$B$42-Quesería!$B$43)))+IF(K$43&lt;1,0,(Quesería!$B$40*$C$93*$C$90)*(1-MAX(0,MIN(K$43-1-Quesería!$B$43,(Quesería!$B$42-Quesería!$B$43)))/(Quesería!$B$42-Quesería!$B$43)))</f>
        <v>0</v>
      </c>
      <c r="L118" s="36" t="n">
        <f aca="false">IF(L$43&lt;0,0,(Quesería!$B$40*$B$93*$B$90)*(1-MAX(0,MIN(L$43-0-Quesería!$B$43,(Quesería!$B$42-Quesería!$B$43)))/(Quesería!$B$42-Quesería!$B$43)))+IF(L$43&lt;1,0,(Quesería!$B$40*$C$93*$C$90)*(1-MAX(0,MIN(L$43-1-Quesería!$B$43,(Quesería!$B$42-Quesería!$B$43)))/(Quesería!$B$42-Quesería!$B$43)))</f>
        <v>0</v>
      </c>
    </row>
    <row r="119" customFormat="false" ht="15" hidden="false" customHeight="false" outlineLevel="0" collapsed="false">
      <c r="A119" s="6" t="s">
        <v>307</v>
      </c>
      <c r="B119" s="35" t="n">
        <f aca="false">Quesería!$B$40*B93</f>
        <v>435.57053702568</v>
      </c>
      <c r="C119" s="35" t="n">
        <f aca="false">Quesería!$B$40*C93</f>
        <v>451.689062005035</v>
      </c>
      <c r="D119" s="35" t="n">
        <f aca="false">Quesería!$B$40*D93</f>
        <v>0</v>
      </c>
      <c r="E119" s="35" t="n">
        <f aca="false">Quesería!$B$40*E93</f>
        <v>0</v>
      </c>
      <c r="F119" s="35" t="n">
        <f aca="false">Quesería!$B$40*F93</f>
        <v>0</v>
      </c>
      <c r="G119" s="35" t="n">
        <f aca="false">Quesería!$B$40*G93</f>
        <v>0</v>
      </c>
      <c r="H119" s="35" t="n">
        <f aca="false">Quesería!$B$40*H93</f>
        <v>0</v>
      </c>
      <c r="I119" s="35" t="n">
        <f aca="false">Quesería!$B$40*I93</f>
        <v>0</v>
      </c>
      <c r="J119" s="35" t="n">
        <f aca="false">Quesería!$B$40*J93</f>
        <v>0</v>
      </c>
      <c r="K119" s="35" t="n">
        <f aca="false">Quesería!$B$40*K93</f>
        <v>0</v>
      </c>
      <c r="L119" s="35" t="n">
        <f aca="false">Quesería!$B$40*L93</f>
        <v>0</v>
      </c>
    </row>
    <row r="120" customFormat="false" ht="15" hidden="false" customHeight="false" outlineLevel="0" collapsed="false">
      <c r="A120" s="6" t="s">
        <v>308</v>
      </c>
      <c r="B120" s="35" t="n">
        <f aca="false">(IF(AND(B$43&gt;0,B$43&lt;=0+Quesería!$B$42),($C$14+$C$24)*((Quesería!$B$40*$B$93*$B$90)-(Quesería!$B$40*$B$93*$B$90)/(Quesería!$B$42-Quesería!$B$43)*MAX(0,MIN(B$43-1-0-Quesería!$B$43,(Quesería!$B$42-Quesería!$B$43)))),0)+IF(AND(B$43&gt;1,B$43&lt;=1+Quesería!$B$42),($C$14+$C$24)*((Quesería!$B$40*$C$93*$C$90)-(Quesería!$B$40*$C$93*$C$90)/(Quesería!$B$42-Quesería!$B$43)*MAX(0,MIN(B$43-1-1-Quesería!$B$43,(Quesería!$B$42-Quesería!$B$43)))),0))*B92</f>
        <v>0</v>
      </c>
      <c r="C120" s="35" t="n">
        <f aca="false">(IF(AND(C$43&gt;0,C$43&lt;=0+Quesería!$B$42),($C$14+$C$24)*((Quesería!$B$40*$B$93*$B$90)-(Quesería!$B$40*$B$93*$B$90)/(Quesería!$B$42-Quesería!$B$43)*MAX(0,MIN(C$43-1-0-Quesería!$B$43,(Quesería!$B$42-Quesería!$B$43)))),0)+IF(AND(C$43&gt;1,C$43&lt;=1+Quesería!$B$42),($C$14+$C$24)*((Quesería!$B$40*$C$93*$C$90)-(Quesería!$B$40*$C$93*$C$90)/(Quesería!$B$42-Quesería!$B$43)*MAX(0,MIN(C$43-1-1-Quesería!$B$43,(Quesería!$B$42-Quesería!$B$43)))),0))*C92</f>
        <v>58.4909006863056</v>
      </c>
      <c r="D120" s="35" t="n">
        <f aca="false">(IF(AND(D$43&gt;0,D$43&lt;=0+Quesería!$B$42),($C$14+$C$24)*((Quesería!$B$40*$B$93*$B$90)-(Quesería!$B$40*$B$93*$B$90)/(Quesería!$B$42-Quesería!$B$43)*MAX(0,MIN(D$43-1-0-Quesería!$B$43,(Quesería!$B$42-Quesería!$B$43)))),0)+IF(AND(D$43&gt;1,D$43&lt;=1+Quesería!$B$42),($C$14+$C$24)*((Quesería!$B$40*$C$93*$C$90)-(Quesería!$B$40*$C$93*$C$90)/(Quesería!$B$42-Quesería!$B$43)*MAX(0,MIN(D$43-1-1-Quesería!$B$43,(Quesería!$B$42-Quesería!$B$43)))),0))*D92</f>
        <v>116.917759262216</v>
      </c>
      <c r="E120" s="35" t="n">
        <f aca="false">(IF(AND(E$43&gt;0,E$43&lt;=0+Quesería!$B$42),($C$14+$C$24)*((Quesería!$B$40*$B$93*$B$90)-(Quesería!$B$40*$B$93*$B$90)/(Quesería!$B$42-Quesería!$B$43)*MAX(0,MIN(E$43-1-0-Quesería!$B$43,(Quesería!$B$42-Quesería!$B$43)))),0)+IF(AND(E$43&gt;1,E$43&lt;=1+Quesería!$B$42),($C$14+$C$24)*((Quesería!$B$40*$C$93*$C$90)-(Quesería!$B$40*$C$93*$C$90)/(Quesería!$B$42-Quesería!$B$43)*MAX(0,MIN(E$43-1-1-Quesería!$B$43,(Quesería!$B$42-Quesería!$B$43)))),0))*E92</f>
        <v>103.451025930528</v>
      </c>
      <c r="F120" s="35" t="n">
        <f aca="false">(IF(AND(F$43&gt;0,F$43&lt;=0+Quesería!$B$42),($C$14+$C$24)*((Quesería!$B$40*$B$93*$B$90)-(Quesería!$B$40*$B$93*$B$90)/(Quesería!$B$42-Quesería!$B$43)*MAX(0,MIN(F$43-1-0-Quesería!$B$43,(Quesería!$B$42-Quesería!$B$43)))),0)+IF(AND(F$43&gt;1,F$43&lt;=1+Quesería!$B$42),($C$14+$C$24)*((Quesería!$B$40*$C$93*$C$90)-(Quesería!$B$40*$C$93*$C$90)/(Quesería!$B$42-Quesería!$B$43)*MAX(0,MIN(F$43-1-1-Quesería!$B$43,(Quesería!$B$42-Quesería!$B$43)))),0))*F92</f>
        <v>81.455966861483</v>
      </c>
      <c r="G120" s="35" t="n">
        <f aca="false">(IF(AND(G$43&gt;0,G$43&lt;=0+Quesería!$B$42),($C$14+$C$24)*((Quesería!$B$40*$B$93*$B$90)-(Quesería!$B$40*$B$93*$B$90)/(Quesería!$B$42-Quesería!$B$43)*MAX(0,MIN(G$43-1-0-Quesería!$B$43,(Quesería!$B$42-Quesería!$B$43)))),0)+IF(AND(G$43&gt;1,G$43&lt;=1+Quesería!$B$42),($C$14+$C$24)*((Quesería!$B$40*$C$93*$C$90)-(Quesería!$B$40*$C$93*$C$90)/(Quesería!$B$42-Quesería!$B$43)*MAX(0,MIN(G$43-1-1-Quesería!$B$43,(Quesería!$B$42-Quesería!$B$43)))),0))*G92</f>
        <v>60.9998013511061</v>
      </c>
      <c r="H120" s="35" t="n">
        <f aca="false">(IF(AND(H$43&gt;0,H$43&lt;=0+Quesería!$B$42),($C$14+$C$24)*((Quesería!$B$40*$B$93*$B$90)-(Quesería!$B$40*$B$93*$B$90)/(Quesería!$B$42-Quesería!$B$43)*MAX(0,MIN(H$43-1-0-Quesería!$B$43,(Quesería!$B$42-Quesería!$B$43)))),0)+IF(AND(H$43&gt;1,H$43&lt;=1+Quesería!$B$42),($C$14+$C$24)*((Quesería!$B$40*$C$93*$C$90)-(Quesería!$B$40*$C$93*$C$90)/(Quesería!$B$42-Quesería!$B$43)*MAX(0,MIN(H$43-1-1-Quesería!$B$43,(Quesería!$B$42-Quesería!$B$43)))),0))*H92</f>
        <v>41.9966900414366</v>
      </c>
      <c r="I120" s="35" t="n">
        <f aca="false">(IF(AND(I$43&gt;0,I$43&lt;=0+Quesería!$B$42),($C$14+$C$24)*((Quesería!$B$40*$B$93*$B$90)-(Quesería!$B$40*$B$93*$B$90)/(Quesería!$B$42-Quesería!$B$43)*MAX(0,MIN(I$43-1-0-Quesería!$B$43,(Quesería!$B$42-Quesería!$B$43)))),0)+IF(AND(I$43&gt;1,I$43&lt;=1+Quesería!$B$42),($C$14+$C$24)*((Quesería!$B$40*$C$93*$C$90)-(Quesería!$B$40*$C$93*$C$90)/(Quesería!$B$42-Quesería!$B$43)*MAX(0,MIN(I$43-1-1-Quesería!$B$43,(Quesería!$B$42-Quesería!$B$43)))),0))*I92</f>
        <v>24.3651201322873</v>
      </c>
      <c r="J120" s="35" t="n">
        <f aca="false">(IF(AND(J$43&gt;0,J$43&lt;=0+Quesería!$B$42),($C$14+$C$24)*((Quesería!$B$40*$B$93*$B$90)-(Quesería!$B$40*$B$93*$B$90)/(Quesería!$B$42-Quesería!$B$43)*MAX(0,MIN(J$43-1-0-Quesería!$B$43,(Quesería!$B$42-Quesería!$B$43)))),0)+IF(AND(J$43&gt;1,J$43&lt;=1+Quesería!$B$42),($C$14+$C$24)*((Quesería!$B$40*$C$93*$C$90)-(Quesería!$B$40*$C$93*$C$90)/(Quesería!$B$42-Quesería!$B$43)*MAX(0,MIN(J$43-1-1-Quesería!$B$43,(Quesería!$B$42-Quesería!$B$43)))),0))*J92</f>
        <v>8.02769955040774</v>
      </c>
      <c r="K120" s="35" t="n">
        <f aca="false">(IF(AND(K$43&gt;0,K$43&lt;=0+Quesería!$B$42),($C$14+$C$24)*((Quesería!$B$40*$B$93*$B$90)-(Quesería!$B$40*$B$93*$B$90)/(Quesería!$B$42-Quesería!$B$43)*MAX(0,MIN(K$43-1-0-Quesería!$B$43,(Quesería!$B$42-Quesería!$B$43)))),0)+IF(AND(K$43&gt;1,K$43&lt;=1+Quesería!$B$42),($C$14+$C$24)*((Quesería!$B$40*$C$93*$C$90)-(Quesería!$B$40*$C$93*$C$90)/(Quesería!$B$42-Quesería!$B$43)*MAX(0,MIN(K$43-1-1-Quesería!$B$43,(Quesería!$B$42-Quesería!$B$43)))),0))*K92</f>
        <v>0</v>
      </c>
      <c r="L120" s="35" t="n">
        <f aca="false">(IF(AND(L$43&gt;0,L$43&lt;=0+Quesería!$B$42),($C$14+$C$24)*((Quesería!$B$40*$B$93*$B$90)-(Quesería!$B$40*$B$93*$B$90)/(Quesería!$B$42-Quesería!$B$43)*MAX(0,MIN(L$43-1-0-Quesería!$B$43,(Quesería!$B$42-Quesería!$B$43)))),0)+IF(AND(L$43&gt;1,L$43&lt;=1+Quesería!$B$42),($C$14+$C$24)*((Quesería!$B$40*$C$93*$C$90)-(Quesería!$B$40*$C$93*$C$90)/(Quesería!$B$42-Quesería!$B$43)*MAX(0,MIN(L$43-1-1-Quesería!$B$43,(Quesería!$B$42-Quesería!$B$43)))),0))*L92</f>
        <v>0</v>
      </c>
    </row>
    <row r="121" customFormat="false" ht="15" hidden="false" customHeight="false" outlineLevel="0" collapsed="false">
      <c r="A121" s="6" t="s">
        <v>309</v>
      </c>
      <c r="B121" s="35" t="n">
        <f aca="false">(IF(AND(B$43&gt;0+Quesería!$B$43,B$43&lt;=0+Quesería!$B$42),(Quesería!$B$40*$B$93*$B$90)/(Quesería!$B$42-Quesería!$B$43),0)+IF(AND(B$43&gt;1+Quesería!$B$43,B$43&lt;=1+Quesería!$B$42),(Quesería!$B$40*$C$93*$C$90)/(Quesería!$B$42-Quesería!$B$43),0))*B92</f>
        <v>0</v>
      </c>
      <c r="C121" s="35" t="n">
        <f aca="false">(IF(AND(C$43&gt;0+Quesería!$B$43,C$43&lt;=0+Quesería!$B$42),(Quesería!$B$40*$B$93*$B$90)/(Quesería!$B$42-Quesería!$B$43),0)+IF(AND(C$43&gt;1+Quesería!$B$43,C$43&lt;=1+Quesería!$B$42),(Quesería!$B$40*$C$93*$C$90)/(Quesería!$B$42-Quesería!$B$43),0))*C92</f>
        <v>0</v>
      </c>
      <c r="D121" s="35" t="n">
        <f aca="false">(IF(AND(D$43&gt;0+Quesería!$B$43,D$43&lt;=0+Quesería!$B$42),(Quesería!$B$40*$B$93*$B$90)/(Quesería!$B$42-Quesería!$B$43),0)+IF(AND(D$43&gt;1+Quesería!$B$43,D$43&lt;=1+Quesería!$B$42),(Quesería!$B$40*$C$93*$C$90)/(Quesería!$B$42-Quesería!$B$43),0))*D92</f>
        <v>66.1609382586284</v>
      </c>
      <c r="E121" s="35" t="n">
        <f aca="false">(IF(AND(E$43&gt;0+Quesería!$B$43,E$43&lt;=0+Quesería!$B$42),(Quesería!$B$40*$B$93*$B$90)/(Quesería!$B$42-Quesería!$B$43),0)+IF(AND(E$43&gt;1+Quesería!$B$43,E$43&lt;=1+Quesería!$B$42),(Quesería!$B$40*$C$93*$C$90)/(Quesería!$B$42-Quesería!$B$43),0))*E92</f>
        <v>132.885251025432</v>
      </c>
      <c r="F121" s="35" t="n">
        <f aca="false">(IF(AND(F$43&gt;0+Quesería!$B$43,F$43&lt;=0+Quesería!$B$42),(Quesería!$B$40*$B$93*$B$90)/(Quesería!$B$42-Quesería!$B$43),0)+IF(AND(F$43&gt;1+Quesería!$B$43,F$43&lt;=1+Quesería!$B$42),(Quesería!$B$40*$C$93*$C$90)/(Quesería!$B$42-Quesería!$B$43),0))*F92</f>
        <v>127.774279832146</v>
      </c>
      <c r="G121" s="35" t="n">
        <f aca="false">(IF(AND(G$43&gt;0+Quesería!$B$43,G$43&lt;=0+Quesería!$B$42),(Quesería!$B$40*$B$93*$B$90)/(Quesería!$B$42-Quesería!$B$43),0)+IF(AND(G$43&gt;1+Quesería!$B$43,G$43&lt;=1+Quesería!$B$42),(Quesería!$B$40*$C$93*$C$90)/(Quesería!$B$42-Quesería!$B$43),0))*G92</f>
        <v>122.859884453986</v>
      </c>
      <c r="H121" s="35" t="n">
        <f aca="false">(IF(AND(H$43&gt;0+Quesería!$B$43,H$43&lt;=0+Quesería!$B$42),(Quesería!$B$40*$B$93*$B$90)/(Quesería!$B$42-Quesería!$B$43),0)+IF(AND(H$43&gt;1+Quesería!$B$43,H$43&lt;=1+Quesería!$B$42),(Quesería!$B$40*$C$93*$C$90)/(Quesería!$B$42-Quesería!$B$43),0))*H92</f>
        <v>118.134504282679</v>
      </c>
      <c r="I121" s="35" t="n">
        <f aca="false">(IF(AND(I$43&gt;0+Quesería!$B$43,I$43&lt;=0+Quesería!$B$42),(Quesería!$B$40*$B$93*$B$90)/(Quesería!$B$42-Quesería!$B$43),0)+IF(AND(I$43&gt;1+Quesería!$B$43,I$43&lt;=1+Quesería!$B$42),(Quesería!$B$40*$C$93*$C$90)/(Quesería!$B$42-Quesería!$B$43),0))*I92</f>
        <v>113.590869502576</v>
      </c>
      <c r="J121" s="35" t="n">
        <f aca="false">(IF(AND(J$43&gt;0+Quesería!$B$43,J$43&lt;=0+Quesería!$B$42),(Quesería!$B$40*$B$93*$B$90)/(Quesería!$B$42-Quesería!$B$43),0)+IF(AND(J$43&gt;1+Quesería!$B$43,J$43&lt;=1+Quesería!$B$42),(Quesería!$B$40*$C$93*$C$90)/(Quesería!$B$42-Quesería!$B$43),0))*J92</f>
        <v>56.9340393645939</v>
      </c>
      <c r="K121" s="35" t="n">
        <f aca="false">(IF(AND(K$43&gt;0+Quesería!$B$43,K$43&lt;=0+Quesería!$B$42),(Quesería!$B$40*$B$93*$B$90)/(Quesería!$B$42-Quesería!$B$43),0)+IF(AND(K$43&gt;1+Quesería!$B$43,K$43&lt;=1+Quesería!$B$42),(Quesería!$B$40*$C$93*$C$90)/(Quesería!$B$42-Quesería!$B$43),0))*K92</f>
        <v>0</v>
      </c>
      <c r="L121" s="35" t="n">
        <f aca="false">(IF(AND(L$43&gt;0+Quesería!$B$43,L$43&lt;=0+Quesería!$B$42),(Quesería!$B$40*$B$93*$B$90)/(Quesería!$B$42-Quesería!$B$43),0)+IF(AND(L$43&gt;1+Quesería!$B$43,L$43&lt;=1+Quesería!$B$42),(Quesería!$B$40*$C$93*$C$90)/(Quesería!$B$42-Quesería!$B$43),0))*L92</f>
        <v>0</v>
      </c>
    </row>
    <row r="122" customFormat="false" ht="15" hidden="false" customHeight="false" outlineLevel="0" collapsed="false">
      <c r="A122" s="6" t="s">
        <v>310</v>
      </c>
      <c r="B122" s="35" t="n">
        <f aca="false">$C$13*Quesería!$B$44*(1+0.19)*B118*B92+(1-$C$13)*IF(B$43=0,Quesería!$B$53,0)</f>
        <v>10.3147458873051</v>
      </c>
      <c r="C122" s="35" t="n">
        <f aca="false">$C$13*Quesería!$B$44*(1+0.19)*C118*C92+(1-$C$13)*IF(C$43=0,Quesería!$B$53,0)</f>
        <v>20.5200161890604</v>
      </c>
      <c r="D122" s="35" t="n">
        <f aca="false">$C$13*Quesería!$B$44*(1+0.19)*D118*D92+(1-$C$13)*IF(D$43=0,Quesería!$B$53,0)</f>
        <v>18.0696219493849</v>
      </c>
      <c r="E122" s="35" t="n">
        <f aca="false">$C$13*Quesería!$B$44*(1+0.19)*E118*E92+(1-$C$13)*IF(E$43=0,Quesería!$B$53,0)</f>
        <v>14.2277808602599</v>
      </c>
      <c r="F122" s="35" t="n">
        <f aca="false">$C$13*Quesería!$B$44*(1+0.19)*F118*F92+(1-$C$13)*IF(F$43=0,Quesería!$B$53,0)</f>
        <v>10.6547357987756</v>
      </c>
      <c r="G122" s="35" t="n">
        <f aca="false">$C$13*Quesería!$B$44*(1+0.19)*G118*G92+(1-$C$13)*IF(G$43=0,Quesería!$B$53,0)</f>
        <v>7.33549334429865</v>
      </c>
      <c r="H122" s="35" t="n">
        <f aca="false">$C$13*Quesería!$B$44*(1+0.19)*H118*H92+(1-$C$13)*IF(H$43=0,Quesería!$B$53,0)</f>
        <v>4.25581578898442</v>
      </c>
      <c r="I122" s="35" t="n">
        <f aca="false">$C$13*Quesería!$B$44*(1+0.19)*I118*I92+(1-$C$13)*IF(I$43=0,Quesería!$B$53,0)</f>
        <v>1.40218518564067</v>
      </c>
      <c r="J122" s="35" t="n">
        <f aca="false">$C$13*Quesería!$B$44*(1+0.19)*J118*J92+(1-$C$13)*IF(J$43=0,Quesería!$B$53,0)</f>
        <v>0</v>
      </c>
      <c r="K122" s="35" t="n">
        <f aca="false">$C$13*Quesería!$B$44*(1+0.19)*K118*K92+(1-$C$13)*IF(K$43=0,Quesería!$B$53,0)</f>
        <v>0</v>
      </c>
      <c r="L122" s="35" t="n">
        <f aca="false">$C$13*Quesería!$B$44*(1+0.19)*L118*L92+(1-$C$13)*IF(L$43=0,Quesería!$B$53,0)</f>
        <v>0</v>
      </c>
    </row>
    <row r="123" customFormat="false" ht="15" hidden="false" customHeight="false" outlineLevel="0" collapsed="false">
      <c r="A123" s="6" t="s">
        <v>311</v>
      </c>
      <c r="B123" s="35" t="n">
        <f aca="false">Quesería!$B$45*(B120+B121+B122)</f>
        <v>0.0412589835492206</v>
      </c>
      <c r="C123" s="35" t="n">
        <f aca="false">Quesería!$B$45*(C120+C121+C122)</f>
        <v>0.316043667501464</v>
      </c>
      <c r="D123" s="35" t="n">
        <f aca="false">Quesería!$B$45*(D120+D121+D122)</f>
        <v>0.804593277880917</v>
      </c>
      <c r="E123" s="35" t="n">
        <f aca="false">Quesería!$B$45*(E120+E121+E122)</f>
        <v>1.00225623126488</v>
      </c>
      <c r="F123" s="35" t="n">
        <f aca="false">Quesería!$B$45*(F120+F121+F122)</f>
        <v>0.879539929969618</v>
      </c>
      <c r="G123" s="35" t="n">
        <f aca="false">Quesería!$B$45*(G120+G121+G122)</f>
        <v>0.764780716597565</v>
      </c>
      <c r="H123" s="35" t="n">
        <f aca="false">Quesería!$B$45*(H120+H121+H122)</f>
        <v>0.657548040452401</v>
      </c>
      <c r="I123" s="35" t="n">
        <f aca="false">Quesería!$B$45*(I120+I121+I122)</f>
        <v>0.557432699282017</v>
      </c>
      <c r="J123" s="35" t="n">
        <f aca="false">Quesería!$B$45*(J120+J121+J122)</f>
        <v>0.259846955660007</v>
      </c>
      <c r="K123" s="35" t="n">
        <f aca="false">Quesería!$B$45*(K120+K121+K122)</f>
        <v>0</v>
      </c>
      <c r="L123" s="35" t="n">
        <f aca="false">Quesería!$B$45*(L120+L121+L122)</f>
        <v>0</v>
      </c>
    </row>
    <row r="124" customFormat="false" ht="15" hidden="false" customHeight="false" outlineLevel="0" collapsed="false">
      <c r="A124" s="6" t="s">
        <v>312</v>
      </c>
      <c r="B124" s="35" t="n">
        <f aca="false">$C$17*(B120+B122+0.5*B123)</f>
        <v>3.61738138267791</v>
      </c>
      <c r="C124" s="35" t="n">
        <f aca="false">$C$17*(C120+C122+0.5*C123)</f>
        <v>27.7091285481909</v>
      </c>
      <c r="D124" s="35" t="n">
        <f aca="false">$C$17*(D120+D122+0.5*D123)</f>
        <v>47.3863872476894</v>
      </c>
      <c r="E124" s="35" t="n">
        <f aca="false">$C$17*(E120+E122+0.5*E123)</f>
        <v>41.3629772172472</v>
      </c>
      <c r="F124" s="35" t="n">
        <f aca="false">$C$17*(F120+F122+0.5*F123)</f>
        <v>32.3926654188352</v>
      </c>
      <c r="G124" s="35" t="n">
        <f aca="false">$C$17*(G120+G122+0.5*G123)</f>
        <v>24.0511897687962</v>
      </c>
      <c r="H124" s="35" t="n">
        <f aca="false">$C$17*(H120+H122+0.5*H123)</f>
        <v>16.3034479477265</v>
      </c>
      <c r="I124" s="35" t="n">
        <f aca="false">$C$17*(I120+I122+0.5*I123)</f>
        <v>9.11610758364914</v>
      </c>
      <c r="J124" s="35" t="n">
        <f aca="false">$C$17*(J120+J122+0.5*J123)</f>
        <v>2.85516805988321</v>
      </c>
      <c r="K124" s="35" t="n">
        <f aca="false">$C$17*(K120+K122+0.5*K123)</f>
        <v>0</v>
      </c>
      <c r="L124" s="35" t="n">
        <f aca="false">$C$17*(L120+L122+0.5*L123)</f>
        <v>0</v>
      </c>
    </row>
    <row r="125" customFormat="false" ht="15" hidden="false" customHeight="false" outlineLevel="0" collapsed="false">
      <c r="A125" s="5" t="s">
        <v>313</v>
      </c>
      <c r="B125" s="37" t="n">
        <f aca="false">B110+B119-B120-B121-B122-B123+B124</f>
        <v>-243.321307182063</v>
      </c>
      <c r="C125" s="37" t="n">
        <f aca="false">C110+C119-C120-C121-C122-C123+C124</f>
        <v>-236.063966276222</v>
      </c>
      <c r="D125" s="37" t="n">
        <f aca="false">D110+D119-D120-D121-D122-D123+D124</f>
        <v>99.7833525002626</v>
      </c>
      <c r="E125" s="37" t="n">
        <f aca="false">E110+E119-E120-E121-E122-E123+E124</f>
        <v>-52.251278089556</v>
      </c>
      <c r="F125" s="37" t="n">
        <f aca="false">F110+F119-F120-F121-F122-F123+F124</f>
        <v>-29.2824760017098</v>
      </c>
      <c r="G125" s="37" t="n">
        <f aca="false">G110+G119-G120-G121-G122-G123+G124</f>
        <v>-41.9239829986534</v>
      </c>
      <c r="H125" s="37" t="n">
        <f aca="false">H110+H119-H120-H121-H122-H123+H124</f>
        <v>-31.7934385541605</v>
      </c>
      <c r="I125" s="37" t="n">
        <f aca="false">I110+I119-I120-I121-I122-I123+I124</f>
        <v>31.1899135700367</v>
      </c>
      <c r="J125" s="37" t="n">
        <f aca="false">J110+J119-J120-J121-J122-J123+J124</f>
        <v>92.0669708052492</v>
      </c>
      <c r="K125" s="37" t="n">
        <f aca="false">K110+K119-K120-K121-K122-K123+K124</f>
        <v>153.377809291609</v>
      </c>
      <c r="L125" s="37" t="n">
        <f aca="false">L110+L119-L120-L121-L122-L123+L124</f>
        <v>167.297500034664</v>
      </c>
    </row>
    <row r="126" customFormat="false" ht="15" hidden="false" customHeight="false" outlineLevel="0" collapsed="false">
      <c r="A126" s="9" t="s">
        <v>314</v>
      </c>
      <c r="B126" s="36" t="n">
        <f aca="false">B125*B90</f>
        <v>-257.920585612986</v>
      </c>
      <c r="C126" s="36" t="n">
        <f aca="false">C125*C90</f>
        <v>-262.739194465435</v>
      </c>
      <c r="D126" s="36" t="n">
        <f aca="false">D125*D90</f>
        <v>116.056520542768</v>
      </c>
      <c r="E126" s="36" t="n">
        <f aca="false">E125*E90</f>
        <v>-63.2035848878629</v>
      </c>
      <c r="F126" s="36" t="n">
        <f aca="false">F125*F90</f>
        <v>-36.8371421022453</v>
      </c>
      <c r="G126" s="36" t="n">
        <f aca="false">G125*G90</f>
        <v>-54.8496687195532</v>
      </c>
      <c r="H126" s="36" t="n">
        <f aca="false">H125*H90</f>
        <v>-43.2595813974897</v>
      </c>
      <c r="I126" s="36" t="n">
        <f aca="false">I125*I90</f>
        <v>44.1359341069005</v>
      </c>
      <c r="J126" s="36" t="n">
        <f aca="false">J125*J90</f>
        <v>135.492527661812</v>
      </c>
      <c r="K126" s="36" t="n">
        <f aca="false">K125*K90</f>
        <v>234.750950985402</v>
      </c>
      <c r="L126" s="36" t="n">
        <f aca="false">L125*L90</f>
        <v>266.297825666472</v>
      </c>
    </row>
    <row r="127" customFormat="false" ht="15" hidden="false" customHeight="false" outlineLevel="0" collapsed="false">
      <c r="A127" s="9" t="s">
        <v>315</v>
      </c>
      <c r="B127" s="34" t="n">
        <f aca="false">(B90/$B$90)/(1+Quesería!$B$46+$C$24)^B$43</f>
        <v>1</v>
      </c>
      <c r="C127" s="34" t="n">
        <f aca="false">(C90/$B$90)/(1+Quesería!$B$46+$C$24)^C$43</f>
        <v>0.84</v>
      </c>
      <c r="D127" s="34" t="n">
        <f aca="false">(D90/$B$90)/(1+Quesería!$B$46+$C$24)^D$43</f>
        <v>0.70224</v>
      </c>
      <c r="E127" s="34" t="n">
        <f aca="false">(E90/$B$90)/(1+Quesería!$B$46+$C$24)^E$43</f>
        <v>0.58426368</v>
      </c>
      <c r="F127" s="34" t="n">
        <f aca="false">(F90/$B$90)/(1+Quesería!$B$46+$C$24)^F$43</f>
        <v>0.48610738176</v>
      </c>
      <c r="G127" s="34" t="n">
        <f aca="false">(G90/$B$90)/(1+Quesería!$B$46+$C$24)^G$43</f>
        <v>0.40444134162432</v>
      </c>
      <c r="H127" s="34" t="n">
        <f aca="false">(H90/$B$90)/(1+Quesería!$B$46+$C$24)^H$43</f>
        <v>0.336495196231434</v>
      </c>
      <c r="I127" s="34" t="n">
        <f aca="false">(I90/$B$90)/(1+Quesería!$B$46+$C$24)^I$43</f>
        <v>0.279964003264553</v>
      </c>
      <c r="J127" s="34" t="n">
        <f aca="false">(J90/$B$90)/(1+Quesería!$B$46+$C$24)^J$43</f>
        <v>0.232930050716108</v>
      </c>
      <c r="K127" s="34" t="n">
        <f aca="false">(K90/$B$90)/(1+Quesería!$B$46+$C$24)^K$43</f>
        <v>0.193797802195802</v>
      </c>
      <c r="L127" s="34" t="n">
        <f aca="false">(L90/$B$90)/(1+Quesería!$B$46+$C$24)^L$43</f>
        <v>0.161239771426907</v>
      </c>
    </row>
    <row r="128" customFormat="false" ht="15" hidden="false" customHeight="false" outlineLevel="0" collapsed="false">
      <c r="A128" s="9" t="s">
        <v>316</v>
      </c>
      <c r="B128" s="36" t="n">
        <f aca="false">B110+B93+B95+B124</f>
        <v>53.0556604736051</v>
      </c>
      <c r="C128" s="36" t="n">
        <f aca="false">C110+C93+C95+C124</f>
        <v>159.44533767017</v>
      </c>
      <c r="D128" s="36" t="n">
        <f aca="false">D110+D93+D95+D124</f>
        <v>301.736265248373</v>
      </c>
      <c r="E128" s="36" t="n">
        <f aca="false">E110+E93+E95+E124</f>
        <v>199.315035957929</v>
      </c>
      <c r="F128" s="36" t="n">
        <f aca="false">F110+F93+F95+F124</f>
        <v>191.482046420664</v>
      </c>
      <c r="G128" s="36" t="n">
        <f aca="false">G110+G93+G95+G124</f>
        <v>155.102643534002</v>
      </c>
      <c r="H128" s="36" t="n">
        <f aca="false">H110+H93+H95+H124</f>
        <v>139.958984680159</v>
      </c>
      <c r="I128" s="36" t="n">
        <f aca="false">I110+I93+I95+I124</f>
        <v>171.105521089823</v>
      </c>
      <c r="J128" s="36" t="n">
        <f aca="false">J110+J93+J95+J124</f>
        <v>157.288556675911</v>
      </c>
      <c r="K128" s="36" t="n">
        <f aca="false">K110+K93+K95+K124</f>
        <v>153.377809291609</v>
      </c>
      <c r="L128" s="36" t="n">
        <f aca="false">L110+L93+L95+L124</f>
        <v>167.297500034664</v>
      </c>
    </row>
    <row r="129" customFormat="false" ht="15" hidden="false" customHeight="false" outlineLevel="0" collapsed="false">
      <c r="A129" s="5" t="s">
        <v>317</v>
      </c>
      <c r="B129" s="12" t="str">
        <f aca="false">IF(AND(B$43&gt;=1,(B120+B121+B122)&gt;0.001),B128/(B120+B121+B122),"")</f>
        <v/>
      </c>
      <c r="C129" s="12" t="n">
        <f aca="false">IF(AND(C$43&gt;=1,(C120+C121+C122)&gt;0.001),C128/(C120+C121+C122),"")</f>
        <v>2.01801654727895</v>
      </c>
      <c r="D129" s="12" t="n">
        <f aca="false">IF(AND(D$43&gt;=1,(D120+D121+D122)&gt;0.001),D128/(D120+D121+D122),"")</f>
        <v>1.50006853670498</v>
      </c>
      <c r="E129" s="12" t="n">
        <f aca="false">IF(AND(E$43&gt;=1,(E120+E121+E122)&gt;0.001),E128/(E120+E121+E122),"")</f>
        <v>0.795465389948783</v>
      </c>
      <c r="F129" s="12" t="n">
        <f aca="false">IF(AND(F$43&gt;=1,(F120+F121+F122)&gt;0.001),F128/(F120+F121+F122),"")</f>
        <v>0.870828213233156</v>
      </c>
      <c r="G129" s="12" t="n">
        <f aca="false">IF(AND(G$43&gt;=1,(G120+G121+G122)&gt;0.001),G128/(G120+G121+G122),"")</f>
        <v>0.811226748624305</v>
      </c>
      <c r="H129" s="12" t="n">
        <f aca="false">IF(AND(H$43&gt;=1,(H120+H121+H122)&gt;0.001),H128/(H120+H121+H122),"")</f>
        <v>0.851399295989783</v>
      </c>
      <c r="I129" s="12" t="n">
        <f aca="false">IF(AND(I$43&gt;=1,(I120+I121+I122)&gt;0.001),I128/(I120+I121+I122),"")</f>
        <v>1.22781115144634</v>
      </c>
      <c r="J129" s="12" t="n">
        <f aca="false">IF(AND(J$43&gt;=1,(J120+J121+J122)&gt;0.001),J128/(J120+J121+J122),"")</f>
        <v>2.42124917379002</v>
      </c>
      <c r="K129" s="12" t="str">
        <f aca="false">IF(AND(K$43&gt;=1,(K120+K121+K122)&gt;0.001),K128/(K120+K121+K122),"")</f>
        <v/>
      </c>
      <c r="L129" s="12" t="str">
        <f aca="false">IF(AND(L$43&gt;=1,(L120+L121+L122)&gt;0.001),L128/(L120+L121+L122),"")</f>
        <v/>
      </c>
    </row>
    <row r="131" customFormat="false" ht="15" hidden="false" customHeight="false" outlineLevel="0" collapsed="false">
      <c r="A131" s="66" t="s">
        <v>628</v>
      </c>
      <c r="B131" s="67"/>
      <c r="C131" s="67"/>
      <c r="D131" s="67"/>
      <c r="E131" s="67"/>
      <c r="F131" s="67"/>
      <c r="G131" s="67"/>
      <c r="H131" s="67"/>
      <c r="I131" s="67"/>
      <c r="J131" s="67"/>
      <c r="K131" s="67"/>
      <c r="L131" s="67"/>
    </row>
    <row r="132" customFormat="false" ht="15" hidden="false" customHeight="false" outlineLevel="0" collapsed="false">
      <c r="A132" s="9" t="s">
        <v>281</v>
      </c>
      <c r="B132" s="33" t="n">
        <f aca="false">CHOOSE($D$15,Entorno!B$7,Entorno!B$8,Entorno!B$9)</f>
        <v>0.06</v>
      </c>
      <c r="C132" s="33" t="n">
        <f aca="false">CHOOSE($D$15,Entorno!C$7,Entorno!C$8,Entorno!C$9)</f>
        <v>0.05</v>
      </c>
      <c r="D132" s="33" t="n">
        <f aca="false">CHOOSE($D$15,Entorno!D$7,Entorno!D$8,Entorno!D$9)</f>
        <v>0.045</v>
      </c>
      <c r="E132" s="33" t="n">
        <f aca="false">CHOOSE($D$15,Entorno!E$7,Entorno!E$8,Entorno!E$9)</f>
        <v>0.04</v>
      </c>
      <c r="F132" s="33" t="n">
        <f aca="false">CHOOSE($D$15,Entorno!F$7,Entorno!F$8,Entorno!F$9)</f>
        <v>0.04</v>
      </c>
      <c r="G132" s="33" t="n">
        <f aca="false">CHOOSE($D$15,Entorno!G$7,Entorno!G$8,Entorno!G$9)</f>
        <v>0.04</v>
      </c>
      <c r="H132" s="33" t="n">
        <f aca="false">CHOOSE($D$15,Entorno!H$7,Entorno!H$8,Entorno!H$9)</f>
        <v>0.04</v>
      </c>
      <c r="I132" s="33" t="n">
        <f aca="false">CHOOSE($D$15,Entorno!I$7,Entorno!I$8,Entorno!I$9)</f>
        <v>0.04</v>
      </c>
      <c r="J132" s="33" t="n">
        <f aca="false">CHOOSE($D$15,Entorno!J$7,Entorno!J$8,Entorno!J$9)</f>
        <v>0.04</v>
      </c>
      <c r="K132" s="33" t="n">
        <f aca="false">CHOOSE($D$15,Entorno!K$7,Entorno!K$8,Entorno!K$9)</f>
        <v>0.04</v>
      </c>
      <c r="L132" s="33" t="n">
        <f aca="false">CHOOSE($D$15,Entorno!L$7,Entorno!L$8,Entorno!L$9)</f>
        <v>0.04</v>
      </c>
    </row>
    <row r="133" customFormat="false" ht="15" hidden="false" customHeight="false" outlineLevel="0" collapsed="false">
      <c r="A133" s="9" t="s">
        <v>282</v>
      </c>
      <c r="B133" s="34" t="n">
        <f aca="false">1+B132</f>
        <v>1.06</v>
      </c>
      <c r="C133" s="34" t="n">
        <f aca="false">B133*(1+C132)</f>
        <v>1.113</v>
      </c>
      <c r="D133" s="34" t="n">
        <f aca="false">C133*(1+D132)</f>
        <v>1.163085</v>
      </c>
      <c r="E133" s="34" t="n">
        <f aca="false">D133*(1+E132)</f>
        <v>1.2096084</v>
      </c>
      <c r="F133" s="34" t="n">
        <f aca="false">E133*(1+F132)</f>
        <v>1.257992736</v>
      </c>
      <c r="G133" s="34" t="n">
        <f aca="false">F133*(1+G132)</f>
        <v>1.30831244544</v>
      </c>
      <c r="H133" s="34" t="n">
        <f aca="false">G133*(1+H132)</f>
        <v>1.3606449432576</v>
      </c>
      <c r="I133" s="34" t="n">
        <f aca="false">H133*(1+I132)</f>
        <v>1.4150707409879</v>
      </c>
      <c r="J133" s="34" t="n">
        <f aca="false">I133*(1+J132)</f>
        <v>1.47167357062742</v>
      </c>
      <c r="K133" s="34" t="n">
        <f aca="false">J133*(1+K132)</f>
        <v>1.53054051345252</v>
      </c>
      <c r="L133" s="34" t="n">
        <f aca="false">K133*(1+L132)</f>
        <v>1.59176213399062</v>
      </c>
    </row>
    <row r="134" customFormat="false" ht="15" hidden="false" customHeight="false" outlineLevel="0" collapsed="false">
      <c r="A134" s="9" t="s">
        <v>283</v>
      </c>
      <c r="B134" s="34" t="n">
        <f aca="false">(1+$D$16)/(1+B132)</f>
        <v>1.02358490566038</v>
      </c>
      <c r="C134" s="34" t="n">
        <f aca="false">B134*(1+Entorno!$B$13)</f>
        <v>1.02870283018868</v>
      </c>
      <c r="D134" s="34" t="n">
        <f aca="false">C134*(1+Entorno!$B$13)</f>
        <v>1.03384634433962</v>
      </c>
      <c r="E134" s="34" t="n">
        <f aca="false">D134*(1+Entorno!$B$13)</f>
        <v>1.03901557606132</v>
      </c>
      <c r="F134" s="34" t="n">
        <f aca="false">E134*(1+Entorno!$B$13)</f>
        <v>1.04421065394163</v>
      </c>
      <c r="G134" s="34" t="n">
        <f aca="false">F134*(1+Entorno!$B$13)</f>
        <v>1.04943170721133</v>
      </c>
      <c r="H134" s="34" t="n">
        <f aca="false">G134*(1+Entorno!$B$13)</f>
        <v>1.05467886574739</v>
      </c>
      <c r="I134" s="34" t="n">
        <f aca="false">H134*(1+Entorno!$B$13)</f>
        <v>1.05995226007613</v>
      </c>
      <c r="J134" s="34" t="n">
        <f aca="false">I134*(1+Entorno!$B$13)</f>
        <v>1.06525202137651</v>
      </c>
      <c r="K134" s="34" t="n">
        <f aca="false">J134*(1+Entorno!$B$13)</f>
        <v>1.07057828148339</v>
      </c>
      <c r="L134" s="34" t="n">
        <f aca="false">K134*(1+Entorno!$B$13)</f>
        <v>1.07593117289081</v>
      </c>
    </row>
    <row r="135" customFormat="false" ht="15" hidden="false" customHeight="false" outlineLevel="0" collapsed="false">
      <c r="A135" s="9" t="s">
        <v>284</v>
      </c>
      <c r="B135" s="34" t="n">
        <f aca="false">1/B133</f>
        <v>0.943396226415094</v>
      </c>
      <c r="C135" s="34" t="n">
        <f aca="false">1/C133</f>
        <v>0.898472596585804</v>
      </c>
      <c r="D135" s="34" t="n">
        <f aca="false">1/D133</f>
        <v>0.859782389077324</v>
      </c>
      <c r="E135" s="34" t="n">
        <f aca="false">1/E133</f>
        <v>0.826713835651273</v>
      </c>
      <c r="F135" s="34" t="n">
        <f aca="false">1/F133</f>
        <v>0.794917149664686</v>
      </c>
      <c r="G135" s="34" t="n">
        <f aca="false">1/G133</f>
        <v>0.764343413139121</v>
      </c>
      <c r="H135" s="34" t="n">
        <f aca="false">1/H133</f>
        <v>0.734945589556847</v>
      </c>
      <c r="I135" s="34" t="n">
        <f aca="false">1/I133</f>
        <v>0.706678451496968</v>
      </c>
      <c r="J135" s="34" t="n">
        <f aca="false">1/J133</f>
        <v>0.679498511054777</v>
      </c>
      <c r="K135" s="34" t="n">
        <f aca="false">1/K133</f>
        <v>0.653363952937286</v>
      </c>
      <c r="L135" s="34" t="n">
        <f aca="false">1/L133</f>
        <v>0.628234570132006</v>
      </c>
    </row>
    <row r="136" customFormat="false" ht="15" hidden="false" customHeight="false" outlineLevel="0" collapsed="false">
      <c r="A136" s="6" t="s">
        <v>202</v>
      </c>
      <c r="B136" s="35" t="n">
        <f aca="false">IF(B$43=0,Quesería!$F$80,IF(B$43=1,Quesería!$F$81*$D$21,0))*$D$11</f>
        <v>622.243624322401</v>
      </c>
      <c r="C136" s="35" t="n">
        <f aca="false">IF(C$43=0,Quesería!$F$80,IF(C$43=1,Quesería!$F$81*$D$21,0))*$D$11</f>
        <v>0</v>
      </c>
      <c r="D136" s="35" t="n">
        <f aca="false">IF(D$43=0,Quesería!$F$80,IF(D$43=1,Quesería!$F$81*$D$21,0))*$D$11</f>
        <v>0</v>
      </c>
      <c r="E136" s="35" t="n">
        <f aca="false">IF(E$43=0,Quesería!$F$80,IF(E$43=1,Quesería!$F$81*$D$21,0))*$D$11</f>
        <v>0</v>
      </c>
      <c r="F136" s="35" t="n">
        <f aca="false">IF(F$43=0,Quesería!$F$80,IF(F$43=1,Quesería!$F$81*$D$21,0))*$D$11</f>
        <v>0</v>
      </c>
      <c r="G136" s="35" t="n">
        <f aca="false">IF(G$43=0,Quesería!$F$80,IF(G$43=1,Quesería!$F$81*$D$21,0))*$D$11</f>
        <v>0</v>
      </c>
      <c r="H136" s="35" t="n">
        <f aca="false">IF(H$43=0,Quesería!$F$80,IF(H$43=1,Quesería!$F$81*$D$21,0))*$D$11</f>
        <v>0</v>
      </c>
      <c r="I136" s="35" t="n">
        <f aca="false">IF(I$43=0,Quesería!$F$80,IF(I$43=1,Quesería!$F$81*$D$21,0))*$D$11</f>
        <v>0</v>
      </c>
      <c r="J136" s="35" t="n">
        <f aca="false">IF(J$43=0,Quesería!$F$80,IF(J$43=1,Quesería!$F$81*$D$21,0))*$D$11</f>
        <v>0</v>
      </c>
      <c r="K136" s="35" t="n">
        <f aca="false">IF(K$43=0,Quesería!$F$80,IF(K$43=1,Quesería!$F$81*$D$21,0))*$D$11</f>
        <v>0</v>
      </c>
      <c r="L136" s="35" t="n">
        <f aca="false">IF(L$43=0,Quesería!$F$80,IF(L$43=1,Quesería!$F$81*$D$21,0))*$D$11</f>
        <v>0</v>
      </c>
    </row>
    <row r="137" customFormat="false" ht="15" hidden="false" customHeight="false" outlineLevel="0" collapsed="false">
      <c r="A137" s="6" t="s">
        <v>285</v>
      </c>
      <c r="B137" s="35" t="n">
        <f aca="false">IF(B$43=5,Quesería!$F$87,IF(B$43=6,Quesería!$F$88,0))*$D$11</f>
        <v>0</v>
      </c>
      <c r="C137" s="35" t="n">
        <f aca="false">IF(C$43=5,Quesería!$F$87,IF(C$43=6,Quesería!$F$88,0))*$D$11</f>
        <v>0</v>
      </c>
      <c r="D137" s="35" t="n">
        <f aca="false">IF(D$43=5,Quesería!$F$87,IF(D$43=6,Quesería!$F$88,0))*$D$11</f>
        <v>0</v>
      </c>
      <c r="E137" s="35" t="n">
        <f aca="false">IF(E$43=5,Quesería!$F$87,IF(E$43=6,Quesería!$F$88,0))*$D$11</f>
        <v>0</v>
      </c>
      <c r="F137" s="35" t="n">
        <f aca="false">IF(F$43=5,Quesería!$F$87,IF(F$43=6,Quesería!$F$88,0))*$D$11</f>
        <v>0</v>
      </c>
      <c r="G137" s="35" t="n">
        <f aca="false">IF(G$43=5,Quesería!$F$87,IF(G$43=6,Quesería!$F$88,0))*$D$11</f>
        <v>26.6666666666667</v>
      </c>
      <c r="H137" s="35" t="n">
        <f aca="false">IF(H$43=5,Quesería!$F$87,IF(H$43=6,Quesería!$F$88,0))*$D$11</f>
        <v>35.3045530566667</v>
      </c>
      <c r="I137" s="35" t="n">
        <f aca="false">IF(I$43=5,Quesería!$F$87,IF(I$43=6,Quesería!$F$88,0))*$D$11</f>
        <v>0</v>
      </c>
      <c r="J137" s="35" t="n">
        <f aca="false">IF(J$43=5,Quesería!$F$87,IF(J$43=6,Quesería!$F$88,0))*$D$11</f>
        <v>0</v>
      </c>
      <c r="K137" s="35" t="n">
        <f aca="false">IF(K$43=5,Quesería!$F$87,IF(K$43=6,Quesería!$F$88,0))*$D$11</f>
        <v>0</v>
      </c>
      <c r="L137" s="35" t="n">
        <f aca="false">IF(L$43=5,Quesería!$F$87,IF(L$43=6,Quesería!$F$88,0))*$D$11</f>
        <v>0</v>
      </c>
    </row>
    <row r="138" customFormat="false" ht="15" hidden="false" customHeight="false" outlineLevel="0" collapsed="false">
      <c r="A138" s="6" t="s">
        <v>286</v>
      </c>
      <c r="B138" s="35" t="n">
        <f aca="false">Quesería!$B$36*(IF(B$43=0,SUMPRODUCT((Quesería!$C$62:$C$77=0)*(Quesería!$H$62:$H$77&gt;0)*(Quesería!$J$62:$J$77&gt;0)*Quesería!$F$62:$F$77*(1+Quesería!$I$62:$I$77)),IF(B$43=1,SUMPRODUCT((Quesería!$C$62:$C$77=1)*(Quesería!$H$62:$H$77&gt;0)*(Quesería!$J$62:$J$77&gt;0)*Quesería!$F$62:$F$77*(1+Quesería!$I$62:$I$77))*$D$21,0))*$D$11+B137)</f>
        <v>99.347875488093</v>
      </c>
      <c r="C138" s="35" t="n">
        <f aca="false">Quesería!$B$36*(IF(C$43=0,SUMPRODUCT((Quesería!$C$62:$C$77=0)*(Quesería!$H$62:$H$77&gt;0)*(Quesería!$J$62:$J$77&gt;0)*Quesería!$F$62:$F$77*(1+Quesería!$I$62:$I$77)),IF(C$43=1,SUMPRODUCT((Quesería!$C$62:$C$77=1)*(Quesería!$H$62:$H$77&gt;0)*(Quesería!$J$62:$J$77&gt;0)*Quesería!$F$62:$F$77*(1+Quesería!$I$62:$I$77))*$D$21,0))*$D$11+C137)</f>
        <v>0</v>
      </c>
      <c r="D138" s="35" t="n">
        <f aca="false">Quesería!$B$36*(IF(D$43=0,SUMPRODUCT((Quesería!$C$62:$C$77=0)*(Quesería!$H$62:$H$77&gt;0)*(Quesería!$J$62:$J$77&gt;0)*Quesería!$F$62:$F$77*(1+Quesería!$I$62:$I$77)),IF(D$43=1,SUMPRODUCT((Quesería!$C$62:$C$77=1)*(Quesería!$H$62:$H$77&gt;0)*(Quesería!$J$62:$J$77&gt;0)*Quesería!$F$62:$F$77*(1+Quesería!$I$62:$I$77))*$D$21,0))*$D$11+D137)</f>
        <v>0</v>
      </c>
      <c r="E138" s="35" t="n">
        <f aca="false">Quesería!$B$36*(IF(E$43=0,SUMPRODUCT((Quesería!$C$62:$C$77=0)*(Quesería!$H$62:$H$77&gt;0)*(Quesería!$J$62:$J$77&gt;0)*Quesería!$F$62:$F$77*(1+Quesería!$I$62:$I$77)),IF(E$43=1,SUMPRODUCT((Quesería!$C$62:$C$77=1)*(Quesería!$H$62:$H$77&gt;0)*(Quesería!$J$62:$J$77&gt;0)*Quesería!$F$62:$F$77*(1+Quesería!$I$62:$I$77))*$D$21,0))*$D$11+E137)</f>
        <v>0</v>
      </c>
      <c r="F138" s="35" t="n">
        <f aca="false">Quesería!$B$36*(IF(F$43=0,SUMPRODUCT((Quesería!$C$62:$C$77=0)*(Quesería!$H$62:$H$77&gt;0)*(Quesería!$J$62:$J$77&gt;0)*Quesería!$F$62:$F$77*(1+Quesería!$I$62:$I$77)),IF(F$43=1,SUMPRODUCT((Quesería!$C$62:$C$77=1)*(Quesería!$H$62:$H$77&gt;0)*(Quesería!$J$62:$J$77&gt;0)*Quesería!$F$62:$F$77*(1+Quesería!$I$62:$I$77))*$D$21,0))*$D$11+F137)</f>
        <v>0</v>
      </c>
      <c r="G138" s="35" t="n">
        <f aca="false">Quesería!$B$36*(IF(G$43=0,SUMPRODUCT((Quesería!$C$62:$C$77=0)*(Quesería!$H$62:$H$77&gt;0)*(Quesería!$J$62:$J$77&gt;0)*Quesería!$F$62:$F$77*(1+Quesería!$I$62:$I$77)),IF(G$43=1,SUMPRODUCT((Quesería!$C$62:$C$77=1)*(Quesería!$H$62:$H$77&gt;0)*(Quesería!$J$62:$J$77&gt;0)*Quesería!$F$62:$F$77*(1+Quesería!$I$62:$I$77))*$D$21,0))*$D$11+G137)</f>
        <v>5.06666666666667</v>
      </c>
      <c r="H138" s="35" t="n">
        <f aca="false">Quesería!$B$36*(IF(H$43=0,SUMPRODUCT((Quesería!$C$62:$C$77=0)*(Quesería!$H$62:$H$77&gt;0)*(Quesería!$J$62:$J$77&gt;0)*Quesería!$F$62:$F$77*(1+Quesería!$I$62:$I$77)),IF(H$43=1,SUMPRODUCT((Quesería!$C$62:$C$77=1)*(Quesería!$H$62:$H$77&gt;0)*(Quesería!$J$62:$J$77&gt;0)*Quesería!$F$62:$F$77*(1+Quesería!$I$62:$I$77))*$D$21,0))*$D$11+H137)</f>
        <v>6.70786508076667</v>
      </c>
      <c r="I138" s="35" t="n">
        <f aca="false">Quesería!$B$36*(IF(I$43=0,SUMPRODUCT((Quesería!$C$62:$C$77=0)*(Quesería!$H$62:$H$77&gt;0)*(Quesería!$J$62:$J$77&gt;0)*Quesería!$F$62:$F$77*(1+Quesería!$I$62:$I$77)),IF(I$43=1,SUMPRODUCT((Quesería!$C$62:$C$77=1)*(Quesería!$H$62:$H$77&gt;0)*(Quesería!$J$62:$J$77&gt;0)*Quesería!$F$62:$F$77*(1+Quesería!$I$62:$I$77))*$D$21,0))*$D$11+I137)</f>
        <v>0</v>
      </c>
      <c r="J138" s="35" t="n">
        <f aca="false">Quesería!$B$36*(IF(J$43=0,SUMPRODUCT((Quesería!$C$62:$C$77=0)*(Quesería!$H$62:$H$77&gt;0)*(Quesería!$J$62:$J$77&gt;0)*Quesería!$F$62:$F$77*(1+Quesería!$I$62:$I$77)),IF(J$43=1,SUMPRODUCT((Quesería!$C$62:$C$77=1)*(Quesería!$H$62:$H$77&gt;0)*(Quesería!$J$62:$J$77&gt;0)*Quesería!$F$62:$F$77*(1+Quesería!$I$62:$I$77))*$D$21,0))*$D$11+J137)</f>
        <v>0</v>
      </c>
      <c r="K138" s="35" t="n">
        <f aca="false">Quesería!$B$36*(IF(K$43=0,SUMPRODUCT((Quesería!$C$62:$C$77=0)*(Quesería!$H$62:$H$77&gt;0)*(Quesería!$J$62:$J$77&gt;0)*Quesería!$F$62:$F$77*(1+Quesería!$I$62:$I$77)),IF(K$43=1,SUMPRODUCT((Quesería!$C$62:$C$77=1)*(Quesería!$H$62:$H$77&gt;0)*(Quesería!$J$62:$J$77&gt;0)*Quesería!$F$62:$F$77*(1+Quesería!$I$62:$I$77))*$D$21,0))*$D$11+K137)</f>
        <v>0</v>
      </c>
      <c r="L138" s="35" t="n">
        <f aca="false">Quesería!$B$36*(IF(L$43=0,SUMPRODUCT((Quesería!$C$62:$C$77=0)*(Quesería!$H$62:$H$77&gt;0)*(Quesería!$J$62:$J$77&gt;0)*Quesería!$F$62:$F$77*(1+Quesería!$I$62:$I$77)),IF(L$43=1,SUMPRODUCT((Quesería!$C$62:$C$77=1)*(Quesería!$H$62:$H$77&gt;0)*(Quesería!$J$62:$J$77&gt;0)*Quesería!$F$62:$F$77*(1+Quesería!$I$62:$I$77))*$D$21,0))*$D$11+L137)</f>
        <v>0</v>
      </c>
    </row>
    <row r="139" customFormat="false" ht="15" hidden="false" customHeight="false" outlineLevel="0" collapsed="false">
      <c r="A139" s="6" t="s">
        <v>260</v>
      </c>
      <c r="B139" s="35" t="n">
        <f aca="false">IF(B$43=0,($D$22*Quesería!$J$109+(1-$D$22)*Quesería!$E$105)*Quesería!$B$12*Quesería!$B$13/12*$D$23,(($D$22*Quesería!$J$109+(1-$D$22)*Quesería!$E$105)+($D$22*Quesería!$J$92+(1-$D$22)*Quesería!$E$92)*(B134-1))*IF(B$43=1,Quesería!$B$12,1))*$D$10</f>
        <v>30.0801799076979</v>
      </c>
      <c r="C139" s="35" t="n">
        <f aca="false">IF(C$43=0,($D$22*Quesería!$J$109+(1-$D$22)*Quesería!$E$105)*Quesería!$B$12*Quesería!$B$13/12*$D$23,(($D$22*Quesería!$J$109+(1-$D$22)*Quesería!$E$105)+($D$22*Quesería!$J$92+(1-$D$22)*Quesería!$E$92)*(C134-1))*IF(C$43=1,Quesería!$B$12,1))*$D$10</f>
        <v>90.4304089447919</v>
      </c>
      <c r="D139" s="35" t="n">
        <f aca="false">IF(D$43=0,($D$22*Quesería!$J$109+(1-$D$22)*Quesería!$E$105)*Quesería!$B$12*Quesería!$B$13/12*$D$23,(($D$22*Quesería!$J$109+(1-$D$22)*Quesería!$E$105)+($D$22*Quesería!$J$92+(1-$D$22)*Quesería!$E$92)*(D134-1))*IF(D$43=1,Quesería!$B$12,1))*$D$10</f>
        <v>120.619244387867</v>
      </c>
      <c r="E139" s="35" t="n">
        <f aca="false">IF(E$43=0,($D$22*Quesería!$J$109+(1-$D$22)*Quesería!$E$105)*Quesería!$B$12*Quesería!$B$13/12*$D$23,(($D$22*Quesería!$J$109+(1-$D$22)*Quesería!$E$105)+($D$22*Quesería!$J$92+(1-$D$22)*Quesería!$E$92)*(E134-1))*IF(E$43=1,Quesería!$B$12,1))*$D$10</f>
        <v>120.664837011653</v>
      </c>
      <c r="F139" s="35" t="n">
        <f aca="false">IF(F$43=0,($D$22*Quesería!$J$109+(1-$D$22)*Quesería!$E$105)*Quesería!$B$12*Quesería!$B$13/12*$D$23,(($D$22*Quesería!$J$109+(1-$D$22)*Quesería!$E$105)+($D$22*Quesería!$J$92+(1-$D$22)*Quesería!$E$92)*(F134-1))*IF(F$43=1,Quesería!$B$12,1))*$D$10</f>
        <v>120.710657598557</v>
      </c>
      <c r="G139" s="35" t="n">
        <f aca="false">IF(G$43=0,($D$22*Quesería!$J$109+(1-$D$22)*Quesería!$E$105)*Quesería!$B$12*Quesería!$B$13/12*$D$23,(($D$22*Quesería!$J$109+(1-$D$22)*Quesería!$E$105)+($D$22*Quesería!$J$92+(1-$D$22)*Quesería!$E$92)*(G134-1))*IF(G$43=1,Quesería!$B$12,1))*$D$10</f>
        <v>120.756707288396</v>
      </c>
      <c r="H139" s="35" t="n">
        <f aca="false">IF(H$43=0,($D$22*Quesería!$J$109+(1-$D$22)*Quesería!$E$105)*Quesería!$B$12*Quesería!$B$13/12*$D$23,(($D$22*Quesería!$J$109+(1-$D$22)*Quesería!$E$105)+($D$22*Quesería!$J$92+(1-$D$22)*Quesería!$E$92)*(H134-1))*IF(H$43=1,Quesería!$B$12,1))*$D$10</f>
        <v>120.802987226684</v>
      </c>
      <c r="I139" s="35" t="n">
        <f aca="false">IF(I$43=0,($D$22*Quesería!$J$109+(1-$D$22)*Quesería!$E$105)*Quesería!$B$12*Quesería!$B$13/12*$D$23,(($D$22*Quesería!$J$109+(1-$D$22)*Quesería!$E$105)+($D$22*Quesería!$J$92+(1-$D$22)*Quesería!$E$92)*(I134-1))*IF(I$43=1,Quesería!$B$12,1))*$D$10</f>
        <v>120.849498564663</v>
      </c>
      <c r="J139" s="35" t="n">
        <f aca="false">IF(J$43=0,($D$22*Quesería!$J$109+(1-$D$22)*Quesería!$E$105)*Quesería!$B$12*Quesería!$B$13/12*$D$23,(($D$22*Quesería!$J$109+(1-$D$22)*Quesería!$E$105)+($D$22*Quesería!$J$92+(1-$D$22)*Quesería!$E$92)*(J134-1))*IF(J$43=1,Quesería!$B$12,1))*$D$10</f>
        <v>120.896242459332</v>
      </c>
      <c r="K139" s="35" t="n">
        <f aca="false">IF(K$43=0,($D$22*Quesería!$J$109+(1-$D$22)*Quesería!$E$105)*Quesería!$B$12*Quesería!$B$13/12*$D$23,(($D$22*Quesería!$J$109+(1-$D$22)*Quesería!$E$105)+($D$22*Quesería!$J$92+(1-$D$22)*Quesería!$E$92)*(K134-1))*IF(K$43=1,Quesería!$B$12,1))*$D$10</f>
        <v>120.943220073475</v>
      </c>
      <c r="L139" s="35" t="n">
        <f aca="false">IF(L$43=0,($D$22*Quesería!$J$109+(1-$D$22)*Quesería!$E$105)*Quesería!$B$12*Quesería!$B$13/12*$D$23,(($D$22*Quesería!$J$109+(1-$D$22)*Quesería!$E$105)+($D$22*Quesería!$J$92+(1-$D$22)*Quesería!$E$92)*(L134-1))*IF(L$43=1,Quesería!$B$12,1))*$D$10</f>
        <v>120.990432575689</v>
      </c>
    </row>
    <row r="140" customFormat="false" ht="15" hidden="false" customHeight="false" outlineLevel="0" collapsed="false">
      <c r="A140" s="6" t="s">
        <v>261</v>
      </c>
      <c r="B140" s="35" t="n">
        <f aca="false">IF(B$43&lt;=1,0,((($D$22*Quesería!$J$110+(1-$D$22)*Quesería!$E$106)-($D$22*Quesería!$J$99+(1-$D$22)*Quesería!$E$99)+$D$6*($D$22*Quesería!$J$99+(1-$D$22)*Quesería!$E$99)-(1-$D$9)*($D$22*Quesería!$J$102+(1-$D$22)*Quesería!$E$102))+($D$6*($D$22*Quesería!$J$99+(1-$D$22)*Quesería!$E$99)+$D$9*($D$22*Quesería!$J$102+(1-$D$22)*Quesería!$E$102))*(B134-1))*IF(B$43=2,Quesería!$B$12,1)+IF(B$43=2,Quesería!$B$14*$D$9*($D$22*Quesería!$J$102+(1-$D$22)*Quesería!$E$102)*B134,0))*$D$10*$D$21</f>
        <v>0</v>
      </c>
      <c r="C140" s="35" t="n">
        <f aca="false">IF(C$43&lt;=1,0,((($D$22*Quesería!$J$110+(1-$D$22)*Quesería!$E$106)-($D$22*Quesería!$J$99+(1-$D$22)*Quesería!$E$99)+$D$6*($D$22*Quesería!$J$99+(1-$D$22)*Quesería!$E$99)-(1-$D$9)*($D$22*Quesería!$J$102+(1-$D$22)*Quesería!$E$102))+($D$6*($D$22*Quesería!$J$99+(1-$D$22)*Quesería!$E$99)+$D$9*($D$22*Quesería!$J$102+(1-$D$22)*Quesería!$E$102))*(C134-1))*IF(C$43=2,Quesería!$B$12,1)+IF(C$43=2,Quesería!$B$14*$D$9*($D$22*Quesería!$J$102+(1-$D$22)*Quesería!$E$102)*C134,0))*$D$10*$D$21</f>
        <v>0</v>
      </c>
      <c r="D140" s="35" t="n">
        <f aca="false">IF(D$43&lt;=1,0,((($D$22*Quesería!$J$110+(1-$D$22)*Quesería!$E$106)-($D$22*Quesería!$J$99+(1-$D$22)*Quesería!$E$99)+$D$6*($D$22*Quesería!$J$99+(1-$D$22)*Quesería!$E$99)-(1-$D$9)*($D$22*Quesería!$J$102+(1-$D$22)*Quesería!$E$102))+($D$6*($D$22*Quesería!$J$99+(1-$D$22)*Quesería!$E$99)+$D$9*($D$22*Quesería!$J$102+(1-$D$22)*Quesería!$E$102))*(D134-1))*IF(D$43=2,Quesería!$B$12,1)+IF(D$43=2,Quesería!$B$14*$D$9*($D$22*Quesería!$J$102+(1-$D$22)*Quesería!$E$102)*D134,0))*$D$10*$D$21</f>
        <v>0</v>
      </c>
      <c r="E140" s="35" t="n">
        <f aca="false">IF(E$43&lt;=1,0,((($D$22*Quesería!$J$110+(1-$D$22)*Quesería!$E$106)-($D$22*Quesería!$J$99+(1-$D$22)*Quesería!$E$99)+$D$6*($D$22*Quesería!$J$99+(1-$D$22)*Quesería!$E$99)-(1-$D$9)*($D$22*Quesería!$J$102+(1-$D$22)*Quesería!$E$102))+($D$6*($D$22*Quesería!$J$99+(1-$D$22)*Quesería!$E$99)+$D$9*($D$22*Quesería!$J$102+(1-$D$22)*Quesería!$E$102))*(E134-1))*IF(E$43=2,Quesería!$B$12,1)+IF(E$43=2,Quesería!$B$14*$D$9*($D$22*Quesería!$J$102+(1-$D$22)*Quesería!$E$102)*E134,0))*$D$10*$D$21</f>
        <v>0</v>
      </c>
      <c r="F140" s="35" t="n">
        <f aca="false">IF(F$43&lt;=1,0,((($D$22*Quesería!$J$110+(1-$D$22)*Quesería!$E$106)-($D$22*Quesería!$J$99+(1-$D$22)*Quesería!$E$99)+$D$6*($D$22*Quesería!$J$99+(1-$D$22)*Quesería!$E$99)-(1-$D$9)*($D$22*Quesería!$J$102+(1-$D$22)*Quesería!$E$102))+($D$6*($D$22*Quesería!$J$99+(1-$D$22)*Quesería!$E$99)+$D$9*($D$22*Quesería!$J$102+(1-$D$22)*Quesería!$E$102))*(F134-1))*IF(F$43=2,Quesería!$B$12,1)+IF(F$43=2,Quesería!$B$14*$D$9*($D$22*Quesería!$J$102+(1-$D$22)*Quesería!$E$102)*F134,0))*$D$10*$D$21</f>
        <v>0</v>
      </c>
      <c r="G140" s="35" t="n">
        <f aca="false">IF(G$43&lt;=1,0,((($D$22*Quesería!$J$110+(1-$D$22)*Quesería!$E$106)-($D$22*Quesería!$J$99+(1-$D$22)*Quesería!$E$99)+$D$6*($D$22*Quesería!$J$99+(1-$D$22)*Quesería!$E$99)-(1-$D$9)*($D$22*Quesería!$J$102+(1-$D$22)*Quesería!$E$102))+($D$6*($D$22*Quesería!$J$99+(1-$D$22)*Quesería!$E$99)+$D$9*($D$22*Quesería!$J$102+(1-$D$22)*Quesería!$E$102))*(G134-1))*IF(G$43=2,Quesería!$B$12,1)+IF(G$43=2,Quesería!$B$14*$D$9*($D$22*Quesería!$J$102+(1-$D$22)*Quesería!$E$102)*G134,0))*$D$10*$D$21</f>
        <v>0</v>
      </c>
      <c r="H140" s="35" t="n">
        <f aca="false">IF(H$43&lt;=1,0,((($D$22*Quesería!$J$110+(1-$D$22)*Quesería!$E$106)-($D$22*Quesería!$J$99+(1-$D$22)*Quesería!$E$99)+$D$6*($D$22*Quesería!$J$99+(1-$D$22)*Quesería!$E$99)-(1-$D$9)*($D$22*Quesería!$J$102+(1-$D$22)*Quesería!$E$102))+($D$6*($D$22*Quesería!$J$99+(1-$D$22)*Quesería!$E$99)+$D$9*($D$22*Quesería!$J$102+(1-$D$22)*Quesería!$E$102))*(H134-1))*IF(H$43=2,Quesería!$B$12,1)+IF(H$43=2,Quesería!$B$14*$D$9*($D$22*Quesería!$J$102+(1-$D$22)*Quesería!$E$102)*H134,0))*$D$10*$D$21</f>
        <v>0</v>
      </c>
      <c r="I140" s="35" t="n">
        <f aca="false">IF(I$43&lt;=1,0,((($D$22*Quesería!$J$110+(1-$D$22)*Quesería!$E$106)-($D$22*Quesería!$J$99+(1-$D$22)*Quesería!$E$99)+$D$6*($D$22*Quesería!$J$99+(1-$D$22)*Quesería!$E$99)-(1-$D$9)*($D$22*Quesería!$J$102+(1-$D$22)*Quesería!$E$102))+($D$6*($D$22*Quesería!$J$99+(1-$D$22)*Quesería!$E$99)+$D$9*($D$22*Quesería!$J$102+(1-$D$22)*Quesería!$E$102))*(I134-1))*IF(I$43=2,Quesería!$B$12,1)+IF(I$43=2,Quesería!$B$14*$D$9*($D$22*Quesería!$J$102+(1-$D$22)*Quesería!$E$102)*I134,0))*$D$10*$D$21</f>
        <v>0</v>
      </c>
      <c r="J140" s="35" t="n">
        <f aca="false">IF(J$43&lt;=1,0,((($D$22*Quesería!$J$110+(1-$D$22)*Quesería!$E$106)-($D$22*Quesería!$J$99+(1-$D$22)*Quesería!$E$99)+$D$6*($D$22*Quesería!$J$99+(1-$D$22)*Quesería!$E$99)-(1-$D$9)*($D$22*Quesería!$J$102+(1-$D$22)*Quesería!$E$102))+($D$6*($D$22*Quesería!$J$99+(1-$D$22)*Quesería!$E$99)+$D$9*($D$22*Quesería!$J$102+(1-$D$22)*Quesería!$E$102))*(J134-1))*IF(J$43=2,Quesería!$B$12,1)+IF(J$43=2,Quesería!$B$14*$D$9*($D$22*Quesería!$J$102+(1-$D$22)*Quesería!$E$102)*J134,0))*$D$10*$D$21</f>
        <v>0</v>
      </c>
      <c r="K140" s="35" t="n">
        <f aca="false">IF(K$43&lt;=1,0,((($D$22*Quesería!$J$110+(1-$D$22)*Quesería!$E$106)-($D$22*Quesería!$J$99+(1-$D$22)*Quesería!$E$99)+$D$6*($D$22*Quesería!$J$99+(1-$D$22)*Quesería!$E$99)-(1-$D$9)*($D$22*Quesería!$J$102+(1-$D$22)*Quesería!$E$102))+($D$6*($D$22*Quesería!$J$99+(1-$D$22)*Quesería!$E$99)+$D$9*($D$22*Quesería!$J$102+(1-$D$22)*Quesería!$E$102))*(K134-1))*IF(K$43=2,Quesería!$B$12,1)+IF(K$43=2,Quesería!$B$14*$D$9*($D$22*Quesería!$J$102+(1-$D$22)*Quesería!$E$102)*K134,0))*$D$10*$D$21</f>
        <v>0</v>
      </c>
      <c r="L140" s="35" t="n">
        <f aca="false">IF(L$43&lt;=1,0,((($D$22*Quesería!$J$110+(1-$D$22)*Quesería!$E$106)-($D$22*Quesería!$J$99+(1-$D$22)*Quesería!$E$99)+$D$6*($D$22*Quesería!$J$99+(1-$D$22)*Quesería!$E$99)-(1-$D$9)*($D$22*Quesería!$J$102+(1-$D$22)*Quesería!$E$102))+($D$6*($D$22*Quesería!$J$99+(1-$D$22)*Quesería!$E$99)+$D$9*($D$22*Quesería!$J$102+(1-$D$22)*Quesería!$E$102))*(L134-1))*IF(L$43=2,Quesería!$B$12,1)+IF(L$43=2,Quesería!$B$14*$D$9*($D$22*Quesería!$J$102+(1-$D$22)*Quesería!$E$102)*L134,0))*$D$10*$D$21</f>
        <v>0</v>
      </c>
    </row>
    <row r="141" customFormat="false" ht="15" hidden="false" customHeight="false" outlineLevel="0" collapsed="false">
      <c r="A141" s="5" t="s">
        <v>287</v>
      </c>
      <c r="B141" s="10" t="n">
        <f aca="false">B139+B140</f>
        <v>30.0801799076979</v>
      </c>
      <c r="C141" s="10" t="n">
        <f aca="false">C139+C140</f>
        <v>90.4304089447919</v>
      </c>
      <c r="D141" s="10" t="n">
        <f aca="false">D139+D140</f>
        <v>120.619244387867</v>
      </c>
      <c r="E141" s="10" t="n">
        <f aca="false">E139+E140</f>
        <v>120.664837011653</v>
      </c>
      <c r="F141" s="10" t="n">
        <f aca="false">F139+F140</f>
        <v>120.710657598557</v>
      </c>
      <c r="G141" s="10" t="n">
        <f aca="false">G139+G140</f>
        <v>120.756707288396</v>
      </c>
      <c r="H141" s="10" t="n">
        <f aca="false">H139+H140</f>
        <v>120.802987226684</v>
      </c>
      <c r="I141" s="10" t="n">
        <f aca="false">I139+I140</f>
        <v>120.849498564663</v>
      </c>
      <c r="J141" s="10" t="n">
        <f aca="false">J139+J140</f>
        <v>120.896242459332</v>
      </c>
      <c r="K141" s="10" t="n">
        <f aca="false">K139+K140</f>
        <v>120.943220073475</v>
      </c>
      <c r="L141" s="10" t="n">
        <f aca="false">L139+L140</f>
        <v>120.990432575689</v>
      </c>
    </row>
    <row r="142" customFormat="false" ht="15" hidden="false" customHeight="false" outlineLevel="0" collapsed="false">
      <c r="A142" s="6" t="s">
        <v>288</v>
      </c>
      <c r="B142" s="35" t="n">
        <f aca="false">(IF(B$43&gt;=1,(Quesería!$B$21+Quesería!$B$54)*Quesería!$F$82*$D$11+Quesería!$B$22+'Beneficios y costos'!$B$118,0)+IF(B$43&gt;=2,((Quesería!$B$21+Quesería!$B$54)*Quesería!$F$83*$D$11+'Beneficios y costos'!$C$118)*$D$21,0))*$D$12</f>
        <v>0</v>
      </c>
      <c r="C142" s="35" t="n">
        <f aca="false">(IF(C$43&gt;=1,(Quesería!$B$21+Quesería!$B$54)*Quesería!$F$82*$D$11+Quesería!$B$22+'Beneficios y costos'!$B$118,0)+IF(C$43&gt;=2,((Quesería!$B$21+Quesería!$B$54)*Quesería!$F$83*$D$11+'Beneficios y costos'!$C$118)*$D$21,0))*$D$12</f>
        <v>36.8921528634167</v>
      </c>
      <c r="D142" s="35" t="n">
        <f aca="false">(IF(D$43&gt;=1,(Quesería!$B$21+Quesería!$B$54)*Quesería!$F$82*$D$11+Quesería!$B$22+'Beneficios y costos'!$B$118,0)+IF(D$43&gt;=2,((Quesería!$B$21+Quesería!$B$54)*Quesería!$F$83*$D$11+'Beneficios y costos'!$C$118)*$D$21,0))*$D$12</f>
        <v>36.8921528634167</v>
      </c>
      <c r="E142" s="35" t="n">
        <f aca="false">(IF(E$43&gt;=1,(Quesería!$B$21+Quesería!$B$54)*Quesería!$F$82*$D$11+Quesería!$B$22+'Beneficios y costos'!$B$118,0)+IF(E$43&gt;=2,((Quesería!$B$21+Quesería!$B$54)*Quesería!$F$83*$D$11+'Beneficios y costos'!$C$118)*$D$21,0))*$D$12</f>
        <v>36.8921528634167</v>
      </c>
      <c r="F142" s="35" t="n">
        <f aca="false">(IF(F$43&gt;=1,(Quesería!$B$21+Quesería!$B$54)*Quesería!$F$82*$D$11+Quesería!$B$22+'Beneficios y costos'!$B$118,0)+IF(F$43&gt;=2,((Quesería!$B$21+Quesería!$B$54)*Quesería!$F$83*$D$11+'Beneficios y costos'!$C$118)*$D$21,0))*$D$12</f>
        <v>36.8921528634167</v>
      </c>
      <c r="G142" s="35" t="n">
        <f aca="false">(IF(G$43&gt;=1,(Quesería!$B$21+Quesería!$B$54)*Quesería!$F$82*$D$11+Quesería!$B$22+'Beneficios y costos'!$B$118,0)+IF(G$43&gt;=2,((Quesería!$B$21+Quesería!$B$54)*Quesería!$F$83*$D$11+'Beneficios y costos'!$C$118)*$D$21,0))*$D$12</f>
        <v>36.8921528634167</v>
      </c>
      <c r="H142" s="35" t="n">
        <f aca="false">(IF(H$43&gt;=1,(Quesería!$B$21+Quesería!$B$54)*Quesería!$F$82*$D$11+Quesería!$B$22+'Beneficios y costos'!$B$118,0)+IF(H$43&gt;=2,((Quesería!$B$21+Quesería!$B$54)*Quesería!$F$83*$D$11+'Beneficios y costos'!$C$118)*$D$21,0))*$D$12</f>
        <v>36.8921528634167</v>
      </c>
      <c r="I142" s="35" t="n">
        <f aca="false">(IF(I$43&gt;=1,(Quesería!$B$21+Quesería!$B$54)*Quesería!$F$82*$D$11+Quesería!$B$22+'Beneficios y costos'!$B$118,0)+IF(I$43&gt;=2,((Quesería!$B$21+Quesería!$B$54)*Quesería!$F$83*$D$11+'Beneficios y costos'!$C$118)*$D$21,0))*$D$12</f>
        <v>36.8921528634167</v>
      </c>
      <c r="J142" s="35" t="n">
        <f aca="false">(IF(J$43&gt;=1,(Quesería!$B$21+Quesería!$B$54)*Quesería!$F$82*$D$11+Quesería!$B$22+'Beneficios y costos'!$B$118,0)+IF(J$43&gt;=2,((Quesería!$B$21+Quesería!$B$54)*Quesería!$F$83*$D$11+'Beneficios y costos'!$C$118)*$D$21,0))*$D$12</f>
        <v>36.8921528634167</v>
      </c>
      <c r="K142" s="35" t="n">
        <f aca="false">(IF(K$43&gt;=1,(Quesería!$B$21+Quesería!$B$54)*Quesería!$F$82*$D$11+Quesería!$B$22+'Beneficios y costos'!$B$118,0)+IF(K$43&gt;=2,((Quesería!$B$21+Quesería!$B$54)*Quesería!$F$83*$D$11+'Beneficios y costos'!$C$118)*$D$21,0))*$D$12</f>
        <v>36.8921528634167</v>
      </c>
      <c r="L142" s="35" t="n">
        <f aca="false">(IF(L$43&gt;=1,(Quesería!$B$21+Quesería!$B$54)*Quesería!$F$82*$D$11+Quesería!$B$22+'Beneficios y costos'!$B$118,0)+IF(L$43&gt;=2,((Quesería!$B$21+Quesería!$B$54)*Quesería!$F$83*$D$11+'Beneficios y costos'!$C$118)*$D$21,0))*$D$12</f>
        <v>36.8921528634167</v>
      </c>
    </row>
    <row r="143" customFormat="false" ht="15" hidden="false" customHeight="false" outlineLevel="0" collapsed="false">
      <c r="A143" s="6" t="s">
        <v>289</v>
      </c>
      <c r="B143" s="35" t="n">
        <f aca="false">IF(B$43=1,2*Quesería!$B$33*Quesería!$B$34/12*B134,0)*$D$21</f>
        <v>0</v>
      </c>
      <c r="C143" s="35" t="n">
        <f aca="false">IF(C$43=1,2*Quesería!$B$33*Quesería!$B$34/12*C134,0)*$D$21</f>
        <v>0</v>
      </c>
      <c r="D143" s="35" t="n">
        <f aca="false">IF(D$43=1,2*Quesería!$B$33*Quesería!$B$34/12*D134,0)*$D$21</f>
        <v>0</v>
      </c>
      <c r="E143" s="35" t="n">
        <f aca="false">IF(E$43=1,2*Quesería!$B$33*Quesería!$B$34/12*E134,0)*$D$21</f>
        <v>0</v>
      </c>
      <c r="F143" s="35" t="n">
        <f aca="false">IF(F$43=1,2*Quesería!$B$33*Quesería!$B$34/12*F134,0)*$D$21</f>
        <v>0</v>
      </c>
      <c r="G143" s="35" t="n">
        <f aca="false">IF(G$43=1,2*Quesería!$B$33*Quesería!$B$34/12*G134,0)*$D$21</f>
        <v>0</v>
      </c>
      <c r="H143" s="35" t="n">
        <f aca="false">IF(H$43=1,2*Quesería!$B$33*Quesería!$B$34/12*H134,0)*$D$21</f>
        <v>0</v>
      </c>
      <c r="I143" s="35" t="n">
        <f aca="false">IF(I$43=1,2*Quesería!$B$33*Quesería!$B$34/12*I134,0)*$D$21</f>
        <v>0</v>
      </c>
      <c r="J143" s="35" t="n">
        <f aca="false">IF(J$43=1,2*Quesería!$B$33*Quesería!$B$34/12*J134,0)*$D$21</f>
        <v>0</v>
      </c>
      <c r="K143" s="35" t="n">
        <f aca="false">IF(K$43=1,2*Quesería!$B$33*Quesería!$B$34/12*K134,0)*$D$21</f>
        <v>0</v>
      </c>
      <c r="L143" s="35" t="n">
        <f aca="false">IF(L$43=1,2*Quesería!$B$33*Quesería!$B$34/12*L134,0)*$D$21</f>
        <v>0</v>
      </c>
    </row>
    <row r="144" customFormat="false" ht="15" hidden="false" customHeight="false" outlineLevel="0" collapsed="false">
      <c r="A144" s="6" t="s">
        <v>290</v>
      </c>
      <c r="B144" s="35" t="n">
        <f aca="false">Quesería!$B$45*(B136+B137+B138+B142+B143)</f>
        <v>2.88636599924197</v>
      </c>
      <c r="C144" s="35" t="n">
        <f aca="false">Quesería!$B$45*(C136+C137+C138+C142+C143)</f>
        <v>0.147568611453667</v>
      </c>
      <c r="D144" s="35" t="n">
        <f aca="false">Quesería!$B$45*(D136+D137+D138+D142+D143)</f>
        <v>0.147568611453667</v>
      </c>
      <c r="E144" s="35" t="n">
        <f aca="false">Quesería!$B$45*(E136+E137+E138+E142+E143)</f>
        <v>0.147568611453667</v>
      </c>
      <c r="F144" s="35" t="n">
        <f aca="false">Quesería!$B$45*(F136+F137+F138+F142+F143)</f>
        <v>0.147568611453667</v>
      </c>
      <c r="G144" s="35" t="n">
        <f aca="false">Quesería!$B$45*(G136+G137+G138+G142+G143)</f>
        <v>0.274501944787</v>
      </c>
      <c r="H144" s="35" t="n">
        <f aca="false">Quesería!$B$45*(H136+H137+H138+H142+H143)</f>
        <v>0.3156182840034</v>
      </c>
      <c r="I144" s="35" t="n">
        <f aca="false">Quesería!$B$45*(I136+I137+I138+I142+I143)</f>
        <v>0.147568611453667</v>
      </c>
      <c r="J144" s="35" t="n">
        <f aca="false">Quesería!$B$45*(J136+J137+J138+J142+J143)</f>
        <v>0.147568611453667</v>
      </c>
      <c r="K144" s="35" t="n">
        <f aca="false">Quesería!$B$45*(K136+K137+K138+K142+K143)</f>
        <v>0.147568611453667</v>
      </c>
      <c r="L144" s="35" t="n">
        <f aca="false">Quesería!$B$45*(L136+L137+L138+L142+L143)</f>
        <v>0.147568611453667</v>
      </c>
    </row>
    <row r="145" customFormat="false" ht="15" hidden="false" customHeight="false" outlineLevel="0" collapsed="false">
      <c r="A145" s="6" t="s">
        <v>291</v>
      </c>
      <c r="B145" s="35" t="n">
        <f aca="false">(IF($D$19=1,(SUMPRODUCT((Quesería!$C$62:$C$77=0)*(Quesería!$J$62:$J$77&gt;0)*(B$43&gt;=1)*(B$43&lt;=Quesería!$J$62:$J$77)*(Quesería!$H$62:$H$77&gt;0)*Quesería!$F$62:$F$77*(1+Quesería!$I$62:$I$77)/(Quesería!$J$62:$J$77+(Quesería!$J$62:$J$77=0)))+SUMPRODUCT((Quesería!$C$62:$C$77=0)*(Quesería!$J$62:$J$77=0)*(B$43=0)*(Quesería!$H$62:$H$77&gt;0)*Quesería!$F$62:$F$77*(1+Quesería!$I$62:$I$77)))*$B$133+(SUMPRODUCT((Quesería!$C$62:$C$77=1)*(Quesería!$J$62:$J$77&gt;0)*(B$43&gt;=2)*(B$43&lt;=Quesería!$J$62:$J$77+1)*(Quesería!$H$62:$H$77&gt;0)*Quesería!$F$62:$F$77*(1+Quesería!$I$62:$I$77)/(Quesería!$J$62:$J$77+(Quesería!$J$62:$J$77=0)))+SUMPRODUCT((Quesería!$C$62:$C$77=1)*(Quesería!$J$62:$J$77=0)*(B$43=1)*(Quesería!$H$62:$H$77&gt;0)*Quesería!$F$62:$F$77*(1+Quesería!$I$62:$I$77)))*$C$133*$D$21,IF(AND(B$43&gt;=1,B$43&lt;=Quesería!$B$11),Quesería!$F$80/Quesería!$B$11,0)*$B$133+IF(AND(B$43&gt;=2,B$43&lt;=Quesería!$B$11+1),Quesería!$F$81/Quesería!$B$11,0)*$C$133*$D$21)*$D$11+IF(AND(B$43&gt;=6,B$43&lt;=10),$G137*$G133/5,0)+IF(AND(B$43&gt;=7,B$43&lt;=11),$H137*$H133/5,0))*B135</f>
        <v>99.3600691219113</v>
      </c>
      <c r="C145" s="35" t="n">
        <f aca="false">(IF($D$19=1,(SUMPRODUCT((Quesería!$C$62:$C$77=0)*(Quesería!$J$62:$J$77&gt;0)*(C$43&gt;=1)*(C$43&lt;=Quesería!$J$62:$J$77)*(Quesería!$H$62:$H$77&gt;0)*Quesería!$F$62:$F$77*(1+Quesería!$I$62:$I$77)/(Quesería!$J$62:$J$77+(Quesería!$J$62:$J$77=0)))+SUMPRODUCT((Quesería!$C$62:$C$77=0)*(Quesería!$J$62:$J$77=0)*(C$43=0)*(Quesería!$H$62:$H$77&gt;0)*Quesería!$F$62:$F$77*(1+Quesería!$I$62:$I$77)))*$B$133+(SUMPRODUCT((Quesería!$C$62:$C$77=1)*(Quesería!$J$62:$J$77&gt;0)*(C$43&gt;=2)*(C$43&lt;=Quesería!$J$62:$J$77+1)*(Quesería!$H$62:$H$77&gt;0)*Quesería!$F$62:$F$77*(1+Quesería!$I$62:$I$77)/(Quesería!$J$62:$J$77+(Quesería!$J$62:$J$77=0)))+SUMPRODUCT((Quesería!$C$62:$C$77=1)*(Quesería!$J$62:$J$77=0)*(C$43=1)*(Quesería!$H$62:$H$77&gt;0)*Quesería!$F$62:$F$77*(1+Quesería!$I$62:$I$77)))*$C$133*$D$21,IF(AND(C$43&gt;=1,C$43&lt;=Quesería!$B$11),Quesería!$F$80/Quesería!$B$11,0)*$B$133+IF(AND(C$43&gt;=2,C$43&lt;=Quesería!$B$11+1),Quesería!$F$81/Quesería!$B$11,0)*$C$133*$D$21)*$D$11+IF(AND(C$43&gt;=6,C$43&lt;=10),$G137*$G133/5,0)+IF(AND(C$43&gt;=7,C$43&lt;=11),$H137*$H133/5,0))*C135</f>
        <v>57.1000211302053</v>
      </c>
      <c r="D145" s="35" t="n">
        <f aca="false">(IF($D$19=1,(SUMPRODUCT((Quesería!$C$62:$C$77=0)*(Quesería!$J$62:$J$77&gt;0)*(D$43&gt;=1)*(D$43&lt;=Quesería!$J$62:$J$77)*(Quesería!$H$62:$H$77&gt;0)*Quesería!$F$62:$F$77*(1+Quesería!$I$62:$I$77)/(Quesería!$J$62:$J$77+(Quesería!$J$62:$J$77=0)))+SUMPRODUCT((Quesería!$C$62:$C$77=0)*(Quesería!$J$62:$J$77=0)*(D$43=0)*(Quesería!$H$62:$H$77&gt;0)*Quesería!$F$62:$F$77*(1+Quesería!$I$62:$I$77)))*$B$133+(SUMPRODUCT((Quesería!$C$62:$C$77=1)*(Quesería!$J$62:$J$77&gt;0)*(D$43&gt;=2)*(D$43&lt;=Quesería!$J$62:$J$77+1)*(Quesería!$H$62:$H$77&gt;0)*Quesería!$F$62:$F$77*(1+Quesería!$I$62:$I$77)/(Quesería!$J$62:$J$77+(Quesería!$J$62:$J$77=0)))+SUMPRODUCT((Quesería!$C$62:$C$77=1)*(Quesería!$J$62:$J$77=0)*(D$43=1)*(Quesería!$H$62:$H$77&gt;0)*Quesería!$F$62:$F$77*(1+Quesería!$I$62:$I$77)))*$C$133*$D$21,IF(AND(D$43&gt;=1,D$43&lt;=Quesería!$B$11),Quesería!$F$80/Quesería!$B$11,0)*$B$133+IF(AND(D$43&gt;=2,D$43&lt;=Quesería!$B$11+1),Quesería!$F$81/Quesería!$B$11,0)*$C$133*$D$21)*$D$11+IF(AND(D$43&gt;=6,D$43&lt;=10),$G137*$G133/5,0)+IF(AND(D$43&gt;=7,D$43&lt;=11),$H137*$H133/5,0))*D135</f>
        <v>54.641168545651</v>
      </c>
      <c r="E145" s="35" t="n">
        <f aca="false">(IF($D$19=1,(SUMPRODUCT((Quesería!$C$62:$C$77=0)*(Quesería!$J$62:$J$77&gt;0)*(E$43&gt;=1)*(E$43&lt;=Quesería!$J$62:$J$77)*(Quesería!$H$62:$H$77&gt;0)*Quesería!$F$62:$F$77*(1+Quesería!$I$62:$I$77)/(Quesería!$J$62:$J$77+(Quesería!$J$62:$J$77=0)))+SUMPRODUCT((Quesería!$C$62:$C$77=0)*(Quesería!$J$62:$J$77=0)*(E$43=0)*(Quesería!$H$62:$H$77&gt;0)*Quesería!$F$62:$F$77*(1+Quesería!$I$62:$I$77)))*$B$133+(SUMPRODUCT((Quesería!$C$62:$C$77=1)*(Quesería!$J$62:$J$77&gt;0)*(E$43&gt;=2)*(E$43&lt;=Quesería!$J$62:$J$77+1)*(Quesería!$H$62:$H$77&gt;0)*Quesería!$F$62:$F$77*(1+Quesería!$I$62:$I$77)/(Quesería!$J$62:$J$77+(Quesería!$J$62:$J$77=0)))+SUMPRODUCT((Quesería!$C$62:$C$77=1)*(Quesería!$J$62:$J$77=0)*(E$43=1)*(Quesería!$H$62:$H$77&gt;0)*Quesería!$F$62:$F$77*(1+Quesería!$I$62:$I$77)))*$C$133*$D$21,IF(AND(E$43&gt;=1,E$43&lt;=Quesería!$B$11),Quesería!$F$80/Quesería!$B$11,0)*$B$133+IF(AND(E$43&gt;=2,E$43&lt;=Quesería!$B$11+1),Quesería!$F$81/Quesería!$B$11,0)*$C$133*$D$21)*$D$11+IF(AND(E$43&gt;=6,E$43&lt;=10),$G137*$G133/5,0)+IF(AND(E$43&gt;=7,E$43&lt;=11),$H137*$H133/5,0))*E135</f>
        <v>52.5395851400491</v>
      </c>
      <c r="F145" s="35" t="n">
        <f aca="false">(IF($D$19=1,(SUMPRODUCT((Quesería!$C$62:$C$77=0)*(Quesería!$J$62:$J$77&gt;0)*(F$43&gt;=1)*(F$43&lt;=Quesería!$J$62:$J$77)*(Quesería!$H$62:$H$77&gt;0)*Quesería!$F$62:$F$77*(1+Quesería!$I$62:$I$77)/(Quesería!$J$62:$J$77+(Quesería!$J$62:$J$77=0)))+SUMPRODUCT((Quesería!$C$62:$C$77=0)*(Quesería!$J$62:$J$77=0)*(F$43=0)*(Quesería!$H$62:$H$77&gt;0)*Quesería!$F$62:$F$77*(1+Quesería!$I$62:$I$77)))*$B$133+(SUMPRODUCT((Quesería!$C$62:$C$77=1)*(Quesería!$J$62:$J$77&gt;0)*(F$43&gt;=2)*(F$43&lt;=Quesería!$J$62:$J$77+1)*(Quesería!$H$62:$H$77&gt;0)*Quesería!$F$62:$F$77*(1+Quesería!$I$62:$I$77)/(Quesería!$J$62:$J$77+(Quesería!$J$62:$J$77=0)))+SUMPRODUCT((Quesería!$C$62:$C$77=1)*(Quesería!$J$62:$J$77=0)*(F$43=1)*(Quesería!$H$62:$H$77&gt;0)*Quesería!$F$62:$F$77*(1+Quesería!$I$62:$I$77)))*$C$133*$D$21,IF(AND(F$43&gt;=1,F$43&lt;=Quesería!$B$11),Quesería!$F$80/Quesería!$B$11,0)*$B$133+IF(AND(F$43&gt;=2,F$43&lt;=Quesería!$B$11+1),Quesería!$F$81/Quesería!$B$11,0)*$C$133*$D$21)*$D$11+IF(AND(F$43&gt;=6,F$43&lt;=10),$G137*$G133/5,0)+IF(AND(F$43&gt;=7,F$43&lt;=11),$H137*$H133/5,0))*F135</f>
        <v>50.5188318654318</v>
      </c>
      <c r="G145" s="35" t="n">
        <f aca="false">(IF($D$19=1,(SUMPRODUCT((Quesería!$C$62:$C$77=0)*(Quesería!$J$62:$J$77&gt;0)*(G$43&gt;=1)*(G$43&lt;=Quesería!$J$62:$J$77)*(Quesería!$H$62:$H$77&gt;0)*Quesería!$F$62:$F$77*(1+Quesería!$I$62:$I$77)/(Quesería!$J$62:$J$77+(Quesería!$J$62:$J$77=0)))+SUMPRODUCT((Quesería!$C$62:$C$77=0)*(Quesería!$J$62:$J$77=0)*(G$43=0)*(Quesería!$H$62:$H$77&gt;0)*Quesería!$F$62:$F$77*(1+Quesería!$I$62:$I$77)))*$B$133+(SUMPRODUCT((Quesería!$C$62:$C$77=1)*(Quesería!$J$62:$J$77&gt;0)*(G$43&gt;=2)*(G$43&lt;=Quesería!$J$62:$J$77+1)*(Quesería!$H$62:$H$77&gt;0)*Quesería!$F$62:$F$77*(1+Quesería!$I$62:$I$77)/(Quesería!$J$62:$J$77+(Quesería!$J$62:$J$77=0)))+SUMPRODUCT((Quesería!$C$62:$C$77=1)*(Quesería!$J$62:$J$77=0)*(G$43=1)*(Quesería!$H$62:$H$77&gt;0)*Quesería!$F$62:$F$77*(1+Quesería!$I$62:$I$77)))*$C$133*$D$21,IF(AND(G$43&gt;=1,G$43&lt;=Quesería!$B$11),Quesería!$F$80/Quesería!$B$11,0)*$B$133+IF(AND(G$43&gt;=2,G$43&lt;=Quesería!$B$11+1),Quesería!$F$81/Quesería!$B$11,0)*$C$133*$D$21)*$D$11+IF(AND(G$43&gt;=6,G$43&lt;=10),$G137*$G133/5,0)+IF(AND(G$43&gt;=7,G$43&lt;=11),$H137*$H133/5,0))*G135</f>
        <v>48.5757998706075</v>
      </c>
      <c r="H145" s="35" t="n">
        <f aca="false">(IF($D$19=1,(SUMPRODUCT((Quesería!$C$62:$C$77=0)*(Quesería!$J$62:$J$77&gt;0)*(H$43&gt;=1)*(H$43&lt;=Quesería!$J$62:$J$77)*(Quesería!$H$62:$H$77&gt;0)*Quesería!$F$62:$F$77*(1+Quesería!$I$62:$I$77)/(Quesería!$J$62:$J$77+(Quesería!$J$62:$J$77=0)))+SUMPRODUCT((Quesería!$C$62:$C$77=0)*(Quesería!$J$62:$J$77=0)*(H$43=0)*(Quesería!$H$62:$H$77&gt;0)*Quesería!$F$62:$F$77*(1+Quesería!$I$62:$I$77)))*$B$133+(SUMPRODUCT((Quesería!$C$62:$C$77=1)*(Quesería!$J$62:$J$77&gt;0)*(H$43&gt;=2)*(H$43&lt;=Quesería!$J$62:$J$77+1)*(Quesería!$H$62:$H$77&gt;0)*Quesería!$F$62:$F$77*(1+Quesería!$I$62:$I$77)/(Quesería!$J$62:$J$77+(Quesería!$J$62:$J$77=0)))+SUMPRODUCT((Quesería!$C$62:$C$77=1)*(Quesería!$J$62:$J$77=0)*(H$43=1)*(Quesería!$H$62:$H$77&gt;0)*Quesería!$F$62:$F$77*(1+Quesería!$I$62:$I$77)))*$C$133*$D$21,IF(AND(H$43&gt;=1,H$43&lt;=Quesería!$B$11),Quesería!$F$80/Quesería!$B$11,0)*$B$133+IF(AND(H$43&gt;=2,H$43&lt;=Quesería!$B$11+1),Quesería!$F$81/Quesería!$B$11,0)*$C$133*$D$21)*$D$11+IF(AND(H$43&gt;=6,H$43&lt;=10),$G137*$G133/5,0)+IF(AND(H$43&gt;=7,H$43&lt;=11),$H137*$H133/5,0))*H135</f>
        <v>39.8903893548586</v>
      </c>
      <c r="I145" s="35" t="n">
        <f aca="false">(IF($D$19=1,(SUMPRODUCT((Quesería!$C$62:$C$77=0)*(Quesería!$J$62:$J$77&gt;0)*(I$43&gt;=1)*(I$43&lt;=Quesería!$J$62:$J$77)*(Quesería!$H$62:$H$77&gt;0)*Quesería!$F$62:$F$77*(1+Quesería!$I$62:$I$77)/(Quesería!$J$62:$J$77+(Quesería!$J$62:$J$77=0)))+SUMPRODUCT((Quesería!$C$62:$C$77=0)*(Quesería!$J$62:$J$77=0)*(I$43=0)*(Quesería!$H$62:$H$77&gt;0)*Quesería!$F$62:$F$77*(1+Quesería!$I$62:$I$77)))*$B$133+(SUMPRODUCT((Quesería!$C$62:$C$77=1)*(Quesería!$J$62:$J$77&gt;0)*(I$43&gt;=2)*(I$43&lt;=Quesería!$J$62:$J$77+1)*(Quesería!$H$62:$H$77&gt;0)*Quesería!$F$62:$F$77*(1+Quesería!$I$62:$I$77)/(Quesería!$J$62:$J$77+(Quesería!$J$62:$J$77=0)))+SUMPRODUCT((Quesería!$C$62:$C$77=1)*(Quesería!$J$62:$J$77=0)*(I$43=1)*(Quesería!$H$62:$H$77&gt;0)*Quesería!$F$62:$F$77*(1+Quesería!$I$62:$I$77)))*$C$133*$D$21,IF(AND(I$43&gt;=1,I$43&lt;=Quesería!$B$11),Quesería!$F$80/Quesería!$B$11,0)*$B$133+IF(AND(I$43&gt;=2,I$43&lt;=Quesería!$B$11+1),Quesería!$F$81/Quesería!$B$11,0)*$C$133*$D$21)*$D$11+IF(AND(I$43&gt;=6,I$43&lt;=10),$G137*$G133/5,0)+IF(AND(I$43&gt;=7,I$43&lt;=11),$H137*$H133/5,0))*I135</f>
        <v>45.145480736723</v>
      </c>
      <c r="J145" s="35" t="n">
        <f aca="false">(IF($D$19=1,(SUMPRODUCT((Quesería!$C$62:$C$77=0)*(Quesería!$J$62:$J$77&gt;0)*(J$43&gt;=1)*(J$43&lt;=Quesería!$J$62:$J$77)*(Quesería!$H$62:$H$77&gt;0)*Quesería!$F$62:$F$77*(1+Quesería!$I$62:$I$77)/(Quesería!$J$62:$J$77+(Quesería!$J$62:$J$77=0)))+SUMPRODUCT((Quesería!$C$62:$C$77=0)*(Quesería!$J$62:$J$77=0)*(J$43=0)*(Quesería!$H$62:$H$77&gt;0)*Quesería!$F$62:$F$77*(1+Quesería!$I$62:$I$77)))*$B$133+(SUMPRODUCT((Quesería!$C$62:$C$77=1)*(Quesería!$J$62:$J$77&gt;0)*(J$43&gt;=2)*(J$43&lt;=Quesería!$J$62:$J$77+1)*(Quesería!$H$62:$H$77&gt;0)*Quesería!$F$62:$F$77*(1+Quesería!$I$62:$I$77)/(Quesería!$J$62:$J$77+(Quesería!$J$62:$J$77=0)))+SUMPRODUCT((Quesería!$C$62:$C$77=1)*(Quesería!$J$62:$J$77=0)*(J$43=1)*(Quesería!$H$62:$H$77&gt;0)*Quesería!$F$62:$F$77*(1+Quesería!$I$62:$I$77)))*$C$133*$D$21,IF(AND(J$43&gt;=1,J$43&lt;=Quesería!$B$11),Quesería!$F$80/Quesería!$B$11,0)*$B$133+IF(AND(J$43&gt;=2,J$43&lt;=Quesería!$B$11+1),Quesería!$F$81/Quesería!$B$11,0)*$C$133*$D$21)*$D$11+IF(AND(J$43&gt;=6,J$43&lt;=10),$G137*$G133/5,0)+IF(AND(J$43&gt;=7,J$43&lt;=11),$H137*$H133/5,0))*J135</f>
        <v>43.4091160930029</v>
      </c>
      <c r="K145" s="35" t="n">
        <f aca="false">(IF($D$19=1,(SUMPRODUCT((Quesería!$C$62:$C$77=0)*(Quesería!$J$62:$J$77&gt;0)*(K$43&gt;=1)*(K$43&lt;=Quesería!$J$62:$J$77)*(Quesería!$H$62:$H$77&gt;0)*Quesería!$F$62:$F$77*(1+Quesería!$I$62:$I$77)/(Quesería!$J$62:$J$77+(Quesería!$J$62:$J$77=0)))+SUMPRODUCT((Quesería!$C$62:$C$77=0)*(Quesería!$J$62:$J$77=0)*(K$43=0)*(Quesería!$H$62:$H$77&gt;0)*Quesería!$F$62:$F$77*(1+Quesería!$I$62:$I$77)))*$B$133+(SUMPRODUCT((Quesería!$C$62:$C$77=1)*(Quesería!$J$62:$J$77&gt;0)*(K$43&gt;=2)*(K$43&lt;=Quesería!$J$62:$J$77+1)*(Quesería!$H$62:$H$77&gt;0)*Quesería!$F$62:$F$77*(1+Quesería!$I$62:$I$77)/(Quesería!$J$62:$J$77+(Quesería!$J$62:$J$77=0)))+SUMPRODUCT((Quesería!$C$62:$C$77=1)*(Quesería!$J$62:$J$77=0)*(K$43=1)*(Quesería!$H$62:$H$77&gt;0)*Quesería!$F$62:$F$77*(1+Quesería!$I$62:$I$77)))*$C$133*$D$21,IF(AND(K$43&gt;=1,K$43&lt;=Quesería!$B$11),Quesería!$F$80/Quesería!$B$11,0)*$B$133+IF(AND(K$43&gt;=2,K$43&lt;=Quesería!$B$11+1),Quesería!$F$81/Quesería!$B$11,0)*$C$133*$D$21)*$D$11+IF(AND(K$43&gt;=6,K$43&lt;=10),$G137*$G133/5,0)+IF(AND(K$43&gt;=7,K$43&lt;=11),$H137*$H133/5,0))*K135</f>
        <v>41.7395347048105</v>
      </c>
      <c r="L145" s="35" t="n">
        <f aca="false">(IF($D$19=1,(SUMPRODUCT((Quesería!$C$62:$C$77=0)*(Quesería!$J$62:$J$77&gt;0)*(L$43&gt;=1)*(L$43&lt;=Quesería!$J$62:$J$77)*(Quesería!$H$62:$H$77&gt;0)*Quesería!$F$62:$F$77*(1+Quesería!$I$62:$I$77)/(Quesería!$J$62:$J$77+(Quesería!$J$62:$J$77=0)))+SUMPRODUCT((Quesería!$C$62:$C$77=0)*(Quesería!$J$62:$J$77=0)*(L$43=0)*(Quesería!$H$62:$H$77&gt;0)*Quesería!$F$62:$F$77*(1+Quesería!$I$62:$I$77)))*$B$133+(SUMPRODUCT((Quesería!$C$62:$C$77=1)*(Quesería!$J$62:$J$77&gt;0)*(L$43&gt;=2)*(L$43&lt;=Quesería!$J$62:$J$77+1)*(Quesería!$H$62:$H$77&gt;0)*Quesería!$F$62:$F$77*(1+Quesería!$I$62:$I$77)/(Quesería!$J$62:$J$77+(Quesería!$J$62:$J$77=0)))+SUMPRODUCT((Quesería!$C$62:$C$77=1)*(Quesería!$J$62:$J$77=0)*(L$43=1)*(Quesería!$H$62:$H$77&gt;0)*Quesería!$F$62:$F$77*(1+Quesería!$I$62:$I$77)))*$C$133*$D$21,IF(AND(L$43&gt;=1,L$43&lt;=Quesería!$B$11),Quesería!$F$80/Quesería!$B$11,0)*$B$133+IF(AND(L$43&gt;=2,L$43&lt;=Quesería!$B$11+1),Quesería!$F$81/Quesería!$B$11,0)*$C$133*$D$21)*$D$11+IF(AND(L$43&gt;=6,L$43&lt;=10),$G137*$G133/5,0)+IF(AND(L$43&gt;=7,L$43&lt;=11),$H137*$H133/5,0))*L135</f>
        <v>40.1341679853947</v>
      </c>
    </row>
    <row r="146" customFormat="false" ht="15" hidden="false" customHeight="false" outlineLevel="0" collapsed="false">
      <c r="A146" s="9" t="s">
        <v>292</v>
      </c>
      <c r="B146" s="36" t="n">
        <f aca="false">IF(B$43=1,MIN($D$7*Quesería!$B$35*Quesería!$F$75*$D$11*$D$21,Quesería!$B$50*Quesería!$B$51),0)</f>
        <v>0</v>
      </c>
      <c r="C146" s="36" t="n">
        <f aca="false">IF(C$43=1,MIN($D$7*Quesería!$B$35*Quesería!$F$75*$D$11*$D$21,Quesería!$B$50*Quesería!$B$51),0)</f>
        <v>0</v>
      </c>
      <c r="D146" s="36" t="n">
        <f aca="false">IF(D$43=1,MIN($D$7*Quesería!$B$35*Quesería!$F$75*$D$11*$D$21,Quesería!$B$50*Quesería!$B$51),0)</f>
        <v>0</v>
      </c>
      <c r="E146" s="36" t="n">
        <f aca="false">IF(E$43=1,MIN($D$7*Quesería!$B$35*Quesería!$F$75*$D$11*$D$21,Quesería!$B$50*Quesería!$B$51),0)</f>
        <v>0</v>
      </c>
      <c r="F146" s="36" t="n">
        <f aca="false">IF(F$43=1,MIN($D$7*Quesería!$B$35*Quesería!$F$75*$D$11*$D$21,Quesería!$B$50*Quesería!$B$51),0)</f>
        <v>0</v>
      </c>
      <c r="G146" s="36" t="n">
        <f aca="false">IF(G$43=1,MIN($D$7*Quesería!$B$35*Quesería!$F$75*$D$11*$D$21,Quesería!$B$50*Quesería!$B$51),0)</f>
        <v>0</v>
      </c>
      <c r="H146" s="36" t="n">
        <f aca="false">IF(H$43=1,MIN($D$7*Quesería!$B$35*Quesería!$F$75*$D$11*$D$21,Quesería!$B$50*Quesería!$B$51),0)</f>
        <v>0</v>
      </c>
      <c r="I146" s="36" t="n">
        <f aca="false">IF(I$43=1,MIN($D$7*Quesería!$B$35*Quesería!$F$75*$D$11*$D$21,Quesería!$B$50*Quesería!$B$51),0)</f>
        <v>0</v>
      </c>
      <c r="J146" s="36" t="n">
        <f aca="false">IF(J$43=1,MIN($D$7*Quesería!$B$35*Quesería!$F$75*$D$11*$D$21,Quesería!$B$50*Quesería!$B$51),0)</f>
        <v>0</v>
      </c>
      <c r="K146" s="36" t="n">
        <f aca="false">IF(K$43=1,MIN($D$7*Quesería!$B$35*Quesería!$F$75*$D$11*$D$21,Quesería!$B$50*Quesería!$B$51),0)</f>
        <v>0</v>
      </c>
      <c r="L146" s="36" t="n">
        <f aca="false">IF(L$43=1,MIN($D$7*Quesería!$B$35*Quesería!$F$75*$D$11*$D$21,Quesería!$B$50*Quesería!$B$51),0)</f>
        <v>0</v>
      </c>
    </row>
    <row r="147" customFormat="false" ht="15" hidden="false" customHeight="false" outlineLevel="0" collapsed="false">
      <c r="A147" s="9" t="s">
        <v>293</v>
      </c>
      <c r="B147" s="36" t="n">
        <v>0</v>
      </c>
      <c r="C147" s="36" t="n">
        <f aca="false">$D$20*Quesería!$B$52*Quesería!$F$86*$D$11*$B$133/C133</f>
        <v>0</v>
      </c>
      <c r="D147" s="36" t="n">
        <v>0</v>
      </c>
      <c r="E147" s="36" t="n">
        <v>0</v>
      </c>
      <c r="F147" s="36" t="n">
        <v>0</v>
      </c>
      <c r="G147" s="36" t="n">
        <v>0</v>
      </c>
      <c r="H147" s="36" t="n">
        <v>0</v>
      </c>
      <c r="I147" s="36" t="n">
        <v>0</v>
      </c>
      <c r="J147" s="36" t="n">
        <v>0</v>
      </c>
      <c r="K147" s="36" t="n">
        <v>0</v>
      </c>
      <c r="L147" s="36" t="n">
        <v>0</v>
      </c>
    </row>
    <row r="148" customFormat="false" ht="15" hidden="false" customHeight="false" outlineLevel="0" collapsed="false">
      <c r="A148" s="9" t="s">
        <v>294</v>
      </c>
      <c r="B148" s="36" t="n">
        <f aca="false">0</f>
        <v>0</v>
      </c>
      <c r="C148" s="36" t="n">
        <f aca="false">B138*B133/C133</f>
        <v>94.6170242743742</v>
      </c>
      <c r="D148" s="36" t="n">
        <f aca="false">C138*C133/D133</f>
        <v>0</v>
      </c>
      <c r="E148" s="36" t="n">
        <f aca="false">D138*D133/E133</f>
        <v>0</v>
      </c>
      <c r="F148" s="36" t="n">
        <f aca="false">E138*E133/F133</f>
        <v>0</v>
      </c>
      <c r="G148" s="36" t="n">
        <f aca="false">F138*F133/G133</f>
        <v>0</v>
      </c>
      <c r="H148" s="36" t="n">
        <f aca="false">G138*G133/H133</f>
        <v>4.87179487179487</v>
      </c>
      <c r="I148" s="36" t="n">
        <f aca="false">H138*H133/I133</f>
        <v>6.44987026996795</v>
      </c>
      <c r="J148" s="36" t="n">
        <f aca="false">I138*I133/J133</f>
        <v>0</v>
      </c>
      <c r="K148" s="36" t="n">
        <f aca="false">J138*J133/K133</f>
        <v>0</v>
      </c>
      <c r="L148" s="36" t="n">
        <f aca="false">K138*K133/L133</f>
        <v>0</v>
      </c>
    </row>
    <row r="149" customFormat="false" ht="15" hidden="false" customHeight="false" outlineLevel="0" collapsed="false">
      <c r="A149" s="6" t="s">
        <v>86</v>
      </c>
      <c r="B149" s="35" t="n">
        <f aca="false">$D$17*(B141-B142-B143-0.5*B144-B145)-B146-B147-B148</f>
        <v>-24.753075274842</v>
      </c>
      <c r="C149" s="35" t="n">
        <f aca="false">$D$17*(C141-C142-C143-0.5*C144-C145)-C146-C147-C148</f>
        <v>-95.8894665484692</v>
      </c>
      <c r="D149" s="35" t="n">
        <f aca="false">$D$17*(D141-D142-D143-0.5*D144-D145)-D146-D147-D148</f>
        <v>10.1542485355754</v>
      </c>
      <c r="E149" s="35" t="n">
        <f aca="false">$D$17*(E141-E142-E143-0.5*E144-E145)-E146-E147-E148</f>
        <v>10.905760145861</v>
      </c>
      <c r="F149" s="35" t="n">
        <f aca="false">$D$17*(F141-F142-F143-0.5*F144-F145)-F146-F147-F148</f>
        <v>11.6290609973935</v>
      </c>
      <c r="G149" s="35" t="n">
        <f aca="false">$D$17*(G141-G142-G143-0.5*G144-G145)-G146-G147-G148</f>
        <v>12.3030262536923</v>
      </c>
      <c r="H149" s="35" t="n">
        <f aca="false">$D$17*(H141-H142-H143-0.5*H144-H145)-H146-H147-H148</f>
        <v>10.4801276814475</v>
      </c>
      <c r="I149" s="35" t="n">
        <f aca="false">$D$17*(I141-I142-I143-0.5*I144-I145)-I146-I147-I148</f>
        <v>7.10845796061084</v>
      </c>
      <c r="J149" s="35" t="n">
        <f aca="false">$D$17*(J141-J142-J143-0.5*J144-J145)-J146-J147-J148</f>
        <v>14.1824162190151</v>
      </c>
      <c r="K149" s="35" t="n">
        <f aca="false">$D$17*(K141-K142-K143-0.5*K144-K145)-K146-K147-K148</f>
        <v>14.7832118698324</v>
      </c>
      <c r="L149" s="35" t="n">
        <f aca="false">$D$17*(L141-L142-L143-0.5*L144-L145)-L146-L147-L148</f>
        <v>15.3616145974026</v>
      </c>
    </row>
    <row r="150" customFormat="false" ht="15" hidden="false" customHeight="false" outlineLevel="0" collapsed="false">
      <c r="A150" s="9" t="s">
        <v>295</v>
      </c>
      <c r="B150" s="36" t="n">
        <f aca="false">(IF(B$43&gt;=1,Quesería!$G$107*IF(B$43=1,Quesería!$B$12,1),Quesería!$G$107*Quesería!$B$12*Quesería!$B$13/12*$D$23)+IF(B$43&gt;=2,Quesería!$G$108*$D$21*IF(B$43=2,Quesería!$B$12,1),0))*$D$10</f>
        <v>26.8516916045565</v>
      </c>
      <c r="C150" s="36" t="n">
        <f aca="false">(IF(C$43&gt;=1,Quesería!$G$107*IF(C$43=1,Quesería!$B$12,1),Quesería!$G$107*Quesería!$B$12*Quesería!$B$13/12*$D$23)+IF(C$43&gt;=2,Quesería!$G$108*$D$21*IF(C$43=2,Quesería!$B$12,1),0))*$D$10</f>
        <v>80.5550748136695</v>
      </c>
      <c r="D150" s="36" t="n">
        <f aca="false">(IF(D$43&gt;=1,Quesería!$G$107*IF(D$43=1,Quesería!$B$12,1),Quesería!$G$107*Quesería!$B$12*Quesería!$B$13/12*$D$23)+IF(D$43&gt;=2,Quesería!$G$108*$D$21*IF(D$43=2,Quesería!$B$12,1),0))*$D$10</f>
        <v>107.406766418226</v>
      </c>
      <c r="E150" s="36" t="n">
        <f aca="false">(IF(E$43&gt;=1,Quesería!$G$107*IF(E$43=1,Quesería!$B$12,1),Quesería!$G$107*Quesería!$B$12*Quesería!$B$13/12*$D$23)+IF(E$43&gt;=2,Quesería!$G$108*$D$21*IF(E$43=2,Quesería!$B$12,1),0))*$D$10</f>
        <v>107.406766418226</v>
      </c>
      <c r="F150" s="36" t="n">
        <f aca="false">(IF(F$43&gt;=1,Quesería!$G$107*IF(F$43=1,Quesería!$B$12,1),Quesería!$G$107*Quesería!$B$12*Quesería!$B$13/12*$D$23)+IF(F$43&gt;=2,Quesería!$G$108*$D$21*IF(F$43=2,Quesería!$B$12,1),0))*$D$10</f>
        <v>107.406766418226</v>
      </c>
      <c r="G150" s="36" t="n">
        <f aca="false">(IF(G$43&gt;=1,Quesería!$G$107*IF(G$43=1,Quesería!$B$12,1),Quesería!$G$107*Quesería!$B$12*Quesería!$B$13/12*$D$23)+IF(G$43&gt;=2,Quesería!$G$108*$D$21*IF(G$43=2,Quesería!$B$12,1),0))*$D$10</f>
        <v>107.406766418226</v>
      </c>
      <c r="H150" s="36" t="n">
        <f aca="false">(IF(H$43&gt;=1,Quesería!$G$107*IF(H$43=1,Quesería!$B$12,1),Quesería!$G$107*Quesería!$B$12*Quesería!$B$13/12*$D$23)+IF(H$43&gt;=2,Quesería!$G$108*$D$21*IF(H$43=2,Quesería!$B$12,1),0))*$D$10</f>
        <v>107.406766418226</v>
      </c>
      <c r="I150" s="36" t="n">
        <f aca="false">(IF(I$43&gt;=1,Quesería!$G$107*IF(I$43=1,Quesería!$B$12,1),Quesería!$G$107*Quesería!$B$12*Quesería!$B$13/12*$D$23)+IF(I$43&gt;=2,Quesería!$G$108*$D$21*IF(I$43=2,Quesería!$B$12,1),0))*$D$10</f>
        <v>107.406766418226</v>
      </c>
      <c r="J150" s="36" t="n">
        <f aca="false">(IF(J$43&gt;=1,Quesería!$G$107*IF(J$43=1,Quesería!$B$12,1),Quesería!$G$107*Quesería!$B$12*Quesería!$B$13/12*$D$23)+IF(J$43&gt;=2,Quesería!$G$108*$D$21*IF(J$43=2,Quesería!$B$12,1),0))*$D$10</f>
        <v>107.406766418226</v>
      </c>
      <c r="K150" s="36" t="n">
        <f aca="false">(IF(K$43&gt;=1,Quesería!$G$107*IF(K$43=1,Quesería!$B$12,1),Quesería!$G$107*Quesería!$B$12*Quesería!$B$13/12*$D$23)+IF(K$43&gt;=2,Quesería!$G$108*$D$21*IF(K$43=2,Quesería!$B$12,1),0))*$D$10</f>
        <v>107.406766418226</v>
      </c>
      <c r="L150" s="36" t="n">
        <f aca="false">(IF(L$43&gt;=1,Quesería!$G$107*IF(L$43=1,Quesería!$B$12,1),Quesería!$G$107*Quesería!$B$12*Quesería!$B$13/12*$D$23)+IF(L$43&gt;=2,Quesería!$G$108*$D$21*IF(L$43=2,Quesería!$B$12,1),0))*$D$10</f>
        <v>107.406766418226</v>
      </c>
    </row>
    <row r="151" customFormat="false" ht="15" hidden="false" customHeight="false" outlineLevel="0" collapsed="false">
      <c r="A151" s="6" t="s">
        <v>296</v>
      </c>
      <c r="B151" s="35" t="n">
        <f aca="false">(B150*(Quesería!$B$23+Quesería!$B$25*Quesería!$B$24)/365-B142*Quesería!$B$26/365)</f>
        <v>2.50861009237089</v>
      </c>
      <c r="C151" s="35" t="n">
        <f aca="false">(C150*(Quesería!$B$23+Quesería!$B$25*Quesería!$B$24)/365-C142*Quesería!$B$26/365)-(B150*(Quesería!$B$23+Quesería!$B$25*Quesería!$B$24)/365-B142*Quesería!$B$26/365)*B133/C133</f>
        <v>2.91304119724236</v>
      </c>
      <c r="D151" s="35" t="n">
        <f aca="false">(D150*(Quesería!$B$23+Quesería!$B$25*Quesería!$B$24)/365-D142*Quesería!$B$26/365)-(C150*(Quesería!$B$23+Quesería!$B$25*Quesería!$B$24)/365-C142*Quesería!$B$26/365)*C133/D133</f>
        <v>2.73693422153598</v>
      </c>
      <c r="E151" s="35" t="n">
        <f aca="false">(E150*(Quesería!$B$23+Quesería!$B$25*Quesería!$B$24)/365-E142*Quesería!$B$26/365)-(D150*(Quesería!$B$23+Quesería!$B$25*Quesería!$B$24)/365-D142*Quesería!$B$26/365)*D133/E133</f>
        <v>0.300415529174535</v>
      </c>
      <c r="F151" s="35" t="n">
        <f aca="false">(F150*(Quesería!$B$23+Quesería!$B$25*Quesería!$B$24)/365-F142*Quesería!$B$26/365)-(E150*(Quesería!$B$23+Quesería!$B$25*Quesería!$B$24)/365-E142*Quesería!$B$26/365)*E133/F133</f>
        <v>0.300415529174535</v>
      </c>
      <c r="G151" s="35" t="n">
        <f aca="false">(G150*(Quesería!$B$23+Quesería!$B$25*Quesería!$B$24)/365-G142*Quesería!$B$26/365)-(F150*(Quesería!$B$23+Quesería!$B$25*Quesería!$B$24)/365-F142*Quesería!$B$26/365)*F133/G133</f>
        <v>0.300415529174535</v>
      </c>
      <c r="H151" s="35" t="n">
        <f aca="false">(H150*(Quesería!$B$23+Quesería!$B$25*Quesería!$B$24)/365-H142*Quesería!$B$26/365)-(G150*(Quesería!$B$23+Quesería!$B$25*Quesería!$B$24)/365-G142*Quesería!$B$26/365)*G133/H133</f>
        <v>0.300415529174535</v>
      </c>
      <c r="I151" s="35" t="n">
        <f aca="false">(I150*(Quesería!$B$23+Quesería!$B$25*Quesería!$B$24)/365-I142*Quesería!$B$26/365)-(H150*(Quesería!$B$23+Quesería!$B$25*Quesería!$B$24)/365-H142*Quesería!$B$26/365)*H133/I133</f>
        <v>0.300415529174535</v>
      </c>
      <c r="J151" s="35" t="n">
        <f aca="false">(J150*(Quesería!$B$23+Quesería!$B$25*Quesería!$B$24)/365-J142*Quesería!$B$26/365)-(I150*(Quesería!$B$23+Quesería!$B$25*Quesería!$B$24)/365-I142*Quesería!$B$26/365)*I133/J133</f>
        <v>0.300415529174535</v>
      </c>
      <c r="K151" s="35" t="n">
        <f aca="false">(K150*(Quesería!$B$23+Quesería!$B$25*Quesería!$B$24)/365-K142*Quesería!$B$26/365)-(J150*(Quesería!$B$23+Quesería!$B$25*Quesería!$B$24)/365-J142*Quesería!$B$26/365)*J133/K133</f>
        <v>0.300415529174535</v>
      </c>
      <c r="L151" s="35" t="n">
        <f aca="false">-(K150*(Quesería!$B$23+Quesería!$B$25*Quesería!$B$24)/365-K142*Quesería!$B$26/365)*K133/L133</f>
        <v>-7.51038822936338</v>
      </c>
    </row>
    <row r="152" customFormat="false" ht="15" hidden="false" customHeight="false" outlineLevel="0" collapsed="false">
      <c r="A152" s="6" t="s">
        <v>297</v>
      </c>
      <c r="B152" s="35" t="n">
        <v>0</v>
      </c>
      <c r="C152" s="35" t="n">
        <v>0</v>
      </c>
      <c r="D152" s="35" t="n">
        <v>0</v>
      </c>
      <c r="E152" s="35" t="n">
        <v>0</v>
      </c>
      <c r="F152" s="35" t="n">
        <v>0</v>
      </c>
      <c r="G152" s="35" t="n">
        <v>0</v>
      </c>
      <c r="H152" s="35" t="n">
        <v>0</v>
      </c>
      <c r="I152" s="35" t="n">
        <v>0</v>
      </c>
      <c r="J152" s="35" t="n">
        <v>0</v>
      </c>
      <c r="K152" s="35" t="n">
        <v>0</v>
      </c>
      <c r="L152" s="35" t="n">
        <f aca="false">$D$8*Quesería!$B$39*(Quesería!$F$82+Quesería!$F$83*$D$21)*$D$11*(1-$D$17)</f>
        <v>0</v>
      </c>
    </row>
    <row r="153" customFormat="false" ht="15" hidden="false" customHeight="false" outlineLevel="0" collapsed="false">
      <c r="A153" s="5" t="s">
        <v>298</v>
      </c>
      <c r="B153" s="37" t="n">
        <f aca="false">B141-B142-B143-B144-B149-B136-B137-B138-B151+B152</f>
        <v>-672.153220719566</v>
      </c>
      <c r="C153" s="37" t="n">
        <f aca="false">C141-C142-C143-C144-C149-C136-C137-C138-C151+C152</f>
        <v>146.367112821148</v>
      </c>
      <c r="D153" s="37" t="n">
        <f aca="false">D141-D142-D143-D144-D149-D136-D137-D138-D151+D152</f>
        <v>70.6883401558854</v>
      </c>
      <c r="E153" s="37" t="n">
        <f aca="false">E141-E142-E143-E144-E149-E136-E137-E138-E151+E152</f>
        <v>72.4189398617467</v>
      </c>
      <c r="F153" s="37" t="n">
        <f aca="false">F141-F142-F143-F144-F149-F136-F137-F138-F151+F152</f>
        <v>71.7414595971184</v>
      </c>
      <c r="G153" s="37" t="n">
        <f aca="false">G141-G142-G143-G144-G149-G136-G137-G138-G151+G152</f>
        <v>39.2532773639918</v>
      </c>
      <c r="H153" s="37" t="n">
        <f aca="false">H141-H142-H143-H144-H149-H136-H137-H138-H151+H152</f>
        <v>30.8022547312082</v>
      </c>
      <c r="I153" s="37" t="n">
        <f aca="false">I141-I142-I143-I144-I149-I136-I137-I138-I151+I152</f>
        <v>76.4009036000074</v>
      </c>
      <c r="J153" s="37" t="n">
        <f aca="false">J141-J142-J143-J144-J149-J136-J137-J138-J151+J152</f>
        <v>69.3736892362725</v>
      </c>
      <c r="K153" s="37" t="n">
        <f aca="false">K141-K142-K143-K144-K149-K136-K137-K138-K151+K152</f>
        <v>68.8198711995979</v>
      </c>
      <c r="L153" s="37" t="n">
        <f aca="false">L141-L142-L143-L144-L149-L136-L137-L138-L151+L152</f>
        <v>76.099484732779</v>
      </c>
    </row>
    <row r="154" customFormat="false" ht="15" hidden="false" customHeight="false" outlineLevel="0" collapsed="false">
      <c r="A154" s="9" t="s">
        <v>299</v>
      </c>
      <c r="B154" s="36" t="n">
        <f aca="false">B153*B133</f>
        <v>-712.482413962741</v>
      </c>
      <c r="C154" s="36" t="n">
        <f aca="false">C153*C133</f>
        <v>162.906596569938</v>
      </c>
      <c r="D154" s="36" t="n">
        <f aca="false">D153*D133</f>
        <v>82.216548110208</v>
      </c>
      <c r="E154" s="36" t="n">
        <f aca="false">E153*E133</f>
        <v>87.5985579758636</v>
      </c>
      <c r="F154" s="36" t="n">
        <f aca="false">F153*F133</f>
        <v>90.2502350432125</v>
      </c>
      <c r="G154" s="36" t="n">
        <f aca="false">G153*G133</f>
        <v>51.3555512996187</v>
      </c>
      <c r="H154" s="36" t="n">
        <f aca="false">H153*H133</f>
        <v>41.910932140951</v>
      </c>
      <c r="I154" s="36" t="n">
        <f aca="false">I153*I133</f>
        <v>108.112683269408</v>
      </c>
      <c r="J154" s="36" t="n">
        <f aca="false">J153*J133</f>
        <v>102.095424945942</v>
      </c>
      <c r="K154" s="36" t="n">
        <f aca="false">K153*K133</f>
        <v>105.331601001569</v>
      </c>
      <c r="L154" s="36" t="n">
        <f aca="false">L153*L133</f>
        <v>121.132278213835</v>
      </c>
    </row>
    <row r="155" customFormat="false" ht="15" hidden="false" customHeight="false" outlineLevel="0" collapsed="false">
      <c r="A155" s="6" t="s">
        <v>300</v>
      </c>
      <c r="B155" s="35" t="n">
        <f aca="false">B153</f>
        <v>-672.153220719566</v>
      </c>
      <c r="C155" s="35" t="n">
        <f aca="false">B155+C153</f>
        <v>-525.786107898418</v>
      </c>
      <c r="D155" s="35" t="n">
        <f aca="false">C155+D153</f>
        <v>-455.097767742533</v>
      </c>
      <c r="E155" s="35" t="n">
        <f aca="false">D155+E153</f>
        <v>-382.678827880786</v>
      </c>
      <c r="F155" s="35" t="n">
        <f aca="false">E155+F153</f>
        <v>-310.937368283668</v>
      </c>
      <c r="G155" s="35" t="n">
        <f aca="false">F155+G153</f>
        <v>-271.684090919676</v>
      </c>
      <c r="H155" s="35" t="n">
        <f aca="false">G155+H153</f>
        <v>-240.881836188468</v>
      </c>
      <c r="I155" s="35" t="n">
        <f aca="false">H155+I153</f>
        <v>-164.48093258846</v>
      </c>
      <c r="J155" s="35" t="n">
        <f aca="false">I155+J153</f>
        <v>-95.1072433521878</v>
      </c>
      <c r="K155" s="35" t="n">
        <f aca="false">J155+K153</f>
        <v>-26.2873721525899</v>
      </c>
      <c r="L155" s="35" t="n">
        <f aca="false">K155+L153</f>
        <v>49.8121125801891</v>
      </c>
    </row>
    <row r="156" customFormat="false" ht="15" hidden="false" customHeight="false" outlineLevel="0" collapsed="false">
      <c r="A156" s="9" t="s">
        <v>301</v>
      </c>
      <c r="B156" s="38" t="n">
        <v>0</v>
      </c>
      <c r="C156" s="38" t="n">
        <f aca="false">IF(AND(B155&lt;0,C155&gt;=0),B$43+(-B155)/C153,0)</f>
        <v>0</v>
      </c>
      <c r="D156" s="38" t="n">
        <f aca="false">IF(AND(C155&lt;0,D155&gt;=0),C$43+(-C155)/D153,0)</f>
        <v>0</v>
      </c>
      <c r="E156" s="38" t="n">
        <f aca="false">IF(AND(D155&lt;0,E155&gt;=0),D$43+(-D155)/E153,0)</f>
        <v>0</v>
      </c>
      <c r="F156" s="38" t="n">
        <f aca="false">IF(AND(E155&lt;0,F155&gt;=0),E$43+(-E155)/F153,0)</f>
        <v>0</v>
      </c>
      <c r="G156" s="38" t="n">
        <f aca="false">IF(AND(F155&lt;0,G155&gt;=0),F$43+(-F155)/G153,0)</f>
        <v>0</v>
      </c>
      <c r="H156" s="38" t="n">
        <f aca="false">IF(AND(G155&lt;0,H155&gt;=0),G$43+(-G155)/H153,0)</f>
        <v>0</v>
      </c>
      <c r="I156" s="38" t="n">
        <f aca="false">IF(AND(H155&lt;0,I155&gt;=0),H$43+(-H155)/I153,0)</f>
        <v>0</v>
      </c>
      <c r="J156" s="38" t="n">
        <f aca="false">IF(AND(I155&lt;0,J155&gt;=0),I$43+(-I155)/J153,0)</f>
        <v>0</v>
      </c>
      <c r="K156" s="38" t="n">
        <f aca="false">IF(AND(J155&lt;0,K155&gt;=0),J$43+(-J155)/K153,0)</f>
        <v>0</v>
      </c>
      <c r="L156" s="38" t="n">
        <f aca="false">IF(AND(K155&lt;0,L155&gt;=0),K$43+(-K155)/L153,0)</f>
        <v>9.34543429886414</v>
      </c>
    </row>
    <row r="157" customFormat="false" ht="15" hidden="false" customHeight="false" outlineLevel="0" collapsed="false">
      <c r="A157" s="9" t="s">
        <v>302</v>
      </c>
      <c r="B157" s="34" t="n">
        <f aca="false">(B133/$B$133)/(1+$D$25)^B$43</f>
        <v>1</v>
      </c>
      <c r="C157" s="34" t="n">
        <f aca="false">(C133/$B$133)/(1+$D$25)^C$43</f>
        <v>0.913099173340447</v>
      </c>
      <c r="D157" s="34" t="n">
        <f aca="false">(D133/$B$133)/(1+$D$25)^D$43</f>
        <v>0.829779861781889</v>
      </c>
      <c r="E157" s="34" t="n">
        <f aca="false">(E133/$B$133)/(1+$D$25)^E$43</f>
        <v>0.750455388649045</v>
      </c>
      <c r="F157" s="34" t="n">
        <f aca="false">(F133/$B$133)/(1+$D$25)^F$43</f>
        <v>0.678714097909047</v>
      </c>
      <c r="G157" s="34" t="n">
        <f aca="false">(G133/$B$133)/(1+$D$25)^G$43</f>
        <v>0.613831060004446</v>
      </c>
      <c r="H157" s="34" t="n">
        <f aca="false">(H133/$B$133)/(1+$D$25)^H$43</f>
        <v>0.55515064647541</v>
      </c>
      <c r="I157" s="34" t="n">
        <f aca="false">(I133/$B$133)/(1+$D$25)^I$43</f>
        <v>0.502079904982053</v>
      </c>
      <c r="J157" s="34" t="n">
        <f aca="false">(J133/$B$133)/(1+$D$25)^J$43</f>
        <v>0.45408256765482</v>
      </c>
      <c r="K157" s="34" t="n">
        <f aca="false">(K133/$B$133)/(1+$D$25)^K$43</f>
        <v>0.410673632228649</v>
      </c>
      <c r="L157" s="34" t="n">
        <f aca="false">(L133/$B$133)/(1+$D$25)^L$43</f>
        <v>0.371414461204501</v>
      </c>
    </row>
    <row r="158" customFormat="false" ht="15" hidden="false" customHeight="false" outlineLevel="0" collapsed="false">
      <c r="A158" s="9" t="s">
        <v>303</v>
      </c>
      <c r="B158" s="36" t="n">
        <f aca="false">B153*B157</f>
        <v>-672.153220719566</v>
      </c>
      <c r="C158" s="36" t="n">
        <f aca="false">C153*C157</f>
        <v>133.647689721219</v>
      </c>
      <c r="D158" s="36" t="n">
        <f aca="false">D153*D157</f>
        <v>58.6557611241417</v>
      </c>
      <c r="E158" s="36" t="n">
        <f aca="false">E153*E157</f>
        <v>54.3471836594989</v>
      </c>
      <c r="F158" s="36" t="n">
        <f aca="false">F153*F157</f>
        <v>48.6919400331366</v>
      </c>
      <c r="G158" s="36" t="n">
        <f aca="false">G153*G157</f>
        <v>24.0948808529876</v>
      </c>
      <c r="H158" s="36" t="n">
        <f aca="false">H153*H157</f>
        <v>17.0998916269305</v>
      </c>
      <c r="I158" s="36" t="n">
        <f aca="false">I153*I157</f>
        <v>38.3593584200347</v>
      </c>
      <c r="J158" s="36" t="n">
        <f aca="false">J153*J157</f>
        <v>31.5013829360942</v>
      </c>
      <c r="K158" s="36" t="n">
        <f aca="false">K153*K157</f>
        <v>28.2625064750466</v>
      </c>
      <c r="L158" s="36" t="n">
        <f aca="false">L153*L157</f>
        <v>28.2644491199652</v>
      </c>
    </row>
    <row r="159" customFormat="false" ht="15" hidden="false" customHeight="false" outlineLevel="0" collapsed="false">
      <c r="A159" s="9" t="s">
        <v>304</v>
      </c>
      <c r="B159" s="36" t="n">
        <f aca="false">B158</f>
        <v>-672.153220719566</v>
      </c>
      <c r="C159" s="36" t="n">
        <f aca="false">B159+C158</f>
        <v>-538.505530998348</v>
      </c>
      <c r="D159" s="36" t="n">
        <f aca="false">C159+D158</f>
        <v>-479.849769874206</v>
      </c>
      <c r="E159" s="36" t="n">
        <f aca="false">D159+E158</f>
        <v>-425.502586214707</v>
      </c>
      <c r="F159" s="36" t="n">
        <f aca="false">E159+F158</f>
        <v>-376.810646181571</v>
      </c>
      <c r="G159" s="36" t="n">
        <f aca="false">F159+G158</f>
        <v>-352.715765328583</v>
      </c>
      <c r="H159" s="36" t="n">
        <f aca="false">G159+H158</f>
        <v>-335.615873701653</v>
      </c>
      <c r="I159" s="36" t="n">
        <f aca="false">H159+I158</f>
        <v>-297.256515281618</v>
      </c>
      <c r="J159" s="36" t="n">
        <f aca="false">I159+J158</f>
        <v>-265.755132345524</v>
      </c>
      <c r="K159" s="36" t="n">
        <f aca="false">J159+K158</f>
        <v>-237.492625870477</v>
      </c>
      <c r="L159" s="36" t="n">
        <f aca="false">K159+L158</f>
        <v>-209.228176750512</v>
      </c>
    </row>
    <row r="160" customFormat="false" ht="15" hidden="false" customHeight="false" outlineLevel="0" collapsed="false">
      <c r="A160" s="9" t="s">
        <v>305</v>
      </c>
      <c r="B160" s="38" t="n">
        <v>0</v>
      </c>
      <c r="C160" s="38" t="n">
        <f aca="false">IF(AND(B159&lt;0,C159&gt;=0),B$43+(-B159)/C158,0)</f>
        <v>0</v>
      </c>
      <c r="D160" s="38" t="n">
        <f aca="false">IF(AND(C159&lt;0,D159&gt;=0),C$43+(-C159)/D158,0)</f>
        <v>0</v>
      </c>
      <c r="E160" s="38" t="n">
        <f aca="false">IF(AND(D159&lt;0,E159&gt;=0),D$43+(-D159)/E158,0)</f>
        <v>0</v>
      </c>
      <c r="F160" s="38" t="n">
        <f aca="false">IF(AND(E159&lt;0,F159&gt;=0),E$43+(-E159)/F158,0)</f>
        <v>0</v>
      </c>
      <c r="G160" s="38" t="n">
        <f aca="false">IF(AND(F159&lt;0,G159&gt;=0),F$43+(-F159)/G158,0)</f>
        <v>0</v>
      </c>
      <c r="H160" s="38" t="n">
        <f aca="false">IF(AND(G159&lt;0,H159&gt;=0),G$43+(-G159)/H158,0)</f>
        <v>0</v>
      </c>
      <c r="I160" s="38" t="n">
        <f aca="false">IF(AND(H159&lt;0,I159&gt;=0),H$43+(-H159)/I158,0)</f>
        <v>0</v>
      </c>
      <c r="J160" s="38" t="n">
        <f aca="false">IF(AND(I159&lt;0,J159&gt;=0),I$43+(-I159)/J158,0)</f>
        <v>0</v>
      </c>
      <c r="K160" s="38" t="n">
        <f aca="false">IF(AND(J159&lt;0,K159&gt;=0),J$43+(-J159)/K158,0)</f>
        <v>0</v>
      </c>
      <c r="L160" s="38" t="n">
        <f aca="false">IF(AND(K159&lt;0,L159&gt;=0),K$43+(-K159)/L158,0)</f>
        <v>0</v>
      </c>
    </row>
    <row r="161" customFormat="false" ht="15" hidden="false" customHeight="false" outlineLevel="0" collapsed="false">
      <c r="A161" s="9" t="s">
        <v>306</v>
      </c>
      <c r="B161" s="36" t="n">
        <f aca="false">IF(B$43&lt;0,0,(Quesería!$B$40*$B$136*$B$133)*(1-MAX(0,MIN(B$43-0-Quesería!$B$43,(Quesería!$B$42-Quesería!$B$43)))/(Quesería!$B$42-Quesería!$B$43)))+IF(B$43&lt;1,0,(Quesería!$B$40*$C$136*$C$133)*(1-MAX(0,MIN(B$43-1-Quesería!$B$43,(Quesería!$B$42-Quesería!$B$43)))/(Quesería!$B$42-Quesería!$B$43)))</f>
        <v>461.704769247221</v>
      </c>
      <c r="C161" s="36" t="n">
        <f aca="false">IF(C$43&lt;0,0,(Quesería!$B$40*$B$136*$B$133)*(1-MAX(0,MIN(C$43-0-Quesería!$B$43,(Quesería!$B$42-Quesería!$B$43)))/(Quesería!$B$42-Quesería!$B$43)))+IF(C$43&lt;1,0,(Quesería!$B$40*$C$136*$C$133)*(1-MAX(0,MIN(C$43-1-Quesería!$B$43,(Quesería!$B$42-Quesería!$B$43)))/(Quesería!$B$42-Quesería!$B$43)))</f>
        <v>461.704769247221</v>
      </c>
      <c r="D161" s="36" t="n">
        <f aca="false">IF(D$43&lt;0,0,(Quesería!$B$40*$B$136*$B$133)*(1-MAX(0,MIN(D$43-0-Quesería!$B$43,(Quesería!$B$42-Quesería!$B$43)))/(Quesería!$B$42-Quesería!$B$43)))+IF(D$43&lt;1,0,(Quesería!$B$40*$C$136*$C$133)*(1-MAX(0,MIN(D$43-1-Quesería!$B$43,(Quesería!$B$42-Quesería!$B$43)))/(Quesería!$B$42-Quesería!$B$43)))</f>
        <v>384.753974372684</v>
      </c>
      <c r="E161" s="36" t="n">
        <f aca="false">IF(E$43&lt;0,0,(Quesería!$B$40*$B$136*$B$133)*(1-MAX(0,MIN(E$43-0-Quesería!$B$43,(Quesería!$B$42-Quesería!$B$43)))/(Quesería!$B$42-Quesería!$B$43)))+IF(E$43&lt;1,0,(Quesería!$B$40*$C$136*$C$133)*(1-MAX(0,MIN(E$43-1-Quesería!$B$43,(Quesería!$B$42-Quesería!$B$43)))/(Quesería!$B$42-Quesería!$B$43)))</f>
        <v>307.803179498148</v>
      </c>
      <c r="F161" s="36" t="n">
        <f aca="false">IF(F$43&lt;0,0,(Quesería!$B$40*$B$136*$B$133)*(1-MAX(0,MIN(F$43-0-Quesería!$B$43,(Quesería!$B$42-Quesería!$B$43)))/(Quesería!$B$42-Quesería!$B$43)))+IF(F$43&lt;1,0,(Quesería!$B$40*$C$136*$C$133)*(1-MAX(0,MIN(F$43-1-Quesería!$B$43,(Quesería!$B$42-Quesería!$B$43)))/(Quesería!$B$42-Quesería!$B$43)))</f>
        <v>230.852384623611</v>
      </c>
      <c r="G161" s="36" t="n">
        <f aca="false">IF(G$43&lt;0,0,(Quesería!$B$40*$B$136*$B$133)*(1-MAX(0,MIN(G$43-0-Quesería!$B$43,(Quesería!$B$42-Quesería!$B$43)))/(Quesería!$B$42-Quesería!$B$43)))+IF(G$43&lt;1,0,(Quesería!$B$40*$C$136*$C$133)*(1-MAX(0,MIN(G$43-1-Quesería!$B$43,(Quesería!$B$42-Quesería!$B$43)))/(Quesería!$B$42-Quesería!$B$43)))</f>
        <v>153.901589749074</v>
      </c>
      <c r="H161" s="36" t="n">
        <f aca="false">IF(H$43&lt;0,0,(Quesería!$B$40*$B$136*$B$133)*(1-MAX(0,MIN(H$43-0-Quesería!$B$43,(Quesería!$B$42-Quesería!$B$43)))/(Quesería!$B$42-Quesería!$B$43)))+IF(H$43&lt;1,0,(Quesería!$B$40*$C$136*$C$133)*(1-MAX(0,MIN(H$43-1-Quesería!$B$43,(Quesería!$B$42-Quesería!$B$43)))/(Quesería!$B$42-Quesería!$B$43)))</f>
        <v>76.9507948745369</v>
      </c>
      <c r="I161" s="36" t="n">
        <f aca="false">IF(I$43&lt;0,0,(Quesería!$B$40*$B$136*$B$133)*(1-MAX(0,MIN(I$43-0-Quesería!$B$43,(Quesería!$B$42-Quesería!$B$43)))/(Quesería!$B$42-Quesería!$B$43)))+IF(I$43&lt;1,0,(Quesería!$B$40*$C$136*$C$133)*(1-MAX(0,MIN(I$43-1-Quesería!$B$43,(Quesería!$B$42-Quesería!$B$43)))/(Quesería!$B$42-Quesería!$B$43)))</f>
        <v>0</v>
      </c>
      <c r="J161" s="36" t="n">
        <f aca="false">IF(J$43&lt;0,0,(Quesería!$B$40*$B$136*$B$133)*(1-MAX(0,MIN(J$43-0-Quesería!$B$43,(Quesería!$B$42-Quesería!$B$43)))/(Quesería!$B$42-Quesería!$B$43)))+IF(J$43&lt;1,0,(Quesería!$B$40*$C$136*$C$133)*(1-MAX(0,MIN(J$43-1-Quesería!$B$43,(Quesería!$B$42-Quesería!$B$43)))/(Quesería!$B$42-Quesería!$B$43)))</f>
        <v>0</v>
      </c>
      <c r="K161" s="36" t="n">
        <f aca="false">IF(K$43&lt;0,0,(Quesería!$B$40*$B$136*$B$133)*(1-MAX(0,MIN(K$43-0-Quesería!$B$43,(Quesería!$B$42-Quesería!$B$43)))/(Quesería!$B$42-Quesería!$B$43)))+IF(K$43&lt;1,0,(Quesería!$B$40*$C$136*$C$133)*(1-MAX(0,MIN(K$43-1-Quesería!$B$43,(Quesería!$B$42-Quesería!$B$43)))/(Quesería!$B$42-Quesería!$B$43)))</f>
        <v>0</v>
      </c>
      <c r="L161" s="36" t="n">
        <f aca="false">IF(L$43&lt;0,0,(Quesería!$B$40*$B$136*$B$133)*(1-MAX(0,MIN(L$43-0-Quesería!$B$43,(Quesería!$B$42-Quesería!$B$43)))/(Quesería!$B$42-Quesería!$B$43)))+IF(L$43&lt;1,0,(Quesería!$B$40*$C$136*$C$133)*(1-MAX(0,MIN(L$43-1-Quesería!$B$43,(Quesería!$B$42-Quesería!$B$43)))/(Quesería!$B$42-Quesería!$B$43)))</f>
        <v>0</v>
      </c>
    </row>
    <row r="162" customFormat="false" ht="15" hidden="false" customHeight="false" outlineLevel="0" collapsed="false">
      <c r="A162" s="6" t="s">
        <v>307</v>
      </c>
      <c r="B162" s="35" t="n">
        <f aca="false">Quesería!$B$40*B136</f>
        <v>435.57053702568</v>
      </c>
      <c r="C162" s="35" t="n">
        <f aca="false">Quesería!$B$40*C136</f>
        <v>0</v>
      </c>
      <c r="D162" s="35" t="n">
        <f aca="false">Quesería!$B$40*D136</f>
        <v>0</v>
      </c>
      <c r="E162" s="35" t="n">
        <f aca="false">Quesería!$B$40*E136</f>
        <v>0</v>
      </c>
      <c r="F162" s="35" t="n">
        <f aca="false">Quesería!$B$40*F136</f>
        <v>0</v>
      </c>
      <c r="G162" s="35" t="n">
        <f aca="false">Quesería!$B$40*G136</f>
        <v>0</v>
      </c>
      <c r="H162" s="35" t="n">
        <f aca="false">Quesería!$B$40*H136</f>
        <v>0</v>
      </c>
      <c r="I162" s="35" t="n">
        <f aca="false">Quesería!$B$40*I136</f>
        <v>0</v>
      </c>
      <c r="J162" s="35" t="n">
        <f aca="false">Quesería!$B$40*J136</f>
        <v>0</v>
      </c>
      <c r="K162" s="35" t="n">
        <f aca="false">Quesería!$B$40*K136</f>
        <v>0</v>
      </c>
      <c r="L162" s="35" t="n">
        <f aca="false">Quesería!$B$40*L136</f>
        <v>0</v>
      </c>
    </row>
    <row r="163" customFormat="false" ht="15" hidden="false" customHeight="false" outlineLevel="0" collapsed="false">
      <c r="A163" s="6" t="s">
        <v>308</v>
      </c>
      <c r="B163" s="35" t="n">
        <f aca="false">(IF(AND(B$43&gt;0,B$43&lt;=0+Quesería!$B$42),($D$14+$D$24)*((Quesería!$B$40*$B$136*$B$133)-(Quesería!$B$40*$B$136*$B$133)/(Quesería!$B$42-Quesería!$B$43)*MAX(0,MIN(B$43-1-0-Quesería!$B$43,(Quesería!$B$42-Quesería!$B$43)))),0)+IF(AND(B$43&gt;1,B$43&lt;=1+Quesería!$B$42),($D$14+$D$24)*((Quesería!$B$40*$C$136*$C$133)-(Quesería!$B$40*$C$136*$C$133)/(Quesería!$B$42-Quesería!$B$43)*MAX(0,MIN(B$43-1-1-Quesería!$B$43,(Quesería!$B$42-Quesería!$B$43)))),0))*B135</f>
        <v>0</v>
      </c>
      <c r="C163" s="35" t="n">
        <f aca="false">(IF(AND(C$43&gt;0,C$43&lt;=0+Quesería!$B$42),($D$14+$D$24)*((Quesería!$B$40*$B$136*$B$133)-(Quesería!$B$40*$B$136*$B$133)/(Quesería!$B$42-Quesería!$B$43)*MAX(0,MIN(C$43-1-0-Quesería!$B$43,(Quesería!$B$42-Quesería!$B$43)))),0)+IF(AND(C$43&gt;1,C$43&lt;=1+Quesería!$B$42),($D$14+$D$24)*((Quesería!$B$40*$C$136*$C$133)-(Quesería!$B$40*$C$136*$C$133)/(Quesería!$B$42-Quesería!$B$43)*MAX(0,MIN(C$43-1-1-Quesería!$B$43,(Quesería!$B$42-Quesería!$B$43)))),0))*C135</f>
        <v>58.4909006863056</v>
      </c>
      <c r="D163" s="35" t="n">
        <f aca="false">(IF(AND(D$43&gt;0,D$43&lt;=0+Quesería!$B$42),($D$14+$D$24)*((Quesería!$B$40*$B$136*$B$133)-(Quesería!$B$40*$B$136*$B$133)/(Quesería!$B$42-Quesería!$B$43)*MAX(0,MIN(D$43-1-0-Quesería!$B$43,(Quesería!$B$42-Quesería!$B$43)))),0)+IF(AND(D$43&gt;1,D$43&lt;=1+Quesería!$B$42),($D$14+$D$24)*((Quesería!$B$40*$C$136*$C$133)-(Quesería!$B$40*$C$136*$C$133)/(Quesería!$B$42-Quesería!$B$43)*MAX(0,MIN(D$43-1-1-Quesería!$B$43,(Quesería!$B$42-Quesería!$B$43)))),0))*D135</f>
        <v>55.9721537667997</v>
      </c>
      <c r="E163" s="35" t="n">
        <f aca="false">(IF(AND(E$43&gt;0,E$43&lt;=0+Quesería!$B$42),($D$14+$D$24)*((Quesería!$B$40*$B$136*$B$133)-(Quesería!$B$40*$B$136*$B$133)/(Quesería!$B$42-Quesería!$B$43)*MAX(0,MIN(E$43-1-0-Quesería!$B$43,(Quesería!$B$42-Quesería!$B$43)))),0)+IF(AND(E$43&gt;1,E$43&lt;=1+Quesería!$B$42),($D$14+$D$24)*((Quesería!$B$40*$C$136*$C$133)-(Quesería!$B$40*$C$136*$C$133)/(Quesería!$B$42-Quesería!$B$43)*MAX(0,MIN(E$43-1-1-Quesería!$B$43,(Quesería!$B$42-Quesería!$B$43)))),0))*E135</f>
        <v>44.8494821849356</v>
      </c>
      <c r="F163" s="35" t="n">
        <f aca="false">(IF(AND(F$43&gt;0,F$43&lt;=0+Quesería!$B$42),($D$14+$D$24)*((Quesería!$B$40*$B$136*$B$133)-(Quesería!$B$40*$B$136*$B$133)/(Quesería!$B$42-Quesería!$B$43)*MAX(0,MIN(F$43-1-0-Quesería!$B$43,(Quesería!$B$42-Quesería!$B$43)))),0)+IF(AND(F$43&gt;1,F$43&lt;=1+Quesería!$B$42),($D$14+$D$24)*((Quesería!$B$40*$C$136*$C$133)-(Quesería!$B$40*$C$136*$C$133)/(Quesería!$B$42-Quesería!$B$43)*MAX(0,MIN(F$43-1-1-Quesería!$B$43,(Quesería!$B$42-Quesería!$B$43)))),0))*F135</f>
        <v>34.4996016807197</v>
      </c>
      <c r="G163" s="35" t="n">
        <f aca="false">(IF(AND(G$43&gt;0,G$43&lt;=0+Quesería!$B$42),($D$14+$D$24)*((Quesería!$B$40*$B$136*$B$133)-(Quesería!$B$40*$B$136*$B$133)/(Quesería!$B$42-Quesería!$B$43)*MAX(0,MIN(G$43-1-0-Quesería!$B$43,(Quesería!$B$42-Quesería!$B$43)))),0)+IF(AND(G$43&gt;1,G$43&lt;=1+Quesería!$B$42),($D$14+$D$24)*((Quesería!$B$40*$C$136*$C$133)-(Quesería!$B$40*$C$136*$C$133)/(Quesería!$B$42-Quesería!$B$43)*MAX(0,MIN(G$43-1-1-Quesería!$B$43,(Quesería!$B$42-Quesería!$B$43)))),0))*G135</f>
        <v>24.8795204428267</v>
      </c>
      <c r="H163" s="35" t="n">
        <f aca="false">(IF(AND(H$43&gt;0,H$43&lt;=0+Quesería!$B$42),($D$14+$D$24)*((Quesería!$B$40*$B$136*$B$133)-(Quesería!$B$40*$B$136*$B$133)/(Quesería!$B$42-Quesería!$B$43)*MAX(0,MIN(H$43-1-0-Quesería!$B$43,(Quesería!$B$42-Quesería!$B$43)))),0)+IF(AND(H$43&gt;1,H$43&lt;=1+Quesería!$B$42),($D$14+$D$24)*((Quesería!$B$40*$C$136*$C$133)-(Quesería!$B$40*$C$136*$C$133)/(Quesería!$B$42-Quesería!$B$43)*MAX(0,MIN(H$43-1-1-Quesería!$B$43,(Quesería!$B$42-Quesería!$B$43)))),0))*H135</f>
        <v>15.9484105402735</v>
      </c>
      <c r="I163" s="35" t="n">
        <f aca="false">(IF(AND(I$43&gt;0,I$43&lt;=0+Quesería!$B$42),($D$14+$D$24)*((Quesería!$B$40*$B$136*$B$133)-(Quesería!$B$40*$B$136*$B$133)/(Quesería!$B$42-Quesería!$B$43)*MAX(0,MIN(I$43-1-0-Quesería!$B$43,(Quesería!$B$42-Quesería!$B$43)))),0)+IF(AND(I$43&gt;1,I$43&lt;=1+Quesería!$B$42),($D$14+$D$24)*((Quesería!$B$40*$C$136*$C$133)-(Quesería!$B$40*$C$136*$C$133)/(Quesería!$B$42-Quesería!$B$43)*MAX(0,MIN(I$43-1-1-Quesería!$B$43,(Quesería!$B$42-Quesería!$B$43)))),0))*I135</f>
        <v>7.6675050674392</v>
      </c>
      <c r="J163" s="35" t="n">
        <f aca="false">(IF(AND(J$43&gt;0,J$43&lt;=0+Quesería!$B$42),($D$14+$D$24)*((Quesería!$B$40*$B$136*$B$133)-(Quesería!$B$40*$B$136*$B$133)/(Quesería!$B$42-Quesería!$B$43)*MAX(0,MIN(J$43-1-0-Quesería!$B$43,(Quesería!$B$42-Quesería!$B$43)))),0)+IF(AND(J$43&gt;1,J$43&lt;=1+Quesería!$B$42),($D$14+$D$24)*((Quesería!$B$40*$C$136*$C$133)-(Quesería!$B$40*$C$136*$C$133)/(Quesería!$B$42-Quesería!$B$43)*MAX(0,MIN(J$43-1-1-Quesería!$B$43,(Quesería!$B$42-Quesería!$B$43)))),0))*J135</f>
        <v>0</v>
      </c>
      <c r="K163" s="35" t="n">
        <f aca="false">(IF(AND(K$43&gt;0,K$43&lt;=0+Quesería!$B$42),($D$14+$D$24)*((Quesería!$B$40*$B$136*$B$133)-(Quesería!$B$40*$B$136*$B$133)/(Quesería!$B$42-Quesería!$B$43)*MAX(0,MIN(K$43-1-0-Quesería!$B$43,(Quesería!$B$42-Quesería!$B$43)))),0)+IF(AND(K$43&gt;1,K$43&lt;=1+Quesería!$B$42),($D$14+$D$24)*((Quesería!$B$40*$C$136*$C$133)-(Quesería!$B$40*$C$136*$C$133)/(Quesería!$B$42-Quesería!$B$43)*MAX(0,MIN(K$43-1-1-Quesería!$B$43,(Quesería!$B$42-Quesería!$B$43)))),0))*K135</f>
        <v>0</v>
      </c>
      <c r="L163" s="35" t="n">
        <f aca="false">(IF(AND(L$43&gt;0,L$43&lt;=0+Quesería!$B$42),($D$14+$D$24)*((Quesería!$B$40*$B$136*$B$133)-(Quesería!$B$40*$B$136*$B$133)/(Quesería!$B$42-Quesería!$B$43)*MAX(0,MIN(L$43-1-0-Quesería!$B$43,(Quesería!$B$42-Quesería!$B$43)))),0)+IF(AND(L$43&gt;1,L$43&lt;=1+Quesería!$B$42),($D$14+$D$24)*((Quesería!$B$40*$C$136*$C$133)-(Quesería!$B$40*$C$136*$C$133)/(Quesería!$B$42-Quesería!$B$43)*MAX(0,MIN(L$43-1-1-Quesería!$B$43,(Quesería!$B$42-Quesería!$B$43)))),0))*L135</f>
        <v>0</v>
      </c>
    </row>
    <row r="164" customFormat="false" ht="15" hidden="false" customHeight="false" outlineLevel="0" collapsed="false">
      <c r="A164" s="6" t="s">
        <v>309</v>
      </c>
      <c r="B164" s="35" t="n">
        <f aca="false">(IF(AND(B$43&gt;0+Quesería!$B$43,B$43&lt;=0+Quesería!$B$42),(Quesería!$B$40*$B$136*$B$133)/(Quesería!$B$42-Quesería!$B$43),0)+IF(AND(B$43&gt;1+Quesería!$B$43,B$43&lt;=1+Quesería!$B$42),(Quesería!$B$40*$C$136*$C$133)/(Quesería!$B$42-Quesería!$B$43),0))*B135</f>
        <v>0</v>
      </c>
      <c r="C164" s="35" t="n">
        <f aca="false">(IF(AND(C$43&gt;0+Quesería!$B$43,C$43&lt;=0+Quesería!$B$42),(Quesería!$B$40*$B$136*$B$133)/(Quesería!$B$42-Quesería!$B$43),0)+IF(AND(C$43&gt;1+Quesería!$B$43,C$43&lt;=1+Quesería!$B$42),(Quesería!$B$40*$C$136*$C$133)/(Quesería!$B$42-Quesería!$B$43),0))*C135</f>
        <v>0</v>
      </c>
      <c r="D164" s="35" t="n">
        <f aca="false">(IF(AND(D$43&gt;0+Quesería!$B$43,D$43&lt;=0+Quesería!$B$42),(Quesería!$B$40*$B$136*$B$133)/(Quesería!$B$42-Quesería!$B$43),0)+IF(AND(D$43&gt;1+Quesería!$B$43,D$43&lt;=1+Quesería!$B$42),(Quesería!$B$40*$C$136*$C$133)/(Quesería!$B$42-Quesería!$B$43),0))*D135</f>
        <v>66.1609382586284</v>
      </c>
      <c r="E164" s="35" t="n">
        <f aca="false">(IF(AND(E$43&gt;0+Quesería!$B$43,E$43&lt;=0+Quesería!$B$42),(Quesería!$B$40*$B$136*$B$133)/(Quesería!$B$42-Quesería!$B$43),0)+IF(AND(E$43&gt;1+Quesería!$B$43,E$43&lt;=1+Quesería!$B$42),(Quesería!$B$40*$C$136*$C$133)/(Quesería!$B$42-Quesería!$B$43),0))*E135</f>
        <v>63.6162867871427</v>
      </c>
      <c r="F164" s="35" t="n">
        <f aca="false">(IF(AND(F$43&gt;0+Quesería!$B$43,F$43&lt;=0+Quesería!$B$42),(Quesería!$B$40*$B$136*$B$133)/(Quesería!$B$42-Quesería!$B$43),0)+IF(AND(F$43&gt;1+Quesería!$B$43,F$43&lt;=1+Quesería!$B$42),(Quesería!$B$40*$C$136*$C$133)/(Quesería!$B$42-Quesería!$B$43),0))*F135</f>
        <v>61.1695065260988</v>
      </c>
      <c r="G164" s="35" t="n">
        <f aca="false">(IF(AND(G$43&gt;0+Quesería!$B$43,G$43&lt;=0+Quesería!$B$42),(Quesería!$B$40*$B$136*$B$133)/(Quesería!$B$42-Quesería!$B$43),0)+IF(AND(G$43&gt;1+Quesería!$B$43,G$43&lt;=1+Quesería!$B$42),(Quesería!$B$40*$C$136*$C$133)/(Quesería!$B$42-Quesería!$B$43),0))*G135</f>
        <v>58.8168331981719</v>
      </c>
      <c r="H164" s="35" t="n">
        <f aca="false">(IF(AND(H$43&gt;0+Quesería!$B$43,H$43&lt;=0+Quesería!$B$42),(Quesería!$B$40*$B$136*$B$133)/(Quesería!$B$42-Quesería!$B$43),0)+IF(AND(H$43&gt;1+Quesería!$B$43,H$43&lt;=1+Quesería!$B$42),(Quesería!$B$40*$C$136*$C$133)/(Quesería!$B$42-Quesería!$B$43),0))*H135</f>
        <v>56.5546473059345</v>
      </c>
      <c r="I164" s="35" t="n">
        <f aca="false">(IF(AND(I$43&gt;0+Quesería!$B$43,I$43&lt;=0+Quesería!$B$42),(Quesería!$B$40*$B$136*$B$133)/(Quesería!$B$42-Quesería!$B$43),0)+IF(AND(I$43&gt;1+Quesería!$B$43,I$43&lt;=1+Quesería!$B$42),(Quesería!$B$40*$C$136*$C$133)/(Quesería!$B$42-Quesería!$B$43),0))*I135</f>
        <v>54.3794685633986</v>
      </c>
      <c r="J164" s="35" t="n">
        <f aca="false">(IF(AND(J$43&gt;0+Quesería!$B$43,J$43&lt;=0+Quesería!$B$42),(Quesería!$B$40*$B$136*$B$133)/(Quesería!$B$42-Quesería!$B$43),0)+IF(AND(J$43&gt;1+Quesería!$B$43,J$43&lt;=1+Quesería!$B$42),(Quesería!$B$40*$C$136*$C$133)/(Quesería!$B$42-Quesería!$B$43),0))*J135</f>
        <v>0</v>
      </c>
      <c r="K164" s="35" t="n">
        <f aca="false">(IF(AND(K$43&gt;0+Quesería!$B$43,K$43&lt;=0+Quesería!$B$42),(Quesería!$B$40*$B$136*$B$133)/(Quesería!$B$42-Quesería!$B$43),0)+IF(AND(K$43&gt;1+Quesería!$B$43,K$43&lt;=1+Quesería!$B$42),(Quesería!$B$40*$C$136*$C$133)/(Quesería!$B$42-Quesería!$B$43),0))*K135</f>
        <v>0</v>
      </c>
      <c r="L164" s="35" t="n">
        <f aca="false">(IF(AND(L$43&gt;0+Quesería!$B$43,L$43&lt;=0+Quesería!$B$42),(Quesería!$B$40*$B$136*$B$133)/(Quesería!$B$42-Quesería!$B$43),0)+IF(AND(L$43&gt;1+Quesería!$B$43,L$43&lt;=1+Quesería!$B$42),(Quesería!$B$40*$C$136*$C$133)/(Quesería!$B$42-Quesería!$B$43),0))*L135</f>
        <v>0</v>
      </c>
    </row>
    <row r="165" customFormat="false" ht="15" hidden="false" customHeight="false" outlineLevel="0" collapsed="false">
      <c r="A165" s="6" t="s">
        <v>310</v>
      </c>
      <c r="B165" s="35" t="n">
        <f aca="false">$D$13*Quesería!$B$44*(1+0.19)*B161*B135+(1-$D$13)*IF(B$43=0,Quesería!$B$53,0)</f>
        <v>10.3147458873051</v>
      </c>
      <c r="C165" s="35" t="n">
        <f aca="false">$D$13*Quesería!$B$44*(1+0.19)*C161*C135+(1-$D$13)*IF(C$43=0,Quesería!$B$53,0)</f>
        <v>9.82356751171918</v>
      </c>
      <c r="D165" s="35" t="n">
        <f aca="false">$D$13*Quesería!$B$44*(1+0.19)*D161*D135+(1-$D$13)*IF(D$43=0,Quesería!$B$53,0)</f>
        <v>7.8337858945129</v>
      </c>
      <c r="E165" s="35" t="n">
        <f aca="false">$D$13*Quesería!$B$44*(1+0.19)*E161*E135+(1-$D$13)*IF(E$43=0,Quesería!$B$53,0)</f>
        <v>6.02598914962531</v>
      </c>
      <c r="F165" s="35" t="n">
        <f aca="false">$D$13*Quesería!$B$44*(1+0.19)*F161*F135+(1-$D$13)*IF(F$43=0,Quesería!$B$53,0)</f>
        <v>4.34566525213364</v>
      </c>
      <c r="G165" s="35" t="n">
        <f aca="false">$D$13*Quesería!$B$44*(1+0.19)*G161*G135+(1-$D$13)*IF(G$43=0,Quesería!$B$53,0)</f>
        <v>2.78568285393182</v>
      </c>
      <c r="H165" s="35" t="n">
        <f aca="false">$D$13*Quesería!$B$44*(1+0.19)*H161*H135+(1-$D$13)*IF(H$43=0,Quesería!$B$53,0)</f>
        <v>1.33927060285184</v>
      </c>
      <c r="I165" s="35" t="n">
        <f aca="false">$D$13*Quesería!$B$44*(1+0.19)*I161*I135+(1-$D$13)*IF(I$43=0,Quesería!$B$53,0)</f>
        <v>0</v>
      </c>
      <c r="J165" s="35" t="n">
        <f aca="false">$D$13*Quesería!$B$44*(1+0.19)*J161*J135+(1-$D$13)*IF(J$43=0,Quesería!$B$53,0)</f>
        <v>0</v>
      </c>
      <c r="K165" s="35" t="n">
        <f aca="false">$D$13*Quesería!$B$44*(1+0.19)*K161*K135+(1-$D$13)*IF(K$43=0,Quesería!$B$53,0)</f>
        <v>0</v>
      </c>
      <c r="L165" s="35" t="n">
        <f aca="false">$D$13*Quesería!$B$44*(1+0.19)*L161*L135+(1-$D$13)*IF(L$43=0,Quesería!$B$53,0)</f>
        <v>0</v>
      </c>
    </row>
    <row r="166" customFormat="false" ht="15" hidden="false" customHeight="false" outlineLevel="0" collapsed="false">
      <c r="A166" s="6" t="s">
        <v>311</v>
      </c>
      <c r="B166" s="35" t="n">
        <f aca="false">Quesería!$B$45*(B163+B164+B165)</f>
        <v>0.0412589835492206</v>
      </c>
      <c r="C166" s="35" t="n">
        <f aca="false">Quesería!$B$45*(C163+C164+C165)</f>
        <v>0.273257872792099</v>
      </c>
      <c r="D166" s="35" t="n">
        <f aca="false">Quesería!$B$45*(D163+D164+D165)</f>
        <v>0.519867511679764</v>
      </c>
      <c r="E166" s="35" t="n">
        <f aca="false">Quesería!$B$45*(E163+E164+E165)</f>
        <v>0.457967032486815</v>
      </c>
      <c r="F166" s="35" t="n">
        <f aca="false">Quesería!$B$45*(F163+F164+F165)</f>
        <v>0.400059093835809</v>
      </c>
      <c r="G166" s="35" t="n">
        <f aca="false">Quesería!$B$45*(G163+G164+G165)</f>
        <v>0.345928145979722</v>
      </c>
      <c r="H166" s="35" t="n">
        <f aca="false">Quesería!$B$45*(H163+H164+H165)</f>
        <v>0.29536931379624</v>
      </c>
      <c r="I166" s="35" t="n">
        <f aca="false">Quesería!$B$45*(I163+I164+I165)</f>
        <v>0.248187894523351</v>
      </c>
      <c r="J166" s="35" t="n">
        <f aca="false">Quesería!$B$45*(J163+J164+J165)</f>
        <v>0</v>
      </c>
      <c r="K166" s="35" t="n">
        <f aca="false">Quesería!$B$45*(K163+K164+K165)</f>
        <v>0</v>
      </c>
      <c r="L166" s="35" t="n">
        <f aca="false">Quesería!$B$45*(L163+L164+L165)</f>
        <v>0</v>
      </c>
    </row>
    <row r="167" customFormat="false" ht="15" hidden="false" customHeight="false" outlineLevel="0" collapsed="false">
      <c r="A167" s="6" t="s">
        <v>312</v>
      </c>
      <c r="B167" s="35" t="n">
        <f aca="false">$D$17*(B163+B165+0.5*B166)</f>
        <v>3.61738138267791</v>
      </c>
      <c r="C167" s="35" t="n">
        <f aca="false">$D$17*(C163+C165+0.5*C166)</f>
        <v>23.9578839970473</v>
      </c>
      <c r="D167" s="35" t="n">
        <f aca="false">$D$17*(D163+D165+0.5*D166)</f>
        <v>22.4230556960034</v>
      </c>
      <c r="E167" s="35" t="n">
        <f aca="false">$D$17*(E163+E165+0.5*E166)</f>
        <v>17.8865591977815</v>
      </c>
      <c r="F167" s="35" t="n">
        <f aca="false">$D$17*(F163+F165+0.5*F166)</f>
        <v>13.6658537679199</v>
      </c>
      <c r="G167" s="35" t="n">
        <f aca="false">$D$17*(G163+G165+0.5*G166)</f>
        <v>9.74335857941194</v>
      </c>
      <c r="H167" s="35" t="n">
        <f aca="false">$D$17*(H163+H165+0.5*H166)</f>
        <v>6.10237803000822</v>
      </c>
      <c r="I167" s="35" t="n">
        <f aca="false">$D$17*(I163+I165+0.5*I166)</f>
        <v>2.72705965514531</v>
      </c>
      <c r="J167" s="35" t="n">
        <f aca="false">$D$17*(J163+J165+0.5*J166)</f>
        <v>0</v>
      </c>
      <c r="K167" s="35" t="n">
        <f aca="false">$D$17*(K163+K165+0.5*K166)</f>
        <v>0</v>
      </c>
      <c r="L167" s="35" t="n">
        <f aca="false">$D$17*(L163+L165+0.5*L166)</f>
        <v>0</v>
      </c>
    </row>
    <row r="168" customFormat="false" ht="15" hidden="false" customHeight="false" outlineLevel="0" collapsed="false">
      <c r="A168" s="5" t="s">
        <v>313</v>
      </c>
      <c r="B168" s="37" t="n">
        <f aca="false">B153+B162-B163-B164-B165-B166+B167</f>
        <v>-243.321307182063</v>
      </c>
      <c r="C168" s="37" t="n">
        <f aca="false">C153+C162-C163-C164-C165-C166+C167</f>
        <v>101.737270747379</v>
      </c>
      <c r="D168" s="37" t="n">
        <f aca="false">D153+D162-D163-D164-D165-D166+D167</f>
        <v>-37.375349579732</v>
      </c>
      <c r="E168" s="37" t="n">
        <f aca="false">E153+E162-E163-E164-E165-E166+E167</f>
        <v>-24.6442260946623</v>
      </c>
      <c r="F168" s="37" t="n">
        <f aca="false">F153+F162-F163-F164-F165-F166+F167</f>
        <v>-15.0075191877496</v>
      </c>
      <c r="G168" s="37" t="n">
        <f aca="false">G153+G162-G163-G164-G165-G166+G167</f>
        <v>-37.8313286975064</v>
      </c>
      <c r="H168" s="37" t="n">
        <f aca="false">H153+H162-H163-H164-H165-H166+H167</f>
        <v>-37.2330650016397</v>
      </c>
      <c r="I168" s="37" t="n">
        <f aca="false">I153+I162-I163-I164-I165-I166+I167</f>
        <v>16.8328017297916</v>
      </c>
      <c r="J168" s="37" t="n">
        <f aca="false">J153+J162-J163-J164-J165-J166+J167</f>
        <v>69.3736892362725</v>
      </c>
      <c r="K168" s="37" t="n">
        <f aca="false">K153+K162-K163-K164-K165-K166+K167</f>
        <v>68.8198711995979</v>
      </c>
      <c r="L168" s="37" t="n">
        <f aca="false">L153+L162-L163-L164-L165-L166+L167</f>
        <v>76.099484732779</v>
      </c>
    </row>
    <row r="169" customFormat="false" ht="15" hidden="false" customHeight="false" outlineLevel="0" collapsed="false">
      <c r="A169" s="9" t="s">
        <v>314</v>
      </c>
      <c r="B169" s="36" t="n">
        <f aca="false">B168*B133</f>
        <v>-257.920585612986</v>
      </c>
      <c r="C169" s="36" t="n">
        <f aca="false">C168*C133</f>
        <v>113.233582341833</v>
      </c>
      <c r="D169" s="36" t="n">
        <f aca="false">D168*D133</f>
        <v>-43.4707084659426</v>
      </c>
      <c r="E169" s="36" t="n">
        <f aca="false">E168*E133</f>
        <v>-29.8098628956027</v>
      </c>
      <c r="F169" s="36" t="n">
        <f aca="false">F168*F133</f>
        <v>-18.8793501235696</v>
      </c>
      <c r="G169" s="36" t="n">
        <f aca="false">G168*G133</f>
        <v>-49.4951981624791</v>
      </c>
      <c r="H169" s="36" t="n">
        <f aca="false">H168*H133</f>
        <v>-50.6609816164626</v>
      </c>
      <c r="I169" s="36" t="n">
        <f aca="false">I168*I133</f>
        <v>23.8196052166786</v>
      </c>
      <c r="J169" s="36" t="n">
        <f aca="false">J168*J133</f>
        <v>102.095424945942</v>
      </c>
      <c r="K169" s="36" t="n">
        <f aca="false">K168*K133</f>
        <v>105.331601001569</v>
      </c>
      <c r="L169" s="36" t="n">
        <f aca="false">L168*L133</f>
        <v>121.132278213835</v>
      </c>
    </row>
    <row r="170" customFormat="false" ht="15" hidden="false" customHeight="false" outlineLevel="0" collapsed="false">
      <c r="A170" s="9" t="s">
        <v>315</v>
      </c>
      <c r="B170" s="34" t="n">
        <f aca="false">(B133/$B$133)/(1+Quesería!$B$46+$D$24)^B$43</f>
        <v>1</v>
      </c>
      <c r="C170" s="34" t="n">
        <f aca="false">(C133/$B$133)/(1+Quesería!$B$46+$D$24)^C$43</f>
        <v>0.84</v>
      </c>
      <c r="D170" s="34" t="n">
        <f aca="false">(D133/$B$133)/(1+Quesería!$B$46+$D$24)^D$43</f>
        <v>0.70224</v>
      </c>
      <c r="E170" s="34" t="n">
        <f aca="false">(E133/$B$133)/(1+Quesería!$B$46+$D$24)^E$43</f>
        <v>0.58426368</v>
      </c>
      <c r="F170" s="34" t="n">
        <f aca="false">(F133/$B$133)/(1+Quesería!$B$46+$D$24)^F$43</f>
        <v>0.48610738176</v>
      </c>
      <c r="G170" s="34" t="n">
        <f aca="false">(G133/$B$133)/(1+Quesería!$B$46+$D$24)^G$43</f>
        <v>0.40444134162432</v>
      </c>
      <c r="H170" s="34" t="n">
        <f aca="false">(H133/$B$133)/(1+Quesería!$B$46+$D$24)^H$43</f>
        <v>0.336495196231434</v>
      </c>
      <c r="I170" s="34" t="n">
        <f aca="false">(I133/$B$133)/(1+Quesería!$B$46+$D$24)^I$43</f>
        <v>0.279964003264553</v>
      </c>
      <c r="J170" s="34" t="n">
        <f aca="false">(J133/$B$133)/(1+Quesería!$B$46+$D$24)^J$43</f>
        <v>0.232930050716108</v>
      </c>
      <c r="K170" s="34" t="n">
        <f aca="false">(K133/$B$133)/(1+Quesería!$B$46+$D$24)^K$43</f>
        <v>0.193797802195802</v>
      </c>
      <c r="L170" s="34" t="n">
        <f aca="false">(L133/$B$133)/(1+Quesería!$B$46+$D$24)^L$43</f>
        <v>0.161239771426907</v>
      </c>
    </row>
    <row r="171" customFormat="false" ht="15" hidden="false" customHeight="false" outlineLevel="0" collapsed="false">
      <c r="A171" s="9" t="s">
        <v>316</v>
      </c>
      <c r="B171" s="36" t="n">
        <f aca="false">B153+B136+B138+B167</f>
        <v>53.0556604736051</v>
      </c>
      <c r="C171" s="36" t="n">
        <f aca="false">C153+C136+C138+C167</f>
        <v>170.324996818196</v>
      </c>
      <c r="D171" s="36" t="n">
        <f aca="false">D153+D136+D138+D167</f>
        <v>93.1113958518888</v>
      </c>
      <c r="E171" s="36" t="n">
        <f aca="false">E153+E136+E138+E167</f>
        <v>90.3054990595282</v>
      </c>
      <c r="F171" s="36" t="n">
        <f aca="false">F153+F136+F138+F167</f>
        <v>85.4073133650384</v>
      </c>
      <c r="G171" s="36" t="n">
        <f aca="false">G153+G136+G138+G167</f>
        <v>54.0633026100704</v>
      </c>
      <c r="H171" s="36" t="n">
        <f aca="false">H153+H136+H138+H167</f>
        <v>43.6124978419831</v>
      </c>
      <c r="I171" s="36" t="n">
        <f aca="false">I153+I136+I138+I167</f>
        <v>79.1279632551527</v>
      </c>
      <c r="J171" s="36" t="n">
        <f aca="false">J153+J136+J138+J167</f>
        <v>69.3736892362725</v>
      </c>
      <c r="K171" s="36" t="n">
        <f aca="false">K153+K136+K138+K167</f>
        <v>68.8198711995979</v>
      </c>
      <c r="L171" s="36" t="n">
        <f aca="false">L153+L136+L138+L167</f>
        <v>76.099484732779</v>
      </c>
    </row>
    <row r="172" customFormat="false" ht="15" hidden="false" customHeight="false" outlineLevel="0" collapsed="false">
      <c r="A172" s="5" t="s">
        <v>317</v>
      </c>
      <c r="B172" s="12" t="str">
        <f aca="false">IF(AND(B$43&gt;=1,(B163+B164+B165)&gt;0.001),B171/(B163+B164+B165),"")</f>
        <v/>
      </c>
      <c r="C172" s="12" t="n">
        <f aca="false">IF(AND(C$43&gt;=1,(C163+C164+C165)&gt;0.001),C171/(C163+C164+C165),"")</f>
        <v>2.49324925321047</v>
      </c>
      <c r="D172" s="12" t="n">
        <f aca="false">IF(AND(D$43&gt;=1,(D163+D164+D165)&gt;0.001),D171/(D163+D164+D165),"")</f>
        <v>0.716424040817884</v>
      </c>
      <c r="E172" s="12" t="n">
        <f aca="false">IF(AND(E$43&gt;=1,(E163+E164+E165)&gt;0.001),E171/(E163+E164+E165),"")</f>
        <v>0.788751090393199</v>
      </c>
      <c r="F172" s="12" t="n">
        <f aca="false">IF(AND(F$43&gt;=1,(F163+F164+F165)&gt;0.001),F171/(F163+F164+F165),"")</f>
        <v>0.85394697614439</v>
      </c>
      <c r="G172" s="12" t="n">
        <f aca="false">IF(AND(G$43&gt;=1,(G163+G164+G165)&gt;0.001),G171/(G163+G164+G165),"")</f>
        <v>0.625139101728248</v>
      </c>
      <c r="H172" s="12" t="n">
        <f aca="false">IF(AND(H$43&gt;=1,(H163+H164+H165)&gt;0.001),H171/(H163+H164+H165),"")</f>
        <v>0.590616503541992</v>
      </c>
      <c r="I172" s="12" t="n">
        <f aca="false">IF(AND(I$43&gt;=1,(I163+I164+I165)&gt;0.001),I171/(I163+I164+I165),"")</f>
        <v>1.2752912611974</v>
      </c>
      <c r="J172" s="12" t="str">
        <f aca="false">IF(AND(J$43&gt;=1,(J163+J164+J165)&gt;0.001),J171/(J163+J164+J165),"")</f>
        <v/>
      </c>
      <c r="K172" s="12" t="str">
        <f aca="false">IF(AND(K$43&gt;=1,(K163+K164+K165)&gt;0.001),K171/(K163+K164+K165),"")</f>
        <v/>
      </c>
      <c r="L172" s="12" t="str">
        <f aca="false">IF(AND(L$43&gt;=1,(L163+L164+L165)&gt;0.001),L171/(L163+L164+L165),"")</f>
        <v/>
      </c>
    </row>
    <row r="174" customFormat="false" ht="15" hidden="false" customHeight="false" outlineLevel="0" collapsed="false">
      <c r="A174" s="66" t="s">
        <v>629</v>
      </c>
      <c r="B174" s="67"/>
      <c r="C174" s="67"/>
      <c r="D174" s="67"/>
      <c r="E174" s="67"/>
      <c r="F174" s="67"/>
      <c r="G174" s="67"/>
      <c r="H174" s="67"/>
      <c r="I174" s="67"/>
      <c r="J174" s="67"/>
      <c r="K174" s="67"/>
      <c r="L174" s="67"/>
    </row>
    <row r="175" customFormat="false" ht="15" hidden="false" customHeight="false" outlineLevel="0" collapsed="false">
      <c r="A175" s="9" t="s">
        <v>281</v>
      </c>
      <c r="B175" s="33" t="n">
        <f aca="false">CHOOSE($E$15,Entorno!B$7,Entorno!B$8,Entorno!B$9)</f>
        <v>0.06</v>
      </c>
      <c r="C175" s="33" t="n">
        <f aca="false">CHOOSE($E$15,Entorno!C$7,Entorno!C$8,Entorno!C$9)</f>
        <v>0.05</v>
      </c>
      <c r="D175" s="33" t="n">
        <f aca="false">CHOOSE($E$15,Entorno!D$7,Entorno!D$8,Entorno!D$9)</f>
        <v>0.045</v>
      </c>
      <c r="E175" s="33" t="n">
        <f aca="false">CHOOSE($E$15,Entorno!E$7,Entorno!E$8,Entorno!E$9)</f>
        <v>0.04</v>
      </c>
      <c r="F175" s="33" t="n">
        <f aca="false">CHOOSE($E$15,Entorno!F$7,Entorno!F$8,Entorno!F$9)</f>
        <v>0.04</v>
      </c>
      <c r="G175" s="33" t="n">
        <f aca="false">CHOOSE($E$15,Entorno!G$7,Entorno!G$8,Entorno!G$9)</f>
        <v>0.04</v>
      </c>
      <c r="H175" s="33" t="n">
        <f aca="false">CHOOSE($E$15,Entorno!H$7,Entorno!H$8,Entorno!H$9)</f>
        <v>0.04</v>
      </c>
      <c r="I175" s="33" t="n">
        <f aca="false">CHOOSE($E$15,Entorno!I$7,Entorno!I$8,Entorno!I$9)</f>
        <v>0.04</v>
      </c>
      <c r="J175" s="33" t="n">
        <f aca="false">CHOOSE($E$15,Entorno!J$7,Entorno!J$8,Entorno!J$9)</f>
        <v>0.04</v>
      </c>
      <c r="K175" s="33" t="n">
        <f aca="false">CHOOSE($E$15,Entorno!K$7,Entorno!K$8,Entorno!K$9)</f>
        <v>0.04</v>
      </c>
      <c r="L175" s="33" t="n">
        <f aca="false">CHOOSE($E$15,Entorno!L$7,Entorno!L$8,Entorno!L$9)</f>
        <v>0.04</v>
      </c>
    </row>
    <row r="176" customFormat="false" ht="15" hidden="false" customHeight="false" outlineLevel="0" collapsed="false">
      <c r="A176" s="9" t="s">
        <v>282</v>
      </c>
      <c r="B176" s="34" t="n">
        <f aca="false">1+B175</f>
        <v>1.06</v>
      </c>
      <c r="C176" s="34" t="n">
        <f aca="false">B176*(1+C175)</f>
        <v>1.113</v>
      </c>
      <c r="D176" s="34" t="n">
        <f aca="false">C176*(1+D175)</f>
        <v>1.163085</v>
      </c>
      <c r="E176" s="34" t="n">
        <f aca="false">D176*(1+E175)</f>
        <v>1.2096084</v>
      </c>
      <c r="F176" s="34" t="n">
        <f aca="false">E176*(1+F175)</f>
        <v>1.257992736</v>
      </c>
      <c r="G176" s="34" t="n">
        <f aca="false">F176*(1+G175)</f>
        <v>1.30831244544</v>
      </c>
      <c r="H176" s="34" t="n">
        <f aca="false">G176*(1+H175)</f>
        <v>1.3606449432576</v>
      </c>
      <c r="I176" s="34" t="n">
        <f aca="false">H176*(1+I175)</f>
        <v>1.4150707409879</v>
      </c>
      <c r="J176" s="34" t="n">
        <f aca="false">I176*(1+J175)</f>
        <v>1.47167357062742</v>
      </c>
      <c r="K176" s="34" t="n">
        <f aca="false">J176*(1+K175)</f>
        <v>1.53054051345252</v>
      </c>
      <c r="L176" s="34" t="n">
        <f aca="false">K176*(1+L175)</f>
        <v>1.59176213399062</v>
      </c>
    </row>
    <row r="177" customFormat="false" ht="15" hidden="false" customHeight="false" outlineLevel="0" collapsed="false">
      <c r="A177" s="9" t="s">
        <v>283</v>
      </c>
      <c r="B177" s="34" t="n">
        <f aca="false">(1+$E$16)/(1+B175)</f>
        <v>1.02358490566038</v>
      </c>
      <c r="C177" s="34" t="n">
        <f aca="false">B177*(1+Entorno!$B$13)</f>
        <v>1.02870283018868</v>
      </c>
      <c r="D177" s="34" t="n">
        <f aca="false">C177*(1+Entorno!$B$13)</f>
        <v>1.03384634433962</v>
      </c>
      <c r="E177" s="34" t="n">
        <f aca="false">D177*(1+Entorno!$B$13)</f>
        <v>1.03901557606132</v>
      </c>
      <c r="F177" s="34" t="n">
        <f aca="false">E177*(1+Entorno!$B$13)</f>
        <v>1.04421065394163</v>
      </c>
      <c r="G177" s="34" t="n">
        <f aca="false">F177*(1+Entorno!$B$13)</f>
        <v>1.04943170721133</v>
      </c>
      <c r="H177" s="34" t="n">
        <f aca="false">G177*(1+Entorno!$B$13)</f>
        <v>1.05467886574739</v>
      </c>
      <c r="I177" s="34" t="n">
        <f aca="false">H177*(1+Entorno!$B$13)</f>
        <v>1.05995226007613</v>
      </c>
      <c r="J177" s="34" t="n">
        <f aca="false">I177*(1+Entorno!$B$13)</f>
        <v>1.06525202137651</v>
      </c>
      <c r="K177" s="34" t="n">
        <f aca="false">J177*(1+Entorno!$B$13)</f>
        <v>1.07057828148339</v>
      </c>
      <c r="L177" s="34" t="n">
        <f aca="false">K177*(1+Entorno!$B$13)</f>
        <v>1.07593117289081</v>
      </c>
    </row>
    <row r="178" customFormat="false" ht="15" hidden="false" customHeight="false" outlineLevel="0" collapsed="false">
      <c r="A178" s="9" t="s">
        <v>284</v>
      </c>
      <c r="B178" s="34" t="n">
        <f aca="false">1/B176</f>
        <v>0.943396226415094</v>
      </c>
      <c r="C178" s="34" t="n">
        <f aca="false">1/C176</f>
        <v>0.898472596585804</v>
      </c>
      <c r="D178" s="34" t="n">
        <f aca="false">1/D176</f>
        <v>0.859782389077324</v>
      </c>
      <c r="E178" s="34" t="n">
        <f aca="false">1/E176</f>
        <v>0.826713835651273</v>
      </c>
      <c r="F178" s="34" t="n">
        <f aca="false">1/F176</f>
        <v>0.794917149664686</v>
      </c>
      <c r="G178" s="34" t="n">
        <f aca="false">1/G176</f>
        <v>0.764343413139121</v>
      </c>
      <c r="H178" s="34" t="n">
        <f aca="false">1/H176</f>
        <v>0.734945589556847</v>
      </c>
      <c r="I178" s="34" t="n">
        <f aca="false">1/I176</f>
        <v>0.706678451496968</v>
      </c>
      <c r="J178" s="34" t="n">
        <f aca="false">1/J176</f>
        <v>0.679498511054777</v>
      </c>
      <c r="K178" s="34" t="n">
        <f aca="false">1/K176</f>
        <v>0.653363952937286</v>
      </c>
      <c r="L178" s="34" t="n">
        <f aca="false">1/L176</f>
        <v>0.628234570132006</v>
      </c>
    </row>
    <row r="179" customFormat="false" ht="15" hidden="false" customHeight="false" outlineLevel="0" collapsed="false">
      <c r="A179" s="6" t="s">
        <v>202</v>
      </c>
      <c r="B179" s="35" t="n">
        <f aca="false">IF(B$43=0,Quesería!$F$80,IF(B$43=1,Quesería!$F$81*$E$21,0))*$E$11</f>
        <v>622.243624322401</v>
      </c>
      <c r="C179" s="35" t="n">
        <f aca="false">IF(C$43=0,Quesería!$F$80,IF(C$43=1,Quesería!$F$81*$E$21,0))*$E$11</f>
        <v>645.270088578622</v>
      </c>
      <c r="D179" s="35" t="n">
        <f aca="false">IF(D$43=0,Quesería!$F$80,IF(D$43=1,Quesería!$F$81*$E$21,0))*$E$11</f>
        <v>0</v>
      </c>
      <c r="E179" s="35" t="n">
        <f aca="false">IF(E$43=0,Quesería!$F$80,IF(E$43=1,Quesería!$F$81*$E$21,0))*$E$11</f>
        <v>0</v>
      </c>
      <c r="F179" s="35" t="n">
        <f aca="false">IF(F$43=0,Quesería!$F$80,IF(F$43=1,Quesería!$F$81*$E$21,0))*$E$11</f>
        <v>0</v>
      </c>
      <c r="G179" s="35" t="n">
        <f aca="false">IF(G$43=0,Quesería!$F$80,IF(G$43=1,Quesería!$F$81*$E$21,0))*$E$11</f>
        <v>0</v>
      </c>
      <c r="H179" s="35" t="n">
        <f aca="false">IF(H$43=0,Quesería!$F$80,IF(H$43=1,Quesería!$F$81*$E$21,0))*$E$11</f>
        <v>0</v>
      </c>
      <c r="I179" s="35" t="n">
        <f aca="false">IF(I$43=0,Quesería!$F$80,IF(I$43=1,Quesería!$F$81*$E$21,0))*$E$11</f>
        <v>0</v>
      </c>
      <c r="J179" s="35" t="n">
        <f aca="false">IF(J$43=0,Quesería!$F$80,IF(J$43=1,Quesería!$F$81*$E$21,0))*$E$11</f>
        <v>0</v>
      </c>
      <c r="K179" s="35" t="n">
        <f aca="false">IF(K$43=0,Quesería!$F$80,IF(K$43=1,Quesería!$F$81*$E$21,0))*$E$11</f>
        <v>0</v>
      </c>
      <c r="L179" s="35" t="n">
        <f aca="false">IF(L$43=0,Quesería!$F$80,IF(L$43=1,Quesería!$F$81*$E$21,0))*$E$11</f>
        <v>0</v>
      </c>
    </row>
    <row r="180" customFormat="false" ht="15" hidden="false" customHeight="false" outlineLevel="0" collapsed="false">
      <c r="A180" s="6" t="s">
        <v>285</v>
      </c>
      <c r="B180" s="35" t="n">
        <f aca="false">IF(B$43=5,Quesería!$F$87,IF(B$43=6,Quesería!$F$88,0))*$E$11</f>
        <v>0</v>
      </c>
      <c r="C180" s="35" t="n">
        <f aca="false">IF(C$43=5,Quesería!$F$87,IF(C$43=6,Quesería!$F$88,0))*$E$11</f>
        <v>0</v>
      </c>
      <c r="D180" s="35" t="n">
        <f aca="false">IF(D$43=5,Quesería!$F$87,IF(D$43=6,Quesería!$F$88,0))*$E$11</f>
        <v>0</v>
      </c>
      <c r="E180" s="35" t="n">
        <f aca="false">IF(E$43=5,Quesería!$F$87,IF(E$43=6,Quesería!$F$88,0))*$E$11</f>
        <v>0</v>
      </c>
      <c r="F180" s="35" t="n">
        <f aca="false">IF(F$43=5,Quesería!$F$87,IF(F$43=6,Quesería!$F$88,0))*$E$11</f>
        <v>0</v>
      </c>
      <c r="G180" s="35" t="n">
        <f aca="false">IF(G$43=5,Quesería!$F$87,IF(G$43=6,Quesería!$F$88,0))*$E$11</f>
        <v>26.6666666666667</v>
      </c>
      <c r="H180" s="35" t="n">
        <f aca="false">IF(H$43=5,Quesería!$F$87,IF(H$43=6,Quesería!$F$88,0))*$E$11</f>
        <v>35.3045530566667</v>
      </c>
      <c r="I180" s="35" t="n">
        <f aca="false">IF(I$43=5,Quesería!$F$87,IF(I$43=6,Quesería!$F$88,0))*$E$11</f>
        <v>0</v>
      </c>
      <c r="J180" s="35" t="n">
        <f aca="false">IF(J$43=5,Quesería!$F$87,IF(J$43=6,Quesería!$F$88,0))*$E$11</f>
        <v>0</v>
      </c>
      <c r="K180" s="35" t="n">
        <f aca="false">IF(K$43=5,Quesería!$F$87,IF(K$43=6,Quesería!$F$88,0))*$E$11</f>
        <v>0</v>
      </c>
      <c r="L180" s="35" t="n">
        <f aca="false">IF(L$43=5,Quesería!$F$87,IF(L$43=6,Quesería!$F$88,0))*$E$11</f>
        <v>0</v>
      </c>
    </row>
    <row r="181" customFormat="false" ht="15" hidden="false" customHeight="false" outlineLevel="0" collapsed="false">
      <c r="A181" s="6" t="s">
        <v>286</v>
      </c>
      <c r="B181" s="35" t="n">
        <f aca="false">Quesería!$B$36*(IF(B$43=0,SUMPRODUCT((Quesería!$C$62:$C$77=0)*(Quesería!$H$62:$H$77&gt;0)*(Quesería!$J$62:$J$77&gt;0)*Quesería!$F$62:$F$77*(1+Quesería!$I$62:$I$77)),IF(B$43=1,SUMPRODUCT((Quesería!$C$62:$C$77=1)*(Quesería!$H$62:$H$77&gt;0)*(Quesería!$J$62:$J$77&gt;0)*Quesería!$F$62:$F$77*(1+Quesería!$I$62:$I$77))*$E$21,0))*$E$11+B180)</f>
        <v>99.347875488093</v>
      </c>
      <c r="C181" s="35" t="n">
        <f aca="false">Quesería!$B$36*(IF(C$43=0,SUMPRODUCT((Quesería!$C$62:$C$77=0)*(Quesería!$H$62:$H$77&gt;0)*(Quesería!$J$62:$J$77&gt;0)*Quesería!$F$62:$F$77*(1+Quesería!$I$62:$I$77)),IF(C$43=1,SUMPRODUCT((Quesería!$C$62:$C$77=1)*(Quesería!$H$62:$H$77&gt;0)*(Quesería!$J$62:$J$77&gt;0)*Quesería!$F$62:$F$77*(1+Quesería!$I$62:$I$77))*$E$21,0))*$E$11+C180)</f>
        <v>122.601316829938</v>
      </c>
      <c r="D181" s="35" t="n">
        <f aca="false">Quesería!$B$36*(IF(D$43=0,SUMPRODUCT((Quesería!$C$62:$C$77=0)*(Quesería!$H$62:$H$77&gt;0)*(Quesería!$J$62:$J$77&gt;0)*Quesería!$F$62:$F$77*(1+Quesería!$I$62:$I$77)),IF(D$43=1,SUMPRODUCT((Quesería!$C$62:$C$77=1)*(Quesería!$H$62:$H$77&gt;0)*(Quesería!$J$62:$J$77&gt;0)*Quesería!$F$62:$F$77*(1+Quesería!$I$62:$I$77))*$E$21,0))*$E$11+D180)</f>
        <v>0</v>
      </c>
      <c r="E181" s="35" t="n">
        <f aca="false">Quesería!$B$36*(IF(E$43=0,SUMPRODUCT((Quesería!$C$62:$C$77=0)*(Quesería!$H$62:$H$77&gt;0)*(Quesería!$J$62:$J$77&gt;0)*Quesería!$F$62:$F$77*(1+Quesería!$I$62:$I$77)),IF(E$43=1,SUMPRODUCT((Quesería!$C$62:$C$77=1)*(Quesería!$H$62:$H$77&gt;0)*(Quesería!$J$62:$J$77&gt;0)*Quesería!$F$62:$F$77*(1+Quesería!$I$62:$I$77))*$E$21,0))*$E$11+E180)</f>
        <v>0</v>
      </c>
      <c r="F181" s="35" t="n">
        <f aca="false">Quesería!$B$36*(IF(F$43=0,SUMPRODUCT((Quesería!$C$62:$C$77=0)*(Quesería!$H$62:$H$77&gt;0)*(Quesería!$J$62:$J$77&gt;0)*Quesería!$F$62:$F$77*(1+Quesería!$I$62:$I$77)),IF(F$43=1,SUMPRODUCT((Quesería!$C$62:$C$77=1)*(Quesería!$H$62:$H$77&gt;0)*(Quesería!$J$62:$J$77&gt;0)*Quesería!$F$62:$F$77*(1+Quesería!$I$62:$I$77))*$E$21,0))*$E$11+F180)</f>
        <v>0</v>
      </c>
      <c r="G181" s="35" t="n">
        <f aca="false">Quesería!$B$36*(IF(G$43=0,SUMPRODUCT((Quesería!$C$62:$C$77=0)*(Quesería!$H$62:$H$77&gt;0)*(Quesería!$J$62:$J$77&gt;0)*Quesería!$F$62:$F$77*(1+Quesería!$I$62:$I$77)),IF(G$43=1,SUMPRODUCT((Quesería!$C$62:$C$77=1)*(Quesería!$H$62:$H$77&gt;0)*(Quesería!$J$62:$J$77&gt;0)*Quesería!$F$62:$F$77*(1+Quesería!$I$62:$I$77))*$E$21,0))*$E$11+G180)</f>
        <v>5.06666666666667</v>
      </c>
      <c r="H181" s="35" t="n">
        <f aca="false">Quesería!$B$36*(IF(H$43=0,SUMPRODUCT((Quesería!$C$62:$C$77=0)*(Quesería!$H$62:$H$77&gt;0)*(Quesería!$J$62:$J$77&gt;0)*Quesería!$F$62:$F$77*(1+Quesería!$I$62:$I$77)),IF(H$43=1,SUMPRODUCT((Quesería!$C$62:$C$77=1)*(Quesería!$H$62:$H$77&gt;0)*(Quesería!$J$62:$J$77&gt;0)*Quesería!$F$62:$F$77*(1+Quesería!$I$62:$I$77))*$E$21,0))*$E$11+H180)</f>
        <v>6.70786508076667</v>
      </c>
      <c r="I181" s="35" t="n">
        <f aca="false">Quesería!$B$36*(IF(I$43=0,SUMPRODUCT((Quesería!$C$62:$C$77=0)*(Quesería!$H$62:$H$77&gt;0)*(Quesería!$J$62:$J$77&gt;0)*Quesería!$F$62:$F$77*(1+Quesería!$I$62:$I$77)),IF(I$43=1,SUMPRODUCT((Quesería!$C$62:$C$77=1)*(Quesería!$H$62:$H$77&gt;0)*(Quesería!$J$62:$J$77&gt;0)*Quesería!$F$62:$F$77*(1+Quesería!$I$62:$I$77))*$E$21,0))*$E$11+I180)</f>
        <v>0</v>
      </c>
      <c r="J181" s="35" t="n">
        <f aca="false">Quesería!$B$36*(IF(J$43=0,SUMPRODUCT((Quesería!$C$62:$C$77=0)*(Quesería!$H$62:$H$77&gt;0)*(Quesería!$J$62:$J$77&gt;0)*Quesería!$F$62:$F$77*(1+Quesería!$I$62:$I$77)),IF(J$43=1,SUMPRODUCT((Quesería!$C$62:$C$77=1)*(Quesería!$H$62:$H$77&gt;0)*(Quesería!$J$62:$J$77&gt;0)*Quesería!$F$62:$F$77*(1+Quesería!$I$62:$I$77))*$E$21,0))*$E$11+J180)</f>
        <v>0</v>
      </c>
      <c r="K181" s="35" t="n">
        <f aca="false">Quesería!$B$36*(IF(K$43=0,SUMPRODUCT((Quesería!$C$62:$C$77=0)*(Quesería!$H$62:$H$77&gt;0)*(Quesería!$J$62:$J$77&gt;0)*Quesería!$F$62:$F$77*(1+Quesería!$I$62:$I$77)),IF(K$43=1,SUMPRODUCT((Quesería!$C$62:$C$77=1)*(Quesería!$H$62:$H$77&gt;0)*(Quesería!$J$62:$J$77&gt;0)*Quesería!$F$62:$F$77*(1+Quesería!$I$62:$I$77))*$E$21,0))*$E$11+K180)</f>
        <v>0</v>
      </c>
      <c r="L181" s="35" t="n">
        <f aca="false">Quesería!$B$36*(IF(L$43=0,SUMPRODUCT((Quesería!$C$62:$C$77=0)*(Quesería!$H$62:$H$77&gt;0)*(Quesería!$J$62:$J$77&gt;0)*Quesería!$F$62:$F$77*(1+Quesería!$I$62:$I$77)),IF(L$43=1,SUMPRODUCT((Quesería!$C$62:$C$77=1)*(Quesería!$H$62:$H$77&gt;0)*(Quesería!$J$62:$J$77&gt;0)*Quesería!$F$62:$F$77*(1+Quesería!$I$62:$I$77))*$E$21,0))*$E$11+L180)</f>
        <v>0</v>
      </c>
    </row>
    <row r="182" customFormat="false" ht="15" hidden="false" customHeight="false" outlineLevel="0" collapsed="false">
      <c r="A182" s="6" t="s">
        <v>260</v>
      </c>
      <c r="B182" s="35" t="n">
        <f aca="false">IF(B$43=0,($E$22*Quesería!$J$109+(1-$E$22)*Quesería!$E$105)*Quesería!$B$12*Quesería!$B$13/12*$E$23,(($E$22*Quesería!$J$109+(1-$E$22)*Quesería!$E$105)+($E$22*Quesería!$J$92+(1-$E$22)*Quesería!$E$92)*(B177-1))*IF(B$43=1,Quesería!$B$12,1))*$E$10</f>
        <v>0</v>
      </c>
      <c r="C182" s="35" t="n">
        <f aca="false">IF(C$43=0,($E$22*Quesería!$J$109+(1-$E$22)*Quesería!$E$105)*Quesería!$B$12*Quesería!$B$13/12*$E$23,(($E$22*Quesería!$J$109+(1-$E$22)*Quesería!$E$105)+($E$22*Quesería!$J$92+(1-$E$22)*Quesería!$E$92)*(C177-1))*IF(C$43=1,Quesería!$B$12,1))*$E$10</f>
        <v>137.165278593056</v>
      </c>
      <c r="D182" s="35" t="n">
        <f aca="false">IF(D$43=0,($E$22*Quesería!$J$109+(1-$E$22)*Quesería!$E$105)*Quesería!$B$12*Quesería!$B$13/12*$E$23,(($E$22*Quesería!$J$109+(1-$E$22)*Quesería!$E$105)+($E$22*Quesería!$J$92+(1-$E$22)*Quesería!$E$92)*(D177-1))*IF(D$43=1,Quesería!$B$12,1))*$E$10</f>
        <v>182.947525850489</v>
      </c>
      <c r="E182" s="35" t="n">
        <f aca="false">IF(E$43=0,($E$22*Quesería!$J$109+(1-$E$22)*Quesería!$E$105)*Quesería!$B$12*Quesería!$B$13/12*$E$23,(($E$22*Quesería!$J$109+(1-$E$22)*Quesería!$E$105)+($E$22*Quesería!$J$92+(1-$E$22)*Quesería!$E$92)*(E177-1))*IF(E$43=1,Quesería!$B$12,1))*$E$10</f>
        <v>183.008316015537</v>
      </c>
      <c r="F182" s="35" t="n">
        <f aca="false">IF(F$43=0,($E$22*Quesería!$J$109+(1-$E$22)*Quesería!$E$105)*Quesería!$B$12*Quesería!$B$13/12*$E$23,(($E$22*Quesería!$J$109+(1-$E$22)*Quesería!$E$105)+($E$22*Quesería!$J$92+(1-$E$22)*Quesería!$E$92)*(F177-1))*IF(F$43=1,Quesería!$B$12,1))*$E$10</f>
        <v>183.069410131409</v>
      </c>
      <c r="G182" s="35" t="n">
        <f aca="false">IF(G$43=0,($E$22*Quesería!$J$109+(1-$E$22)*Quesería!$E$105)*Quesería!$B$12*Quesería!$B$13/12*$E$23,(($E$22*Quesería!$J$109+(1-$E$22)*Quesería!$E$105)+($E$22*Quesería!$J$92+(1-$E$22)*Quesería!$E$92)*(G177-1))*IF(G$43=1,Quesería!$B$12,1))*$E$10</f>
        <v>183.130809717861</v>
      </c>
      <c r="H182" s="35" t="n">
        <f aca="false">IF(H$43=0,($E$22*Quesería!$J$109+(1-$E$22)*Quesería!$E$105)*Quesería!$B$12*Quesería!$B$13/12*$E$23,(($E$22*Quesería!$J$109+(1-$E$22)*Quesería!$E$105)+($E$22*Quesería!$J$92+(1-$E$22)*Quesería!$E$92)*(H177-1))*IF(H$43=1,Quesería!$B$12,1))*$E$10</f>
        <v>183.192516302245</v>
      </c>
      <c r="I182" s="35" t="n">
        <f aca="false">IF(I$43=0,($E$22*Quesería!$J$109+(1-$E$22)*Quesería!$E$105)*Quesería!$B$12*Quesería!$B$13/12*$E$23,(($E$22*Quesería!$J$109+(1-$E$22)*Quesería!$E$105)+($E$22*Quesería!$J$92+(1-$E$22)*Quesería!$E$92)*(I177-1))*IF(I$43=1,Quesería!$B$12,1))*$E$10</f>
        <v>183.254531419551</v>
      </c>
      <c r="J182" s="35" t="n">
        <f aca="false">IF(J$43=0,($E$22*Quesería!$J$109+(1-$E$22)*Quesería!$E$105)*Quesería!$B$12*Quesería!$B$13/12*$E$23,(($E$22*Quesería!$J$109+(1-$E$22)*Quesería!$E$105)+($E$22*Quesería!$J$92+(1-$E$22)*Quesería!$E$92)*(J177-1))*IF(J$43=1,Quesería!$B$12,1))*$E$10</f>
        <v>183.316856612443</v>
      </c>
      <c r="K182" s="35" t="n">
        <f aca="false">IF(K$43=0,($E$22*Quesería!$J$109+(1-$E$22)*Quesería!$E$105)*Quesería!$B$12*Quesería!$B$13/12*$E$23,(($E$22*Quesería!$J$109+(1-$E$22)*Quesería!$E$105)+($E$22*Quesería!$J$92+(1-$E$22)*Quesería!$E$92)*(K177-1))*IF(K$43=1,Quesería!$B$12,1))*$E$10</f>
        <v>183.3794934313</v>
      </c>
      <c r="L182" s="35" t="n">
        <f aca="false">IF(L$43=0,($E$22*Quesería!$J$109+(1-$E$22)*Quesería!$E$105)*Quesería!$B$12*Quesería!$B$13/12*$E$23,(($E$22*Quesería!$J$109+(1-$E$22)*Quesería!$E$105)+($E$22*Quesería!$J$92+(1-$E$22)*Quesería!$E$92)*(L177-1))*IF(L$43=1,Quesería!$B$12,1))*$E$10</f>
        <v>183.442443434251</v>
      </c>
    </row>
    <row r="183" customFormat="false" ht="15" hidden="false" customHeight="false" outlineLevel="0" collapsed="false">
      <c r="A183" s="6" t="s">
        <v>261</v>
      </c>
      <c r="B183" s="35" t="n">
        <f aca="false">IF(B$43&lt;=1,0,((($E$22*Quesería!$J$110+(1-$E$22)*Quesería!$E$106)-($E$22*Quesería!$J$99+(1-$E$22)*Quesería!$E$99)+$E$6*($E$22*Quesería!$J$99+(1-$E$22)*Quesería!$E$99)-(1-$E$9)*($E$22*Quesería!$J$102+(1-$E$22)*Quesería!$E$102))+($E$6*($E$22*Quesería!$J$99+(1-$E$22)*Quesería!$E$99)+$E$9*($E$22*Quesería!$J$102+(1-$E$22)*Quesería!$E$102))*(B177-1))*IF(B$43=2,Quesería!$B$12,1)+IF(B$43=2,Quesería!$B$14*$E$9*($E$22*Quesería!$J$102+(1-$E$22)*Quesería!$E$102)*B177,0))*$E$10*$E$21</f>
        <v>0</v>
      </c>
      <c r="C183" s="35" t="n">
        <f aca="false">IF(C$43&lt;=1,0,((($E$22*Quesería!$J$110+(1-$E$22)*Quesería!$E$106)-($E$22*Quesería!$J$99+(1-$E$22)*Quesería!$E$99)+$E$6*($E$22*Quesería!$J$99+(1-$E$22)*Quesería!$E$99)-(1-$E$9)*($E$22*Quesería!$J$102+(1-$E$22)*Quesería!$E$102))+($E$6*($E$22*Quesería!$J$99+(1-$E$22)*Quesería!$E$99)+$E$9*($E$22*Quesería!$J$102+(1-$E$22)*Quesería!$E$102))*(C177-1))*IF(C$43=2,Quesería!$B$12,1)+IF(C$43=2,Quesería!$B$14*$E$9*($E$22*Quesería!$J$102+(1-$E$22)*Quesería!$E$102)*C177,0))*$E$10*$E$21</f>
        <v>0</v>
      </c>
      <c r="D183" s="35" t="n">
        <f aca="false">IF(D$43&lt;=1,0,((($E$22*Quesería!$J$110+(1-$E$22)*Quesería!$E$106)-($E$22*Quesería!$J$99+(1-$E$22)*Quesería!$E$99)+$E$6*($E$22*Quesería!$J$99+(1-$E$22)*Quesería!$E$99)-(1-$E$9)*($E$22*Quesería!$J$102+(1-$E$22)*Quesería!$E$102))+($E$6*($E$22*Quesería!$J$99+(1-$E$22)*Quesería!$E$99)+$E$9*($E$22*Quesería!$J$102+(1-$E$22)*Quesería!$E$102))*(D177-1))*IF(D$43=2,Quesería!$B$12,1)+IF(D$43=2,Quesería!$B$14*$E$9*($E$22*Quesería!$J$102+(1-$E$22)*Quesería!$E$102)*D177,0))*$E$10*$E$21</f>
        <v>197.837804186257</v>
      </c>
      <c r="E183" s="35" t="n">
        <f aca="false">IF(E$43&lt;=1,0,((($E$22*Quesería!$J$110+(1-$E$22)*Quesería!$E$106)-($E$22*Quesería!$J$99+(1-$E$22)*Quesería!$E$99)+$E$6*($E$22*Quesería!$J$99+(1-$E$22)*Quesería!$E$99)-(1-$E$9)*($E$22*Quesería!$J$102+(1-$E$22)*Quesería!$E$102))+($E$6*($E$22*Quesería!$J$99+(1-$E$22)*Quesería!$E$99)+$E$9*($E$22*Quesería!$J$102+(1-$E$22)*Quesería!$E$102))*(E177-1))*IF(E$43=2,Quesería!$B$12,1)+IF(E$43=2,Quesería!$B$14*$E$9*($E$22*Quesería!$J$102+(1-$E$22)*Quesería!$E$102)*E177,0))*$E$10*$E$21</f>
        <v>234.441939047038</v>
      </c>
      <c r="F183" s="35" t="n">
        <f aca="false">IF(F$43&lt;=1,0,((($E$22*Quesería!$J$110+(1-$E$22)*Quesería!$E$106)-($E$22*Quesería!$J$99+(1-$E$22)*Quesería!$E$99)+$E$6*($E$22*Quesería!$J$99+(1-$E$22)*Quesería!$E$99)-(1-$E$9)*($E$22*Quesería!$J$102+(1-$E$22)*Quesería!$E$102))+($E$6*($E$22*Quesería!$J$99+(1-$E$22)*Quesería!$E$99)+$E$9*($E$22*Quesería!$J$102+(1-$E$22)*Quesería!$E$102))*(F177-1))*IF(F$43=2,Quesería!$B$12,1)+IF(F$43=2,Quesería!$B$14*$E$9*($E$22*Quesería!$J$102+(1-$E$22)*Quesería!$E$102)*F177,0))*$E$10*$E$21</f>
        <v>234.877078770292</v>
      </c>
      <c r="G183" s="35" t="n">
        <f aca="false">IF(G$43&lt;=1,0,((($E$22*Quesería!$J$110+(1-$E$22)*Quesería!$E$106)-($E$22*Quesería!$J$99+(1-$E$22)*Quesería!$E$99)+$E$6*($E$22*Quesería!$J$99+(1-$E$22)*Quesería!$E$99)-(1-$E$9)*($E$22*Quesería!$J$102+(1-$E$22)*Quesería!$E$102))+($E$6*($E$22*Quesería!$J$99+(1-$E$22)*Quesería!$E$99)+$E$9*($E$22*Quesería!$J$102+(1-$E$22)*Quesería!$E$102))*(G177-1))*IF(G$43=2,Quesería!$B$12,1)+IF(G$43=2,Quesería!$B$14*$E$9*($E$22*Quesería!$J$102+(1-$E$22)*Quesería!$E$102)*G177,0))*$E$10*$E$21</f>
        <v>235.314394192163</v>
      </c>
      <c r="H183" s="35" t="n">
        <f aca="false">IF(H$43&lt;=1,0,((($E$22*Quesería!$J$110+(1-$E$22)*Quesería!$E$106)-($E$22*Quesería!$J$99+(1-$E$22)*Quesería!$E$99)+$E$6*($E$22*Quesería!$J$99+(1-$E$22)*Quesería!$E$99)-(1-$E$9)*($E$22*Quesería!$J$102+(1-$E$22)*Quesería!$E$102))+($E$6*($E$22*Quesería!$J$99+(1-$E$22)*Quesería!$E$99)+$E$9*($E$22*Quesería!$J$102+(1-$E$22)*Quesería!$E$102))*(H177-1))*IF(H$43=2,Quesería!$B$12,1)+IF(H$43=2,Quesería!$B$14*$E$9*($E$22*Quesería!$J$102+(1-$E$22)*Quesería!$E$102)*H177,0))*$E$10*$E$21</f>
        <v>235.753896191143</v>
      </c>
      <c r="I183" s="35" t="n">
        <f aca="false">IF(I$43&lt;=1,0,((($E$22*Quesería!$J$110+(1-$E$22)*Quesería!$E$106)-($E$22*Quesería!$J$99+(1-$E$22)*Quesería!$E$99)+$E$6*($E$22*Quesería!$J$99+(1-$E$22)*Quesería!$E$99)-(1-$E$9)*($E$22*Quesería!$J$102+(1-$E$22)*Quesería!$E$102))+($E$6*($E$22*Quesería!$J$99+(1-$E$22)*Quesería!$E$99)+$E$9*($E$22*Quesería!$J$102+(1-$E$22)*Quesería!$E$102))*(I177-1))*IF(I$43=2,Quesería!$B$12,1)+IF(I$43=2,Quesería!$B$14*$E$9*($E$22*Quesería!$J$102+(1-$E$22)*Quesería!$E$102)*I177,0))*$E$10*$E$21</f>
        <v>236.195595700118</v>
      </c>
      <c r="J183" s="35" t="n">
        <f aca="false">IF(J$43&lt;=1,0,((($E$22*Quesería!$J$110+(1-$E$22)*Quesería!$E$106)-($E$22*Quesería!$J$99+(1-$E$22)*Quesería!$E$99)+$E$6*($E$22*Quesería!$J$99+(1-$E$22)*Quesería!$E$99)-(1-$E$9)*($E$22*Quesería!$J$102+(1-$E$22)*Quesería!$E$102))+($E$6*($E$22*Quesería!$J$99+(1-$E$22)*Quesería!$E$99)+$E$9*($E$22*Quesería!$J$102+(1-$E$22)*Quesería!$E$102))*(J177-1))*IF(J$43=2,Quesería!$B$12,1)+IF(J$43=2,Quesería!$B$14*$E$9*($E$22*Quesería!$J$102+(1-$E$22)*Quesería!$E$102)*J177,0))*$E$10*$E$21</f>
        <v>236.639503706638</v>
      </c>
      <c r="K183" s="35" t="n">
        <f aca="false">IF(K$43&lt;=1,0,((($E$22*Quesería!$J$110+(1-$E$22)*Quesería!$E$106)-($E$22*Quesería!$J$99+(1-$E$22)*Quesería!$E$99)+$E$6*($E$22*Quesería!$J$99+(1-$E$22)*Quesería!$E$99)-(1-$E$9)*($E$22*Quesería!$J$102+(1-$E$22)*Quesería!$E$102))+($E$6*($E$22*Quesería!$J$99+(1-$E$22)*Quesería!$E$99)+$E$9*($E$22*Quesería!$J$102+(1-$E$22)*Quesería!$E$102))*(K177-1))*IF(K$43=2,Quesería!$B$12,1)+IF(K$43=2,Quesería!$B$14*$E$9*($E$22*Quesería!$J$102+(1-$E$22)*Quesería!$E$102)*K177,0))*$E$10*$E$21</f>
        <v>237.08563125319</v>
      </c>
      <c r="L183" s="35" t="n">
        <f aca="false">IF(L$43&lt;=1,0,((($E$22*Quesería!$J$110+(1-$E$22)*Quesería!$E$106)-($E$22*Quesería!$J$99+(1-$E$22)*Quesería!$E$99)+$E$6*($E$22*Quesería!$J$99+(1-$E$22)*Quesería!$E$99)-(1-$E$9)*($E$22*Quesería!$J$102+(1-$E$22)*Quesería!$E$102))+($E$6*($E$22*Quesería!$J$99+(1-$E$22)*Quesería!$E$99)+$E$9*($E$22*Quesería!$J$102+(1-$E$22)*Quesería!$E$102))*(L177-1))*IF(L$43=2,Quesería!$B$12,1)+IF(L$43=2,Quesería!$B$14*$E$9*($E$22*Quesería!$J$102+(1-$E$22)*Quesería!$E$102)*L177,0))*$E$10*$E$21</f>
        <v>237.533989437476</v>
      </c>
    </row>
    <row r="184" customFormat="false" ht="15" hidden="false" customHeight="false" outlineLevel="0" collapsed="false">
      <c r="A184" s="5" t="s">
        <v>287</v>
      </c>
      <c r="B184" s="10" t="n">
        <f aca="false">B182+B183</f>
        <v>0</v>
      </c>
      <c r="C184" s="10" t="n">
        <f aca="false">C182+C183</f>
        <v>137.165278593056</v>
      </c>
      <c r="D184" s="10" t="n">
        <f aca="false">D182+D183</f>
        <v>380.785330036747</v>
      </c>
      <c r="E184" s="10" t="n">
        <f aca="false">E182+E183</f>
        <v>417.450255062574</v>
      </c>
      <c r="F184" s="10" t="n">
        <f aca="false">F182+F183</f>
        <v>417.946488901701</v>
      </c>
      <c r="G184" s="10" t="n">
        <f aca="false">G182+G183</f>
        <v>418.445203910024</v>
      </c>
      <c r="H184" s="10" t="n">
        <f aca="false">H182+H183</f>
        <v>418.946412493388</v>
      </c>
      <c r="I184" s="10" t="n">
        <f aca="false">I182+I183</f>
        <v>419.450127119669</v>
      </c>
      <c r="J184" s="10" t="n">
        <f aca="false">J182+J183</f>
        <v>419.956360319081</v>
      </c>
      <c r="K184" s="10" t="n">
        <f aca="false">K182+K183</f>
        <v>420.465124684491</v>
      </c>
      <c r="L184" s="10" t="n">
        <f aca="false">L182+L183</f>
        <v>420.976432871727</v>
      </c>
    </row>
    <row r="185" customFormat="false" ht="15" hidden="false" customHeight="false" outlineLevel="0" collapsed="false">
      <c r="A185" s="6" t="s">
        <v>288</v>
      </c>
      <c r="B185" s="35" t="n">
        <f aca="false">(IF(B$43&gt;=1,(Quesería!$B$21+Quesería!$B$54)*Quesería!$F$82*$E$11+Quesería!$B$22+'Beneficios y costos'!$B$118,0)+IF(B$43&gt;=2,((Quesería!$B$21+Quesería!$B$54)*Quesería!$F$83*$E$11+'Beneficios y costos'!$C$118)*$E$21,0))*$E$12</f>
        <v>0</v>
      </c>
      <c r="C185" s="35" t="n">
        <f aca="false">(IF(C$43&gt;=1,(Quesería!$B$21+Quesería!$B$54)*Quesería!$F$82*$E$11+Quesería!$B$22+'Beneficios y costos'!$B$118,0)+IF(C$43&gt;=2,((Quesería!$B$21+Quesería!$B$54)*Quesería!$F$83*$E$11+'Beneficios y costos'!$C$118)*$E$21,0))*$E$12</f>
        <v>36.8921528634167</v>
      </c>
      <c r="D185" s="35" t="n">
        <f aca="false">(IF(D$43&gt;=1,(Quesería!$B$21+Quesería!$B$54)*Quesería!$F$82*$E$11+Quesería!$B$22+'Beneficios y costos'!$B$118,0)+IF(D$43&gt;=2,((Quesería!$B$21+Quesería!$B$54)*Quesería!$F$83*$E$11+'Beneficios y costos'!$C$118)*$E$21,0))*$E$12</f>
        <v>88.8065043646377</v>
      </c>
      <c r="E185" s="35" t="n">
        <f aca="false">(IF(E$43&gt;=1,(Quesería!$B$21+Quesería!$B$54)*Quesería!$F$82*$E$11+Quesería!$B$22+'Beneficios y costos'!$B$118,0)+IF(E$43&gt;=2,((Quesería!$B$21+Quesería!$B$54)*Quesería!$F$83*$E$11+'Beneficios y costos'!$C$118)*$E$21,0))*$E$12</f>
        <v>88.8065043646377</v>
      </c>
      <c r="F185" s="35" t="n">
        <f aca="false">(IF(F$43&gt;=1,(Quesería!$B$21+Quesería!$B$54)*Quesería!$F$82*$E$11+Quesería!$B$22+'Beneficios y costos'!$B$118,0)+IF(F$43&gt;=2,((Quesería!$B$21+Quesería!$B$54)*Quesería!$F$83*$E$11+'Beneficios y costos'!$C$118)*$E$21,0))*$E$12</f>
        <v>88.8065043646377</v>
      </c>
      <c r="G185" s="35" t="n">
        <f aca="false">(IF(G$43&gt;=1,(Quesería!$B$21+Quesería!$B$54)*Quesería!$F$82*$E$11+Quesería!$B$22+'Beneficios y costos'!$B$118,0)+IF(G$43&gt;=2,((Quesería!$B$21+Quesería!$B$54)*Quesería!$F$83*$E$11+'Beneficios y costos'!$C$118)*$E$21,0))*$E$12</f>
        <v>88.8065043646377</v>
      </c>
      <c r="H185" s="35" t="n">
        <f aca="false">(IF(H$43&gt;=1,(Quesería!$B$21+Quesería!$B$54)*Quesería!$F$82*$E$11+Quesería!$B$22+'Beneficios y costos'!$B$118,0)+IF(H$43&gt;=2,((Quesería!$B$21+Quesería!$B$54)*Quesería!$F$83*$E$11+'Beneficios y costos'!$C$118)*$E$21,0))*$E$12</f>
        <v>88.8065043646377</v>
      </c>
      <c r="I185" s="35" t="n">
        <f aca="false">(IF(I$43&gt;=1,(Quesería!$B$21+Quesería!$B$54)*Quesería!$F$82*$E$11+Quesería!$B$22+'Beneficios y costos'!$B$118,0)+IF(I$43&gt;=2,((Quesería!$B$21+Quesería!$B$54)*Quesería!$F$83*$E$11+'Beneficios y costos'!$C$118)*$E$21,0))*$E$12</f>
        <v>88.8065043646377</v>
      </c>
      <c r="J185" s="35" t="n">
        <f aca="false">(IF(J$43&gt;=1,(Quesería!$B$21+Quesería!$B$54)*Quesería!$F$82*$E$11+Quesería!$B$22+'Beneficios y costos'!$B$118,0)+IF(J$43&gt;=2,((Quesería!$B$21+Quesería!$B$54)*Quesería!$F$83*$E$11+'Beneficios y costos'!$C$118)*$E$21,0))*$E$12</f>
        <v>88.8065043646377</v>
      </c>
      <c r="K185" s="35" t="n">
        <f aca="false">(IF(K$43&gt;=1,(Quesería!$B$21+Quesería!$B$54)*Quesería!$F$82*$E$11+Quesería!$B$22+'Beneficios y costos'!$B$118,0)+IF(K$43&gt;=2,((Quesería!$B$21+Quesería!$B$54)*Quesería!$F$83*$E$11+'Beneficios y costos'!$C$118)*$E$21,0))*$E$12</f>
        <v>88.8065043646377</v>
      </c>
      <c r="L185" s="35" t="n">
        <f aca="false">(IF(L$43&gt;=1,(Quesería!$B$21+Quesería!$B$54)*Quesería!$F$82*$E$11+Quesería!$B$22+'Beneficios y costos'!$B$118,0)+IF(L$43&gt;=2,((Quesería!$B$21+Quesería!$B$54)*Quesería!$F$83*$E$11+'Beneficios y costos'!$C$118)*$E$21,0))*$E$12</f>
        <v>88.8065043646377</v>
      </c>
    </row>
    <row r="186" customFormat="false" ht="15" hidden="false" customHeight="false" outlineLevel="0" collapsed="false">
      <c r="A186" s="6" t="s">
        <v>289</v>
      </c>
      <c r="B186" s="35" t="n">
        <f aca="false">IF(B$43=1,2*Quesería!$B$33*Quesería!$B$34/12*B177,0)*$E$21</f>
        <v>0</v>
      </c>
      <c r="C186" s="35" t="n">
        <f aca="false">IF(C$43=1,2*Quesería!$B$33*Quesería!$B$34/12*C177,0)*$E$21</f>
        <v>18.5166509433962</v>
      </c>
      <c r="D186" s="35" t="n">
        <f aca="false">IF(D$43=1,2*Quesería!$B$33*Quesería!$B$34/12*D177,0)*$E$21</f>
        <v>0</v>
      </c>
      <c r="E186" s="35" t="n">
        <f aca="false">IF(E$43=1,2*Quesería!$B$33*Quesería!$B$34/12*E177,0)*$E$21</f>
        <v>0</v>
      </c>
      <c r="F186" s="35" t="n">
        <f aca="false">IF(F$43=1,2*Quesería!$B$33*Quesería!$B$34/12*F177,0)*$E$21</f>
        <v>0</v>
      </c>
      <c r="G186" s="35" t="n">
        <f aca="false">IF(G$43=1,2*Quesería!$B$33*Quesería!$B$34/12*G177,0)*$E$21</f>
        <v>0</v>
      </c>
      <c r="H186" s="35" t="n">
        <f aca="false">IF(H$43=1,2*Quesería!$B$33*Quesería!$B$34/12*H177,0)*$E$21</f>
        <v>0</v>
      </c>
      <c r="I186" s="35" t="n">
        <f aca="false">IF(I$43=1,2*Quesería!$B$33*Quesería!$B$34/12*I177,0)*$E$21</f>
        <v>0</v>
      </c>
      <c r="J186" s="35" t="n">
        <f aca="false">IF(J$43=1,2*Quesería!$B$33*Quesería!$B$34/12*J177,0)*$E$21</f>
        <v>0</v>
      </c>
      <c r="K186" s="35" t="n">
        <f aca="false">IF(K$43=1,2*Quesería!$B$33*Quesería!$B$34/12*K177,0)*$E$21</f>
        <v>0</v>
      </c>
      <c r="L186" s="35" t="n">
        <f aca="false">IF(L$43=1,2*Quesería!$B$33*Quesería!$B$34/12*L177,0)*$E$21</f>
        <v>0</v>
      </c>
    </row>
    <row r="187" customFormat="false" ht="15" hidden="false" customHeight="false" outlineLevel="0" collapsed="false">
      <c r="A187" s="6" t="s">
        <v>290</v>
      </c>
      <c r="B187" s="35" t="n">
        <f aca="false">Quesería!$B$45*(B179+B180+B181+B185+B186)</f>
        <v>2.88636599924197</v>
      </c>
      <c r="C187" s="35" t="n">
        <f aca="false">Quesería!$B$45*(C179+C180+C181+C185+C186)</f>
        <v>3.29312083686149</v>
      </c>
      <c r="D187" s="35" t="n">
        <f aca="false">Quesería!$B$45*(D179+D180+D181+D185+D186)</f>
        <v>0.355226017458551</v>
      </c>
      <c r="E187" s="35" t="n">
        <f aca="false">Quesería!$B$45*(E179+E180+E181+E185+E186)</f>
        <v>0.355226017458551</v>
      </c>
      <c r="F187" s="35" t="n">
        <f aca="false">Quesería!$B$45*(F179+F180+F181+F185+F186)</f>
        <v>0.355226017458551</v>
      </c>
      <c r="G187" s="35" t="n">
        <f aca="false">Quesería!$B$45*(G179+G180+G181+G185+G186)</f>
        <v>0.482159350791884</v>
      </c>
      <c r="H187" s="35" t="n">
        <f aca="false">Quesería!$B$45*(H179+H180+H181+H185+H186)</f>
        <v>0.523275690008284</v>
      </c>
      <c r="I187" s="35" t="n">
        <f aca="false">Quesería!$B$45*(I179+I180+I181+I185+I186)</f>
        <v>0.355226017458551</v>
      </c>
      <c r="J187" s="35" t="n">
        <f aca="false">Quesería!$B$45*(J179+J180+J181+J185+J186)</f>
        <v>0.355226017458551</v>
      </c>
      <c r="K187" s="35" t="n">
        <f aca="false">Quesería!$B$45*(K179+K180+K181+K185+K186)</f>
        <v>0.355226017458551</v>
      </c>
      <c r="L187" s="35" t="n">
        <f aca="false">Quesería!$B$45*(L179+L180+L181+L185+L186)</f>
        <v>0.355226017458551</v>
      </c>
    </row>
    <row r="188" customFormat="false" ht="15" hidden="false" customHeight="false" outlineLevel="0" collapsed="false">
      <c r="A188" s="6" t="s">
        <v>291</v>
      </c>
      <c r="B188" s="35" t="n">
        <f aca="false">(IF($E$19=1,(SUMPRODUCT((Quesería!$C$62:$C$77=0)*(Quesería!$J$62:$J$77&gt;0)*(B$43&gt;=1)*(B$43&lt;=Quesería!$J$62:$J$77)*(Quesería!$H$62:$H$77&gt;0)*Quesería!$F$62:$F$77*(1+Quesería!$I$62:$I$77)/(Quesería!$J$62:$J$77+(Quesería!$J$62:$J$77=0)))+SUMPRODUCT((Quesería!$C$62:$C$77=0)*(Quesería!$J$62:$J$77=0)*(B$43=0)*(Quesería!$H$62:$H$77&gt;0)*Quesería!$F$62:$F$77*(1+Quesería!$I$62:$I$77)))*$B$176+(SUMPRODUCT((Quesería!$C$62:$C$77=1)*(Quesería!$J$62:$J$77&gt;0)*(B$43&gt;=2)*(B$43&lt;=Quesería!$J$62:$J$77+1)*(Quesería!$H$62:$H$77&gt;0)*Quesería!$F$62:$F$77*(1+Quesería!$I$62:$I$77)/(Quesería!$J$62:$J$77+(Quesería!$J$62:$J$77=0)))+SUMPRODUCT((Quesería!$C$62:$C$77=1)*(Quesería!$J$62:$J$77=0)*(B$43=1)*(Quesería!$H$62:$H$77&gt;0)*Quesería!$F$62:$F$77*(1+Quesería!$I$62:$I$77)))*$C$176*$E$21,IF(AND(B$43&gt;=1,B$43&lt;=Quesería!$B$11),Quesería!$F$80/Quesería!$B$11,0)*$B$176+IF(AND(B$43&gt;=2,B$43&lt;=Quesería!$B$11+1),Quesería!$F$81/Quesería!$B$11,0)*$C$176*$E$21)*$E$11+IF(AND(B$43&gt;=6,B$43&lt;=10),$G180*$G176/5,0)+IF(AND(B$43&gt;=7,B$43&lt;=11),$H180*$H176/5,0))*B178</f>
        <v>99.3600691219113</v>
      </c>
      <c r="C188" s="35" t="n">
        <f aca="false">(IF($E$19=1,(SUMPRODUCT((Quesería!$C$62:$C$77=0)*(Quesería!$J$62:$J$77&gt;0)*(C$43&gt;=1)*(C$43&lt;=Quesería!$J$62:$J$77)*(Quesería!$H$62:$H$77&gt;0)*Quesería!$F$62:$F$77*(1+Quesería!$I$62:$I$77)/(Quesería!$J$62:$J$77+(Quesería!$J$62:$J$77=0)))+SUMPRODUCT((Quesería!$C$62:$C$77=0)*(Quesería!$J$62:$J$77=0)*(C$43=0)*(Quesería!$H$62:$H$77&gt;0)*Quesería!$F$62:$F$77*(1+Quesería!$I$62:$I$77)))*$B$176+(SUMPRODUCT((Quesería!$C$62:$C$77=1)*(Quesería!$J$62:$J$77&gt;0)*(C$43&gt;=2)*(C$43&lt;=Quesería!$J$62:$J$77+1)*(Quesería!$H$62:$H$77&gt;0)*Quesería!$F$62:$F$77*(1+Quesería!$I$62:$I$77)/(Quesería!$J$62:$J$77+(Quesería!$J$62:$J$77=0)))+SUMPRODUCT((Quesería!$C$62:$C$77=1)*(Quesería!$J$62:$J$77=0)*(C$43=1)*(Quesería!$H$62:$H$77&gt;0)*Quesería!$F$62:$F$77*(1+Quesería!$I$62:$I$77)))*$C$176*$E$21,IF(AND(C$43&gt;=1,C$43&lt;=Quesería!$B$11),Quesería!$F$80/Quesería!$B$11,0)*$B$176+IF(AND(C$43&gt;=2,C$43&lt;=Quesería!$B$11+1),Quesería!$F$81/Quesería!$B$11,0)*$C$176*$E$21)*$E$11+IF(AND(C$43&gt;=6,C$43&lt;=10),$G180*$G176/5,0)+IF(AND(C$43&gt;=7,C$43&lt;=11),$H180*$H176/5,0))*C178</f>
        <v>57.1000211302053</v>
      </c>
      <c r="D188" s="35" t="n">
        <f aca="false">(IF($E$19=1,(SUMPRODUCT((Quesería!$C$62:$C$77=0)*(Quesería!$J$62:$J$77&gt;0)*(D$43&gt;=1)*(D$43&lt;=Quesería!$J$62:$J$77)*(Quesería!$H$62:$H$77&gt;0)*Quesería!$F$62:$F$77*(1+Quesería!$I$62:$I$77)/(Quesería!$J$62:$J$77+(Quesería!$J$62:$J$77=0)))+SUMPRODUCT((Quesería!$C$62:$C$77=0)*(Quesería!$J$62:$J$77=0)*(D$43=0)*(Quesería!$H$62:$H$77&gt;0)*Quesería!$F$62:$F$77*(1+Quesería!$I$62:$I$77)))*$B$176+(SUMPRODUCT((Quesería!$C$62:$C$77=1)*(Quesería!$J$62:$J$77&gt;0)*(D$43&gt;=2)*(D$43&lt;=Quesería!$J$62:$J$77+1)*(Quesería!$H$62:$H$77&gt;0)*Quesería!$F$62:$F$77*(1+Quesería!$I$62:$I$77)/(Quesería!$J$62:$J$77+(Quesería!$J$62:$J$77=0)))+SUMPRODUCT((Quesería!$C$62:$C$77=1)*(Quesería!$J$62:$J$77=0)*(D$43=1)*(Quesería!$H$62:$H$77&gt;0)*Quesería!$F$62:$F$77*(1+Quesería!$I$62:$I$77)))*$C$176*$E$21,IF(AND(D$43&gt;=1,D$43&lt;=Quesería!$B$11),Quesería!$F$80/Quesería!$B$11,0)*$B$176+IF(AND(D$43&gt;=2,D$43&lt;=Quesería!$B$11+1),Quesería!$F$81/Quesería!$B$11,0)*$C$176*$E$21)*$E$11+IF(AND(D$43&gt;=6,D$43&lt;=10),$G180*$G176/5,0)+IF(AND(D$43&gt;=7,D$43&lt;=11),$H180*$H176/5,0))*D178</f>
        <v>116.389502380926</v>
      </c>
      <c r="E188" s="35" t="n">
        <f aca="false">(IF($E$19=1,(SUMPRODUCT((Quesería!$C$62:$C$77=0)*(Quesería!$J$62:$J$77&gt;0)*(E$43&gt;=1)*(E$43&lt;=Quesería!$J$62:$J$77)*(Quesería!$H$62:$H$77&gt;0)*Quesería!$F$62:$F$77*(1+Quesería!$I$62:$I$77)/(Quesería!$J$62:$J$77+(Quesería!$J$62:$J$77=0)))+SUMPRODUCT((Quesería!$C$62:$C$77=0)*(Quesería!$J$62:$J$77=0)*(E$43=0)*(Quesería!$H$62:$H$77&gt;0)*Quesería!$F$62:$F$77*(1+Quesería!$I$62:$I$77)))*$B$176+(SUMPRODUCT((Quesería!$C$62:$C$77=1)*(Quesería!$J$62:$J$77&gt;0)*(E$43&gt;=2)*(E$43&lt;=Quesería!$J$62:$J$77+1)*(Quesería!$H$62:$H$77&gt;0)*Quesería!$F$62:$F$77*(1+Quesería!$I$62:$I$77)/(Quesería!$J$62:$J$77+(Quesería!$J$62:$J$77=0)))+SUMPRODUCT((Quesería!$C$62:$C$77=1)*(Quesería!$J$62:$J$77=0)*(E$43=1)*(Quesería!$H$62:$H$77&gt;0)*Quesería!$F$62:$F$77*(1+Quesería!$I$62:$I$77)))*$C$176*$E$21,IF(AND(E$43&gt;=1,E$43&lt;=Quesería!$B$11),Quesería!$F$80/Quesería!$B$11,0)*$B$176+IF(AND(E$43&gt;=2,E$43&lt;=Quesería!$B$11+1),Quesería!$F$81/Quesería!$B$11,0)*$C$176*$E$21)*$E$11+IF(AND(E$43&gt;=6,E$43&lt;=10),$G180*$G176/5,0)+IF(AND(E$43&gt;=7,E$43&lt;=11),$H180*$H176/5,0))*E178</f>
        <v>111.912983058583</v>
      </c>
      <c r="F188" s="35" t="n">
        <f aca="false">(IF($E$19=1,(SUMPRODUCT((Quesería!$C$62:$C$77=0)*(Quesería!$J$62:$J$77&gt;0)*(F$43&gt;=1)*(F$43&lt;=Quesería!$J$62:$J$77)*(Quesería!$H$62:$H$77&gt;0)*Quesería!$F$62:$F$77*(1+Quesería!$I$62:$I$77)/(Quesería!$J$62:$J$77+(Quesería!$J$62:$J$77=0)))+SUMPRODUCT((Quesería!$C$62:$C$77=0)*(Quesería!$J$62:$J$77=0)*(F$43=0)*(Quesería!$H$62:$H$77&gt;0)*Quesería!$F$62:$F$77*(1+Quesería!$I$62:$I$77)))*$B$176+(SUMPRODUCT((Quesería!$C$62:$C$77=1)*(Quesería!$J$62:$J$77&gt;0)*(F$43&gt;=2)*(F$43&lt;=Quesería!$J$62:$J$77+1)*(Quesería!$H$62:$H$77&gt;0)*Quesería!$F$62:$F$77*(1+Quesería!$I$62:$I$77)/(Quesería!$J$62:$J$77+(Quesería!$J$62:$J$77=0)))+SUMPRODUCT((Quesería!$C$62:$C$77=1)*(Quesería!$J$62:$J$77=0)*(F$43=1)*(Quesería!$H$62:$H$77&gt;0)*Quesería!$F$62:$F$77*(1+Quesería!$I$62:$I$77)))*$C$176*$E$21,IF(AND(F$43&gt;=1,F$43&lt;=Quesería!$B$11),Quesería!$F$80/Quesería!$B$11,0)*$B$176+IF(AND(F$43&gt;=2,F$43&lt;=Quesería!$B$11+1),Quesería!$F$81/Quesería!$B$11,0)*$C$176*$E$21)*$E$11+IF(AND(F$43&gt;=6,F$43&lt;=10),$G180*$G176/5,0)+IF(AND(F$43&gt;=7,F$43&lt;=11),$H180*$H176/5,0))*F178</f>
        <v>107.608637556329</v>
      </c>
      <c r="G188" s="35" t="n">
        <f aca="false">(IF($E$19=1,(SUMPRODUCT((Quesería!$C$62:$C$77=0)*(Quesería!$J$62:$J$77&gt;0)*(G$43&gt;=1)*(G$43&lt;=Quesería!$J$62:$J$77)*(Quesería!$H$62:$H$77&gt;0)*Quesería!$F$62:$F$77*(1+Quesería!$I$62:$I$77)/(Quesería!$J$62:$J$77+(Quesería!$J$62:$J$77=0)))+SUMPRODUCT((Quesería!$C$62:$C$77=0)*(Quesería!$J$62:$J$77=0)*(G$43=0)*(Quesería!$H$62:$H$77&gt;0)*Quesería!$F$62:$F$77*(1+Quesería!$I$62:$I$77)))*$B$176+(SUMPRODUCT((Quesería!$C$62:$C$77=1)*(Quesería!$J$62:$J$77&gt;0)*(G$43&gt;=2)*(G$43&lt;=Quesería!$J$62:$J$77+1)*(Quesería!$H$62:$H$77&gt;0)*Quesería!$F$62:$F$77*(1+Quesería!$I$62:$I$77)/(Quesería!$J$62:$J$77+(Quesería!$J$62:$J$77=0)))+SUMPRODUCT((Quesería!$C$62:$C$77=1)*(Quesería!$J$62:$J$77=0)*(G$43=1)*(Quesería!$H$62:$H$77&gt;0)*Quesería!$F$62:$F$77*(1+Quesería!$I$62:$I$77)))*$C$176*$E$21,IF(AND(G$43&gt;=1,G$43&lt;=Quesería!$B$11),Quesería!$F$80/Quesería!$B$11,0)*$B$176+IF(AND(G$43&gt;=2,G$43&lt;=Quesería!$B$11+1),Quesería!$F$81/Quesería!$B$11,0)*$C$176*$E$21)*$E$11+IF(AND(G$43&gt;=6,G$43&lt;=10),$G180*$G176/5,0)+IF(AND(G$43&gt;=7,G$43&lt;=11),$H180*$H176/5,0))*G178</f>
        <v>103.469843804163</v>
      </c>
      <c r="H188" s="35" t="n">
        <f aca="false">(IF($E$19=1,(SUMPRODUCT((Quesería!$C$62:$C$77=0)*(Quesería!$J$62:$J$77&gt;0)*(H$43&gt;=1)*(H$43&lt;=Quesería!$J$62:$J$77)*(Quesería!$H$62:$H$77&gt;0)*Quesería!$F$62:$F$77*(1+Quesería!$I$62:$I$77)/(Quesería!$J$62:$J$77+(Quesería!$J$62:$J$77=0)))+SUMPRODUCT((Quesería!$C$62:$C$77=0)*(Quesería!$J$62:$J$77=0)*(H$43=0)*(Quesería!$H$62:$H$77&gt;0)*Quesería!$F$62:$F$77*(1+Quesería!$I$62:$I$77)))*$B$176+(SUMPRODUCT((Quesería!$C$62:$C$77=1)*(Quesería!$J$62:$J$77&gt;0)*(H$43&gt;=2)*(H$43&lt;=Quesería!$J$62:$J$77+1)*(Quesería!$H$62:$H$77&gt;0)*Quesería!$F$62:$F$77*(1+Quesería!$I$62:$I$77)/(Quesería!$J$62:$J$77+(Quesería!$J$62:$J$77=0)))+SUMPRODUCT((Quesería!$C$62:$C$77=1)*(Quesería!$J$62:$J$77=0)*(H$43=1)*(Quesería!$H$62:$H$77&gt;0)*Quesería!$F$62:$F$77*(1+Quesería!$I$62:$I$77)))*$C$176*$E$21,IF(AND(H$43&gt;=1,H$43&lt;=Quesería!$B$11),Quesería!$F$80/Quesería!$B$11,0)*$B$176+IF(AND(H$43&gt;=2,H$43&lt;=Quesería!$B$11+1),Quesería!$F$81/Quesería!$B$11,0)*$C$176*$E$21)*$E$11+IF(AND(H$43&gt;=6,H$43&lt;=10),$G180*$G176/5,0)+IF(AND(H$43&gt;=7,H$43&lt;=11),$H180*$H176/5,0))*H178</f>
        <v>92.6731239063542</v>
      </c>
      <c r="I188" s="35" t="n">
        <f aca="false">(IF($E$19=1,(SUMPRODUCT((Quesería!$C$62:$C$77=0)*(Quesería!$J$62:$J$77&gt;0)*(I$43&gt;=1)*(I$43&lt;=Quesería!$J$62:$J$77)*(Quesería!$H$62:$H$77&gt;0)*Quesería!$F$62:$F$77*(1+Quesería!$I$62:$I$77)/(Quesería!$J$62:$J$77+(Quesería!$J$62:$J$77=0)))+SUMPRODUCT((Quesería!$C$62:$C$77=0)*(Quesería!$J$62:$J$77=0)*(I$43=0)*(Quesería!$H$62:$H$77&gt;0)*Quesería!$F$62:$F$77*(1+Quesería!$I$62:$I$77)))*$B$176+(SUMPRODUCT((Quesería!$C$62:$C$77=1)*(Quesería!$J$62:$J$77&gt;0)*(I$43&gt;=2)*(I$43&lt;=Quesería!$J$62:$J$77+1)*(Quesería!$H$62:$H$77&gt;0)*Quesería!$F$62:$F$77*(1+Quesería!$I$62:$I$77)/(Quesería!$J$62:$J$77+(Quesería!$J$62:$J$77=0)))+SUMPRODUCT((Quesería!$C$62:$C$77=1)*(Quesería!$J$62:$J$77=0)*(I$43=1)*(Quesería!$H$62:$H$77&gt;0)*Quesería!$F$62:$F$77*(1+Quesería!$I$62:$I$77)))*$C$176*$E$21,IF(AND(I$43&gt;=1,I$43&lt;=Quesería!$B$11),Quesería!$F$80/Quesería!$B$11,0)*$B$176+IF(AND(I$43&gt;=2,I$43&lt;=Quesería!$B$11+1),Quesería!$F$81/Quesería!$B$11,0)*$C$176*$E$21)*$E$11+IF(AND(I$43&gt;=6,I$43&lt;=10),$G180*$G176/5,0)+IF(AND(I$43&gt;=7,I$43&lt;=11),$H180*$H176/5,0))*I178</f>
        <v>95.8981101131611</v>
      </c>
      <c r="J188" s="35" t="n">
        <f aca="false">(IF($E$19=1,(SUMPRODUCT((Quesería!$C$62:$C$77=0)*(Quesería!$J$62:$J$77&gt;0)*(J$43&gt;=1)*(J$43&lt;=Quesería!$J$62:$J$77)*(Quesería!$H$62:$H$77&gt;0)*Quesería!$F$62:$F$77*(1+Quesería!$I$62:$I$77)/(Quesería!$J$62:$J$77+(Quesería!$J$62:$J$77=0)))+SUMPRODUCT((Quesería!$C$62:$C$77=0)*(Quesería!$J$62:$J$77=0)*(J$43=0)*(Quesería!$H$62:$H$77&gt;0)*Quesería!$F$62:$F$77*(1+Quesería!$I$62:$I$77)))*$B$176+(SUMPRODUCT((Quesería!$C$62:$C$77=1)*(Quesería!$J$62:$J$77&gt;0)*(J$43&gt;=2)*(J$43&lt;=Quesería!$J$62:$J$77+1)*(Quesería!$H$62:$H$77&gt;0)*Quesería!$F$62:$F$77*(1+Quesería!$I$62:$I$77)/(Quesería!$J$62:$J$77+(Quesería!$J$62:$J$77=0)))+SUMPRODUCT((Quesería!$C$62:$C$77=1)*(Quesería!$J$62:$J$77=0)*(J$43=1)*(Quesería!$H$62:$H$77&gt;0)*Quesería!$F$62:$F$77*(1+Quesería!$I$62:$I$77)))*$C$176*$E$21,IF(AND(J$43&gt;=1,J$43&lt;=Quesería!$B$11),Quesería!$F$80/Quesería!$B$11,0)*$B$176+IF(AND(J$43&gt;=2,J$43&lt;=Quesería!$B$11+1),Quesería!$F$81/Quesería!$B$11,0)*$C$176*$E$21)*$E$11+IF(AND(J$43&gt;=6,J$43&lt;=10),$G180*$G176/5,0)+IF(AND(J$43&gt;=7,J$43&lt;=11),$H180*$H176/5,0))*J178</f>
        <v>92.2097212626549</v>
      </c>
      <c r="K188" s="35" t="n">
        <f aca="false">(IF($E$19=1,(SUMPRODUCT((Quesería!$C$62:$C$77=0)*(Quesería!$J$62:$J$77&gt;0)*(K$43&gt;=1)*(K$43&lt;=Quesería!$J$62:$J$77)*(Quesería!$H$62:$H$77&gt;0)*Quesería!$F$62:$F$77*(1+Quesería!$I$62:$I$77)/(Quesería!$J$62:$J$77+(Quesería!$J$62:$J$77=0)))+SUMPRODUCT((Quesería!$C$62:$C$77=0)*(Quesería!$J$62:$J$77=0)*(K$43=0)*(Quesería!$H$62:$H$77&gt;0)*Quesería!$F$62:$F$77*(1+Quesería!$I$62:$I$77)))*$B$176+(SUMPRODUCT((Quesería!$C$62:$C$77=1)*(Quesería!$J$62:$J$77&gt;0)*(K$43&gt;=2)*(K$43&lt;=Quesería!$J$62:$J$77+1)*(Quesería!$H$62:$H$77&gt;0)*Quesería!$F$62:$F$77*(1+Quesería!$I$62:$I$77)/(Quesería!$J$62:$J$77+(Quesería!$J$62:$J$77=0)))+SUMPRODUCT((Quesería!$C$62:$C$77=1)*(Quesería!$J$62:$J$77=0)*(K$43=1)*(Quesería!$H$62:$H$77&gt;0)*Quesería!$F$62:$F$77*(1+Quesería!$I$62:$I$77)))*$C$176*$E$21,IF(AND(K$43&gt;=1,K$43&lt;=Quesería!$B$11),Quesería!$F$80/Quesería!$B$11,0)*$B$176+IF(AND(K$43&gt;=2,K$43&lt;=Quesería!$B$11+1),Quesería!$F$81/Quesería!$B$11,0)*$C$176*$E$21)*$E$11+IF(AND(K$43&gt;=6,K$43&lt;=10),$G180*$G176/5,0)+IF(AND(K$43&gt;=7,K$43&lt;=11),$H180*$H176/5,0))*K178</f>
        <v>88.6631935217835</v>
      </c>
      <c r="L188" s="35" t="n">
        <f aca="false">(IF($E$19=1,(SUMPRODUCT((Quesería!$C$62:$C$77=0)*(Quesería!$J$62:$J$77&gt;0)*(L$43&gt;=1)*(L$43&lt;=Quesería!$J$62:$J$77)*(Quesería!$H$62:$H$77&gt;0)*Quesería!$F$62:$F$77*(1+Quesería!$I$62:$I$77)/(Quesería!$J$62:$J$77+(Quesería!$J$62:$J$77=0)))+SUMPRODUCT((Quesería!$C$62:$C$77=0)*(Quesería!$J$62:$J$77=0)*(L$43=0)*(Quesería!$H$62:$H$77&gt;0)*Quesería!$F$62:$F$77*(1+Quesería!$I$62:$I$77)))*$B$176+(SUMPRODUCT((Quesería!$C$62:$C$77=1)*(Quesería!$J$62:$J$77&gt;0)*(L$43&gt;=2)*(L$43&lt;=Quesería!$J$62:$J$77+1)*(Quesería!$H$62:$H$77&gt;0)*Quesería!$F$62:$F$77*(1+Quesería!$I$62:$I$77)/(Quesería!$J$62:$J$77+(Quesería!$J$62:$J$77=0)))+SUMPRODUCT((Quesería!$C$62:$C$77=1)*(Quesería!$J$62:$J$77=0)*(L$43=1)*(Quesería!$H$62:$H$77&gt;0)*Quesería!$F$62:$F$77*(1+Quesería!$I$62:$I$77)))*$C$176*$E$21,IF(AND(L$43&gt;=1,L$43&lt;=Quesería!$B$11),Quesería!$F$80/Quesería!$B$11,0)*$B$176+IF(AND(L$43&gt;=2,L$43&lt;=Quesería!$B$11+1),Quesería!$F$81/Quesería!$B$11,0)*$C$176*$E$21)*$E$11+IF(AND(L$43&gt;=6,L$43&lt;=10),$G180*$G176/5,0)+IF(AND(L$43&gt;=7,L$43&lt;=11),$H180*$H176/5,0))*L178</f>
        <v>85.2530706940226</v>
      </c>
    </row>
    <row r="189" customFormat="false" ht="15" hidden="false" customHeight="false" outlineLevel="0" collapsed="false">
      <c r="A189" s="9" t="s">
        <v>292</v>
      </c>
      <c r="B189" s="36" t="n">
        <f aca="false">IF(B$43=1,MIN($E$7*Quesería!$B$35*Quesería!$F$75*$E$11*$E$21,Quesería!$B$50*Quesería!$B$51),0)</f>
        <v>0</v>
      </c>
      <c r="C189" s="36" t="n">
        <f aca="false">IF(C$43=1,MIN($E$7*Quesería!$B$35*Quesería!$F$75*$E$11*$E$21,Quesería!$B$50*Quesería!$B$51),0)</f>
        <v>20</v>
      </c>
      <c r="D189" s="36" t="n">
        <f aca="false">IF(D$43=1,MIN($E$7*Quesería!$B$35*Quesería!$F$75*$E$11*$E$21,Quesería!$B$50*Quesería!$B$51),0)</f>
        <v>0</v>
      </c>
      <c r="E189" s="36" t="n">
        <f aca="false">IF(E$43=1,MIN($E$7*Quesería!$B$35*Quesería!$F$75*$E$11*$E$21,Quesería!$B$50*Quesería!$B$51),0)</f>
        <v>0</v>
      </c>
      <c r="F189" s="36" t="n">
        <f aca="false">IF(F$43=1,MIN($E$7*Quesería!$B$35*Quesería!$F$75*$E$11*$E$21,Quesería!$B$50*Quesería!$B$51),0)</f>
        <v>0</v>
      </c>
      <c r="G189" s="36" t="n">
        <f aca="false">IF(G$43=1,MIN($E$7*Quesería!$B$35*Quesería!$F$75*$E$11*$E$21,Quesería!$B$50*Quesería!$B$51),0)</f>
        <v>0</v>
      </c>
      <c r="H189" s="36" t="n">
        <f aca="false">IF(H$43=1,MIN($E$7*Quesería!$B$35*Quesería!$F$75*$E$11*$E$21,Quesería!$B$50*Quesería!$B$51),0)</f>
        <v>0</v>
      </c>
      <c r="I189" s="36" t="n">
        <f aca="false">IF(I$43=1,MIN($E$7*Quesería!$B$35*Quesería!$F$75*$E$11*$E$21,Quesería!$B$50*Quesería!$B$51),0)</f>
        <v>0</v>
      </c>
      <c r="J189" s="36" t="n">
        <f aca="false">IF(J$43=1,MIN($E$7*Quesería!$B$35*Quesería!$F$75*$E$11*$E$21,Quesería!$B$50*Quesería!$B$51),0)</f>
        <v>0</v>
      </c>
      <c r="K189" s="36" t="n">
        <f aca="false">IF(K$43=1,MIN($E$7*Quesería!$B$35*Quesería!$F$75*$E$11*$E$21,Quesería!$B$50*Quesería!$B$51),0)</f>
        <v>0</v>
      </c>
      <c r="L189" s="36" t="n">
        <f aca="false">IF(L$43=1,MIN($E$7*Quesería!$B$35*Quesería!$F$75*$E$11*$E$21,Quesería!$B$50*Quesería!$B$51),0)</f>
        <v>0</v>
      </c>
    </row>
    <row r="190" customFormat="false" ht="15" hidden="false" customHeight="false" outlineLevel="0" collapsed="false">
      <c r="A190" s="9" t="s">
        <v>293</v>
      </c>
      <c r="B190" s="36" t="n">
        <v>0</v>
      </c>
      <c r="C190" s="36" t="n">
        <f aca="false">$E$20*Quesería!$B$52*Quesería!$F$86*$E$11*$B$176/C176</f>
        <v>166.879881289715</v>
      </c>
      <c r="D190" s="36" t="n">
        <v>0</v>
      </c>
      <c r="E190" s="36" t="n">
        <v>0</v>
      </c>
      <c r="F190" s="36" t="n">
        <v>0</v>
      </c>
      <c r="G190" s="36" t="n">
        <v>0</v>
      </c>
      <c r="H190" s="36" t="n">
        <v>0</v>
      </c>
      <c r="I190" s="36" t="n">
        <v>0</v>
      </c>
      <c r="J190" s="36" t="n">
        <v>0</v>
      </c>
      <c r="K190" s="36" t="n">
        <v>0</v>
      </c>
      <c r="L190" s="36" t="n">
        <v>0</v>
      </c>
    </row>
    <row r="191" customFormat="false" ht="15" hidden="false" customHeight="false" outlineLevel="0" collapsed="false">
      <c r="A191" s="9" t="s">
        <v>294</v>
      </c>
      <c r="B191" s="36" t="n">
        <f aca="false">0</f>
        <v>0</v>
      </c>
      <c r="C191" s="36" t="n">
        <f aca="false">B181*B176/C176</f>
        <v>94.6170242743742</v>
      </c>
      <c r="D191" s="36" t="n">
        <f aca="false">C181*C176/D176</f>
        <v>117.321834287022</v>
      </c>
      <c r="E191" s="36" t="n">
        <f aca="false">D181*D176/E176</f>
        <v>0</v>
      </c>
      <c r="F191" s="36" t="n">
        <f aca="false">E181*E176/F176</f>
        <v>0</v>
      </c>
      <c r="G191" s="36" t="n">
        <f aca="false">F181*F176/G176</f>
        <v>0</v>
      </c>
      <c r="H191" s="36" t="n">
        <f aca="false">G181*G176/H176</f>
        <v>4.87179487179487</v>
      </c>
      <c r="I191" s="36" t="n">
        <f aca="false">H181*H176/I176</f>
        <v>6.44987026996795</v>
      </c>
      <c r="J191" s="36" t="n">
        <f aca="false">I181*I176/J176</f>
        <v>0</v>
      </c>
      <c r="K191" s="36" t="n">
        <f aca="false">J181*J176/K176</f>
        <v>0</v>
      </c>
      <c r="L191" s="36" t="n">
        <f aca="false">K181*K176/L176</f>
        <v>0</v>
      </c>
    </row>
    <row r="192" customFormat="false" ht="15" hidden="false" customHeight="false" outlineLevel="0" collapsed="false">
      <c r="A192" s="6" t="s">
        <v>86</v>
      </c>
      <c r="B192" s="35" t="n">
        <f aca="false">$E$17*(B184-B185-B186-0.5*B187-B188)-B189-B190-B191</f>
        <v>-35.2811382425363</v>
      </c>
      <c r="C192" s="35" t="n">
        <f aca="false">$E$17*(C184-C185-C186-0.5*C187-C188)-C189-C190-C191</f>
        <v>-273.443442930927</v>
      </c>
      <c r="D192" s="35" t="n">
        <f aca="false">$E$17*(D184-D185-D186-0.5*D187-D188)-D189-D190-D191</f>
        <v>-55.9277356881633</v>
      </c>
      <c r="E192" s="35" t="n">
        <f aca="false">$E$17*(E184-E185-E186-0.5*E187-E188)-E189-E190-E191</f>
        <v>75.7936041207186</v>
      </c>
      <c r="F192" s="35" t="n">
        <f aca="false">$E$17*(F184-F185-F186-0.5*F187-F188)-F189-F190-F191</f>
        <v>77.4738068902017</v>
      </c>
      <c r="G192" s="35" t="n">
        <f aca="false">$E$17*(G184-G185-G186-0.5*G187-G188)-G189-G190-G191</f>
        <v>79.0747216230395</v>
      </c>
      <c r="H192" s="35" t="n">
        <f aca="false">$E$17*(H184-H185-H186-0.5*H187-H188)-H189-H190-H191</f>
        <v>78.1500063602923</v>
      </c>
      <c r="I192" s="35" t="n">
        <f aca="false">$E$17*(I184-I185-I186-0.5*I187-I188)-I189-I190-I191</f>
        <v>75.6488946016313</v>
      </c>
      <c r="J192" s="35" t="n">
        <f aca="false">$E$17*(J184-J185-J186-0.5*J187-J188)-J189-J190-J191</f>
        <v>83.5668825890707</v>
      </c>
      <c r="K192" s="35" t="n">
        <f aca="false">$E$17*(K184-K185-K186-0.5*K187-K188)-K189-K190-K191</f>
        <v>84.986234826269</v>
      </c>
      <c r="L192" s="35" t="n">
        <f aca="false">$E$17*(L184-L185-L186-0.5*L187-L188)-L189-L190-L191</f>
        <v>86.3587356815181</v>
      </c>
    </row>
    <row r="193" customFormat="false" ht="15" hidden="false" customHeight="false" outlineLevel="0" collapsed="false">
      <c r="A193" s="9" t="s">
        <v>295</v>
      </c>
      <c r="B193" s="36" t="n">
        <f aca="false">(IF(B$43&gt;=1,Quesería!$G$107*IF(B$43=1,Quesería!$B$12,1),Quesería!$G$107*Quesería!$B$12*Quesería!$B$13/12*$E$23)+IF(B$43&gt;=2,Quesería!$G$108*$E$21*IF(B$43=2,Quesería!$B$12,1),0))*$E$10</f>
        <v>0</v>
      </c>
      <c r="C193" s="36" t="n">
        <f aca="false">(IF(C$43&gt;=1,Quesería!$G$107*IF(C$43=1,Quesería!$B$12,1),Quesería!$G$107*Quesería!$B$12*Quesería!$B$13/12*$E$23)+IF(C$43&gt;=2,Quesería!$G$108*$E$21*IF(C$43=2,Quesería!$B$12,1),0))*$E$10</f>
        <v>80.5550748136695</v>
      </c>
      <c r="D193" s="36" t="n">
        <f aca="false">(IF(D$43&gt;=1,Quesería!$G$107*IF(D$43=1,Quesería!$B$12,1),Quesería!$G$107*Quesería!$B$12*Quesería!$B$13/12*$E$23)+IF(D$43&gt;=2,Quesería!$G$108*$E$21*IF(D$43=2,Quesería!$B$12,1),0))*$E$10</f>
        <v>189.651223070959</v>
      </c>
      <c r="E193" s="36" t="n">
        <f aca="false">(IF(E$43&gt;=1,Quesería!$G$107*IF(E$43=1,Quesería!$B$12,1),Quesería!$G$107*Quesería!$B$12*Quesería!$B$13/12*$E$23)+IF(E$43&gt;=2,Quesería!$G$108*$E$21*IF(E$43=2,Quesería!$B$12,1),0))*$E$10</f>
        <v>217.066041955203</v>
      </c>
      <c r="F193" s="36" t="n">
        <f aca="false">(IF(F$43&gt;=1,Quesería!$G$107*IF(F$43=1,Quesería!$B$12,1),Quesería!$G$107*Quesería!$B$12*Quesería!$B$13/12*$E$23)+IF(F$43&gt;=2,Quesería!$G$108*$E$21*IF(F$43=2,Quesería!$B$12,1),0))*$E$10</f>
        <v>217.066041955203</v>
      </c>
      <c r="G193" s="36" t="n">
        <f aca="false">(IF(G$43&gt;=1,Quesería!$G$107*IF(G$43=1,Quesería!$B$12,1),Quesería!$G$107*Quesería!$B$12*Quesería!$B$13/12*$E$23)+IF(G$43&gt;=2,Quesería!$G$108*$E$21*IF(G$43=2,Quesería!$B$12,1),0))*$E$10</f>
        <v>217.066041955203</v>
      </c>
      <c r="H193" s="36" t="n">
        <f aca="false">(IF(H$43&gt;=1,Quesería!$G$107*IF(H$43=1,Quesería!$B$12,1),Quesería!$G$107*Quesería!$B$12*Quesería!$B$13/12*$E$23)+IF(H$43&gt;=2,Quesería!$G$108*$E$21*IF(H$43=2,Quesería!$B$12,1),0))*$E$10</f>
        <v>217.066041955203</v>
      </c>
      <c r="I193" s="36" t="n">
        <f aca="false">(IF(I$43&gt;=1,Quesería!$G$107*IF(I$43=1,Quesería!$B$12,1),Quesería!$G$107*Quesería!$B$12*Quesería!$B$13/12*$E$23)+IF(I$43&gt;=2,Quesería!$G$108*$E$21*IF(I$43=2,Quesería!$B$12,1),0))*$E$10</f>
        <v>217.066041955203</v>
      </c>
      <c r="J193" s="36" t="n">
        <f aca="false">(IF(J$43&gt;=1,Quesería!$G$107*IF(J$43=1,Quesería!$B$12,1),Quesería!$G$107*Quesería!$B$12*Quesería!$B$13/12*$E$23)+IF(J$43&gt;=2,Quesería!$G$108*$E$21*IF(J$43=2,Quesería!$B$12,1),0))*$E$10</f>
        <v>217.066041955203</v>
      </c>
      <c r="K193" s="36" t="n">
        <f aca="false">(IF(K$43&gt;=1,Quesería!$G$107*IF(K$43=1,Quesería!$B$12,1),Quesería!$G$107*Quesería!$B$12*Quesería!$B$13/12*$E$23)+IF(K$43&gt;=2,Quesería!$G$108*$E$21*IF(K$43=2,Quesería!$B$12,1),0))*$E$10</f>
        <v>217.066041955203</v>
      </c>
      <c r="L193" s="36" t="n">
        <f aca="false">(IF(L$43&gt;=1,Quesería!$G$107*IF(L$43=1,Quesería!$B$12,1),Quesería!$G$107*Quesería!$B$12*Quesería!$B$13/12*$E$23)+IF(L$43&gt;=2,Quesería!$G$108*$E$21*IF(L$43=2,Quesería!$B$12,1),0))*$E$10</f>
        <v>217.066041955203</v>
      </c>
    </row>
    <row r="194" customFormat="false" ht="15" hidden="false" customHeight="false" outlineLevel="0" collapsed="false">
      <c r="A194" s="6" t="s">
        <v>296</v>
      </c>
      <c r="B194" s="35" t="n">
        <f aca="false">(B193*(Quesería!$B$23+Quesería!$B$25*Quesería!$B$24)/365-B185*Quesería!$B$26/365)</f>
        <v>0</v>
      </c>
      <c r="C194" s="35" t="n">
        <f aca="false">(C193*(Quesería!$B$23+Quesería!$B$25*Quesería!$B$24)/365-C185*Quesería!$B$26/365)-(B193*(Quesería!$B$23+Quesería!$B$25*Quesería!$B$24)/365-B185*Quesería!$B$26/365)*B176/C176</f>
        <v>5.30219366616702</v>
      </c>
      <c r="D194" s="35" t="n">
        <f aca="false">(D193*(Quesería!$B$23+Quesería!$B$25*Quesería!$B$24)/365-D185*Quesería!$B$26/365)-(C193*(Quesería!$B$23+Quesería!$B$25*Quesería!$B$24)/365-C185*Quesería!$B$26/365)*C176/D176</f>
        <v>7.29151021833416</v>
      </c>
      <c r="E194" s="35" t="n">
        <f aca="false">(E193*(Quesería!$B$23+Quesería!$B$25*Quesería!$B$24)/365-E185*Quesería!$B$26/365)-(D193*(Quesería!$B$23+Quesería!$B$25*Quesería!$B$24)/365-D185*Quesería!$B$26/365)*D176/E176</f>
        <v>3.03681159467532</v>
      </c>
      <c r="F194" s="35" t="n">
        <f aca="false">(F193*(Quesería!$B$23+Quesería!$B$25*Quesería!$B$24)/365-F185*Quesería!$B$26/365)-(E193*(Quesería!$B$23+Quesería!$B$25*Quesería!$B$24)/365-E185*Quesería!$B$26/365)*E176/F176</f>
        <v>0.574099993113848</v>
      </c>
      <c r="G194" s="35" t="n">
        <f aca="false">(G193*(Quesería!$B$23+Quesería!$B$25*Quesería!$B$24)/365-G185*Quesería!$B$26/365)-(F193*(Quesería!$B$23+Quesería!$B$25*Quesería!$B$24)/365-F185*Quesería!$B$26/365)*F176/G176</f>
        <v>0.574099993113849</v>
      </c>
      <c r="H194" s="35" t="n">
        <f aca="false">(H193*(Quesería!$B$23+Quesería!$B$25*Quesería!$B$24)/365-H185*Quesería!$B$26/365)-(G193*(Quesería!$B$23+Quesería!$B$25*Quesería!$B$24)/365-G185*Quesería!$B$26/365)*G176/H176</f>
        <v>0.574099993113848</v>
      </c>
      <c r="I194" s="35" t="n">
        <f aca="false">(I193*(Quesería!$B$23+Quesería!$B$25*Quesería!$B$24)/365-I185*Quesería!$B$26/365)-(H193*(Quesería!$B$23+Quesería!$B$25*Quesería!$B$24)/365-H185*Quesería!$B$26/365)*H176/I176</f>
        <v>0.574099993113846</v>
      </c>
      <c r="J194" s="35" t="n">
        <f aca="false">(J193*(Quesería!$B$23+Quesería!$B$25*Quesería!$B$24)/365-J185*Quesería!$B$26/365)-(I193*(Quesería!$B$23+Quesería!$B$25*Quesería!$B$24)/365-I185*Quesería!$B$26/365)*I176/J176</f>
        <v>0.574099993113849</v>
      </c>
      <c r="K194" s="35" t="n">
        <f aca="false">(K193*(Quesería!$B$23+Quesería!$B$25*Quesería!$B$24)/365-K185*Quesería!$B$26/365)-(J193*(Quesería!$B$23+Quesería!$B$25*Quesería!$B$24)/365-J185*Quesería!$B$26/365)*J176/K176</f>
        <v>0.574099993113848</v>
      </c>
      <c r="L194" s="35" t="n">
        <f aca="false">-(K193*(Quesería!$B$23+Quesería!$B$25*Quesería!$B$24)/365-K185*Quesería!$B$26/365)*K176/L176</f>
        <v>-14.3524998278462</v>
      </c>
    </row>
    <row r="195" customFormat="false" ht="15" hidden="false" customHeight="false" outlineLevel="0" collapsed="false">
      <c r="A195" s="6" t="s">
        <v>297</v>
      </c>
      <c r="B195" s="35" t="n">
        <v>0</v>
      </c>
      <c r="C195" s="35" t="n">
        <v>0</v>
      </c>
      <c r="D195" s="35" t="n">
        <v>0</v>
      </c>
      <c r="E195" s="35" t="n">
        <v>0</v>
      </c>
      <c r="F195" s="35" t="n">
        <v>0</v>
      </c>
      <c r="G195" s="35" t="n">
        <v>0</v>
      </c>
      <c r="H195" s="35" t="n">
        <v>0</v>
      </c>
      <c r="I195" s="35" t="n">
        <v>0</v>
      </c>
      <c r="J195" s="35" t="n">
        <v>0</v>
      </c>
      <c r="K195" s="35" t="n">
        <v>0</v>
      </c>
      <c r="L195" s="35" t="n">
        <f aca="false">$E$8*Quesería!$B$39*(Quesería!$F$82+Quesería!$F$83*$E$21)*$E$11*(1-$E$17)</f>
        <v>56.0502928201667</v>
      </c>
    </row>
    <row r="196" customFormat="false" ht="15" hidden="false" customHeight="false" outlineLevel="0" collapsed="false">
      <c r="A196" s="5" t="s">
        <v>298</v>
      </c>
      <c r="B196" s="37" t="n">
        <f aca="false">B184-B185-B186-B187-B192-B179-B180-B181-B194+B195</f>
        <v>-689.196727567199</v>
      </c>
      <c r="C196" s="37" t="n">
        <f aca="false">C184-C185-C186-C187-C192-C179-C180-C181-C194+C195</f>
        <v>-421.266802194418</v>
      </c>
      <c r="D196" s="37" t="n">
        <f aca="false">D184-D185-D186-D187-D192-D179-D180-D181-D194+D195</f>
        <v>340.259825124479</v>
      </c>
      <c r="E196" s="37" t="n">
        <f aca="false">E184-E185-E186-E187-E192-E179-E180-E181-E194+E195</f>
        <v>249.458108965084</v>
      </c>
      <c r="F196" s="37" t="n">
        <f aca="false">F184-F185-F186-F187-F192-F179-F180-F181-F194+F195</f>
        <v>250.736851636289</v>
      </c>
      <c r="G196" s="37" t="n">
        <f aca="false">G184-G185-G186-G187-G192-G179-G180-G181-G194+G195</f>
        <v>217.774385245107</v>
      </c>
      <c r="H196" s="37" t="n">
        <f aca="false">H184-H185-H186-H187-H192-H179-H180-H181-H194+H195</f>
        <v>208.880107947902</v>
      </c>
      <c r="I196" s="37" t="n">
        <f aca="false">I184-I185-I186-I187-I192-I179-I180-I181-I194+I195</f>
        <v>254.065402142827</v>
      </c>
      <c r="J196" s="37" t="n">
        <f aca="false">J184-J185-J186-J187-J192-J179-J180-J181-J194+J195</f>
        <v>246.6536473548</v>
      </c>
      <c r="K196" s="37" t="n">
        <f aca="false">K184-K185-K186-K187-K192-K179-K180-K181-K194+K195</f>
        <v>245.743059483011</v>
      </c>
      <c r="L196" s="37" t="n">
        <f aca="false">L184-L185-L186-L187-L192-L179-L180-L181-L194+L195</f>
        <v>315.858759456126</v>
      </c>
    </row>
    <row r="197" customFormat="false" ht="15" hidden="false" customHeight="false" outlineLevel="0" collapsed="false">
      <c r="A197" s="9" t="s">
        <v>299</v>
      </c>
      <c r="B197" s="36" t="n">
        <f aca="false">B196*B176</f>
        <v>-730.548531221231</v>
      </c>
      <c r="C197" s="36" t="n">
        <f aca="false">C196*C176</f>
        <v>-468.869950842387</v>
      </c>
      <c r="D197" s="36" t="n">
        <f aca="false">D196*D176</f>
        <v>395.751098704905</v>
      </c>
      <c r="E197" s="36" t="n">
        <f aca="false">E196*E176</f>
        <v>301.746624052281</v>
      </c>
      <c r="F197" s="36" t="n">
        <f aca="false">F196*F176</f>
        <v>315.425138005962</v>
      </c>
      <c r="G197" s="36" t="n">
        <f aca="false">G196*G176</f>
        <v>284.916938514219</v>
      </c>
      <c r="H197" s="36" t="n">
        <f aca="false">H196*H176</f>
        <v>284.211662626415</v>
      </c>
      <c r="I197" s="36" t="n">
        <f aca="false">I196*I176</f>
        <v>359.520516869641</v>
      </c>
      <c r="J197" s="36" t="n">
        <f aca="false">J196*J176</f>
        <v>362.993653910916</v>
      </c>
      <c r="K197" s="36" t="n">
        <f aca="false">K196*K176</f>
        <v>376.119708438521</v>
      </c>
      <c r="L197" s="36" t="n">
        <f aca="false">L196*L176</f>
        <v>502.772012991512</v>
      </c>
    </row>
    <row r="198" customFormat="false" ht="15" hidden="false" customHeight="false" outlineLevel="0" collapsed="false">
      <c r="A198" s="6" t="s">
        <v>300</v>
      </c>
      <c r="B198" s="35" t="n">
        <f aca="false">B196</f>
        <v>-689.196727567199</v>
      </c>
      <c r="C198" s="35" t="n">
        <f aca="false">B198+C196</f>
        <v>-1110.46352976162</v>
      </c>
      <c r="D198" s="35" t="n">
        <f aca="false">C198+D196</f>
        <v>-770.203704637138</v>
      </c>
      <c r="E198" s="35" t="n">
        <f aca="false">D198+E196</f>
        <v>-520.745595672054</v>
      </c>
      <c r="F198" s="35" t="n">
        <f aca="false">E198+F196</f>
        <v>-270.008744035765</v>
      </c>
      <c r="G198" s="35" t="n">
        <f aca="false">F198+G196</f>
        <v>-52.2343587906572</v>
      </c>
      <c r="H198" s="35" t="n">
        <f aca="false">G198+H196</f>
        <v>156.645749157245</v>
      </c>
      <c r="I198" s="35" t="n">
        <f aca="false">H198+I196</f>
        <v>410.711151300073</v>
      </c>
      <c r="J198" s="35" t="n">
        <f aca="false">I198+J196</f>
        <v>657.364798654873</v>
      </c>
      <c r="K198" s="35" t="n">
        <f aca="false">J198+K196</f>
        <v>903.107858137884</v>
      </c>
      <c r="L198" s="35" t="n">
        <f aca="false">K198+L196</f>
        <v>1218.96661759401</v>
      </c>
    </row>
    <row r="199" customFormat="false" ht="15" hidden="false" customHeight="false" outlineLevel="0" collapsed="false">
      <c r="A199" s="9" t="s">
        <v>301</v>
      </c>
      <c r="B199" s="38" t="n">
        <v>0</v>
      </c>
      <c r="C199" s="38" t="n">
        <f aca="false">IF(AND(B198&lt;0,C198&gt;=0),B$43+(-B198)/C196,0)</f>
        <v>0</v>
      </c>
      <c r="D199" s="38" t="n">
        <f aca="false">IF(AND(C198&lt;0,D198&gt;=0),C$43+(-C198)/D196,0)</f>
        <v>0</v>
      </c>
      <c r="E199" s="38" t="n">
        <f aca="false">IF(AND(D198&lt;0,E198&gt;=0),D$43+(-D198)/E196,0)</f>
        <v>0</v>
      </c>
      <c r="F199" s="38" t="n">
        <f aca="false">IF(AND(E198&lt;0,F198&gt;=0),E$43+(-E198)/F196,0)</f>
        <v>0</v>
      </c>
      <c r="G199" s="38" t="n">
        <f aca="false">IF(AND(F198&lt;0,G198&gt;=0),F$43+(-F198)/G196,0)</f>
        <v>0</v>
      </c>
      <c r="H199" s="38" t="n">
        <f aca="false">IF(AND(G198&lt;0,H198&gt;=0),G$43+(-G198)/H196,0)</f>
        <v>5.2500686125827</v>
      </c>
      <c r="I199" s="38" t="n">
        <f aca="false">IF(AND(H198&lt;0,I198&gt;=0),H$43+(-H198)/I196,0)</f>
        <v>0</v>
      </c>
      <c r="J199" s="38" t="n">
        <f aca="false">IF(AND(I198&lt;0,J198&gt;=0),I$43+(-I198)/J196,0)</f>
        <v>0</v>
      </c>
      <c r="K199" s="38" t="n">
        <f aca="false">IF(AND(J198&lt;0,K198&gt;=0),J$43+(-J198)/K196,0)</f>
        <v>0</v>
      </c>
      <c r="L199" s="38" t="n">
        <f aca="false">IF(AND(K198&lt;0,L198&gt;=0),K$43+(-K198)/L196,0)</f>
        <v>0</v>
      </c>
    </row>
    <row r="200" customFormat="false" ht="15" hidden="false" customHeight="false" outlineLevel="0" collapsed="false">
      <c r="A200" s="9" t="s">
        <v>302</v>
      </c>
      <c r="B200" s="34" t="n">
        <f aca="false">(B176/$B$176)/(1+$E$25)^B$43</f>
        <v>1</v>
      </c>
      <c r="C200" s="34" t="n">
        <f aca="false">(C176/$B$176)/(1+$E$25)^C$43</f>
        <v>0.921735848062819</v>
      </c>
      <c r="D200" s="34" t="n">
        <f aca="false">(D176/$B$176)/(1+$E$25)^D$43</f>
        <v>0.845551273729778</v>
      </c>
      <c r="E200" s="34" t="n">
        <f aca="false">(E176/$B$176)/(1+$E$25)^E$43</f>
        <v>0.771952302082657</v>
      </c>
      <c r="F200" s="34" t="n">
        <f aca="false">(F176/$B$176)/(1+$E$25)^F$43</f>
        <v>0.704759575444925</v>
      </c>
      <c r="G200" s="34" t="n">
        <f aca="false">(G176/$B$176)/(1+$E$25)^G$43</f>
        <v>0.643415477667852</v>
      </c>
      <c r="H200" s="34" t="n">
        <f aca="false">(H176/$B$176)/(1+$E$25)^H$43</f>
        <v>0.587410928955732</v>
      </c>
      <c r="I200" s="34" t="n">
        <f aca="false">(I176/$B$176)/(1+$E$25)^I$43</f>
        <v>0.536281161136071</v>
      </c>
      <c r="J200" s="34" t="n">
        <f aca="false">(J176/$B$176)/(1+$E$25)^J$43</f>
        <v>0.489601860661204</v>
      </c>
      <c r="K200" s="34" t="n">
        <f aca="false">(K176/$B$176)/(1+$E$25)^K$43</f>
        <v>0.446985647333025</v>
      </c>
      <c r="L200" s="34" t="n">
        <f aca="false">(L176/$B$176)/(1+$E$25)^L$43</f>
        <v>0.408078859528639</v>
      </c>
    </row>
    <row r="201" customFormat="false" ht="15" hidden="false" customHeight="false" outlineLevel="0" collapsed="false">
      <c r="A201" s="9" t="s">
        <v>303</v>
      </c>
      <c r="B201" s="36" t="n">
        <f aca="false">B196*B200</f>
        <v>-689.196727567199</v>
      </c>
      <c r="C201" s="36" t="n">
        <f aca="false">C196*C200</f>
        <v>-388.296713181384</v>
      </c>
      <c r="D201" s="36" t="n">
        <f aca="false">D196*D200</f>
        <v>287.707128533075</v>
      </c>
      <c r="E201" s="36" t="n">
        <f aca="false">E196*E200</f>
        <v>192.569761488783</v>
      </c>
      <c r="F201" s="36" t="n">
        <f aca="false">F196*F200</f>
        <v>176.709197107588</v>
      </c>
      <c r="G201" s="36" t="n">
        <f aca="false">G196*G200</f>
        <v>140.119410106304</v>
      </c>
      <c r="H201" s="36" t="n">
        <f aca="false">H196*H200</f>
        <v>122.698458250051</v>
      </c>
      <c r="I201" s="36" t="n">
        <f aca="false">I196*I200</f>
        <v>136.250488865658</v>
      </c>
      <c r="J201" s="36" t="n">
        <f aca="false">J196*J200</f>
        <v>120.762084683783</v>
      </c>
      <c r="K201" s="36" t="n">
        <f aca="false">K196*K200</f>
        <v>109.843620520612</v>
      </c>
      <c r="L201" s="36" t="n">
        <f aca="false">L196*L200</f>
        <v>128.895282330986</v>
      </c>
    </row>
    <row r="202" customFormat="false" ht="15" hidden="false" customHeight="false" outlineLevel="0" collapsed="false">
      <c r="A202" s="9" t="s">
        <v>304</v>
      </c>
      <c r="B202" s="36" t="n">
        <f aca="false">B201</f>
        <v>-689.196727567199</v>
      </c>
      <c r="C202" s="36" t="n">
        <f aca="false">B202+C201</f>
        <v>-1077.49344074858</v>
      </c>
      <c r="D202" s="36" t="n">
        <f aca="false">C202+D201</f>
        <v>-789.786312215508</v>
      </c>
      <c r="E202" s="36" t="n">
        <f aca="false">D202+E201</f>
        <v>-597.216550726725</v>
      </c>
      <c r="F202" s="36" t="n">
        <f aca="false">E202+F201</f>
        <v>-420.507353619136</v>
      </c>
      <c r="G202" s="36" t="n">
        <f aca="false">F202+G201</f>
        <v>-280.387943512833</v>
      </c>
      <c r="H202" s="36" t="n">
        <f aca="false">G202+H201</f>
        <v>-157.689485262782</v>
      </c>
      <c r="I202" s="36" t="n">
        <f aca="false">H202+I201</f>
        <v>-21.4389963971235</v>
      </c>
      <c r="J202" s="36" t="n">
        <f aca="false">I202+J201</f>
        <v>99.3230882866591</v>
      </c>
      <c r="K202" s="36" t="n">
        <f aca="false">J202+K201</f>
        <v>209.166708807271</v>
      </c>
      <c r="L202" s="36" t="n">
        <f aca="false">K202+L201</f>
        <v>338.061991138257</v>
      </c>
    </row>
    <row r="203" customFormat="false" ht="15" hidden="false" customHeight="false" outlineLevel="0" collapsed="false">
      <c r="A203" s="9" t="s">
        <v>305</v>
      </c>
      <c r="B203" s="38" t="n">
        <v>0</v>
      </c>
      <c r="C203" s="38" t="n">
        <f aca="false">IF(AND(B202&lt;0,C202&gt;=0),B$43+(-B202)/C201,0)</f>
        <v>0</v>
      </c>
      <c r="D203" s="38" t="n">
        <f aca="false">IF(AND(C202&lt;0,D202&gt;=0),C$43+(-C202)/D201,0)</f>
        <v>0</v>
      </c>
      <c r="E203" s="38" t="n">
        <f aca="false">IF(AND(D202&lt;0,E202&gt;=0),D$43+(-D202)/E201,0)</f>
        <v>0</v>
      </c>
      <c r="F203" s="38" t="n">
        <f aca="false">IF(AND(E202&lt;0,F202&gt;=0),E$43+(-E202)/F201,0)</f>
        <v>0</v>
      </c>
      <c r="G203" s="38" t="n">
        <f aca="false">IF(AND(F202&lt;0,G202&gt;=0),F$43+(-F202)/G201,0)</f>
        <v>0</v>
      </c>
      <c r="H203" s="38" t="n">
        <f aca="false">IF(AND(G202&lt;0,H202&gt;=0),G$43+(-G202)/H201,0)</f>
        <v>0</v>
      </c>
      <c r="I203" s="38" t="n">
        <f aca="false">IF(AND(H202&lt;0,I202&gt;=0),H$43+(-H202)/I201,0)</f>
        <v>0</v>
      </c>
      <c r="J203" s="38" t="n">
        <f aca="false">IF(AND(I202&lt;0,J202&gt;=0),I$43+(-I202)/J201,0)</f>
        <v>7.17753085708368</v>
      </c>
      <c r="K203" s="38" t="n">
        <f aca="false">IF(AND(J202&lt;0,K202&gt;=0),J$43+(-J202)/K201,0)</f>
        <v>0</v>
      </c>
      <c r="L203" s="38" t="n">
        <f aca="false">IF(AND(K202&lt;0,L202&gt;=0),K$43+(-K202)/L201,0)</f>
        <v>0</v>
      </c>
    </row>
    <row r="204" customFormat="false" ht="15" hidden="false" customHeight="false" outlineLevel="0" collapsed="false">
      <c r="A204" s="9" t="s">
        <v>306</v>
      </c>
      <c r="B204" s="36" t="n">
        <f aca="false">IF(B$43&lt;0,0,(Quesería!$B$40*$B$179*$B$176)*(1-MAX(0,MIN(B$43-0-Quesería!$B$43,(Quesería!$B$42-Quesería!$B$43)))/(Quesería!$B$42-Quesería!$B$43)))+IF(B$43&lt;1,0,(Quesería!$B$40*$C$179*$C$176)*(1-MAX(0,MIN(B$43-1-Quesería!$B$43,(Quesería!$B$42-Quesería!$B$43)))/(Quesería!$B$42-Quesería!$B$43)))</f>
        <v>461.704769247221</v>
      </c>
      <c r="C204" s="36" t="n">
        <f aca="false">IF(C$43&lt;0,0,(Quesería!$B$40*$B$179*$B$176)*(1-MAX(0,MIN(C$43-0-Quesería!$B$43,(Quesería!$B$42-Quesería!$B$43)))/(Quesería!$B$42-Quesería!$B$43)))+IF(C$43&lt;1,0,(Quesería!$B$40*$C$179*$C$176)*(1-MAX(0,MIN(C$43-1-Quesería!$B$43,(Quesería!$B$42-Quesería!$B$43)))/(Quesería!$B$42-Quesería!$B$43)))</f>
        <v>964.434695258825</v>
      </c>
      <c r="D204" s="36" t="n">
        <f aca="false">IF(D$43&lt;0,0,(Quesería!$B$40*$B$179*$B$176)*(1-MAX(0,MIN(D$43-0-Quesería!$B$43,(Quesería!$B$42-Quesería!$B$43)))/(Quesería!$B$42-Quesería!$B$43)))+IF(D$43&lt;1,0,(Quesería!$B$40*$C$179*$C$176)*(1-MAX(0,MIN(D$43-1-Quesería!$B$43,(Quesería!$B$42-Quesería!$B$43)))/(Quesería!$B$42-Quesería!$B$43)))</f>
        <v>887.483900384289</v>
      </c>
      <c r="E204" s="36" t="n">
        <f aca="false">IF(E$43&lt;0,0,(Quesería!$B$40*$B$179*$B$176)*(1-MAX(0,MIN(E$43-0-Quesería!$B$43,(Quesería!$B$42-Quesería!$B$43)))/(Quesería!$B$42-Quesería!$B$43)))+IF(E$43&lt;1,0,(Quesería!$B$40*$C$179*$C$176)*(1-MAX(0,MIN(E$43-1-Quesería!$B$43,(Quesería!$B$42-Quesería!$B$43)))/(Quesería!$B$42-Quesería!$B$43)))</f>
        <v>726.744784507818</v>
      </c>
      <c r="F204" s="36" t="n">
        <f aca="false">IF(F$43&lt;0,0,(Quesería!$B$40*$B$179*$B$176)*(1-MAX(0,MIN(F$43-0-Quesería!$B$43,(Quesería!$B$42-Quesería!$B$43)))/(Quesería!$B$42-Quesería!$B$43)))+IF(F$43&lt;1,0,(Quesería!$B$40*$C$179*$C$176)*(1-MAX(0,MIN(F$43-1-Quesería!$B$43,(Quesería!$B$42-Quesería!$B$43)))/(Quesería!$B$42-Quesería!$B$43)))</f>
        <v>566.005668631347</v>
      </c>
      <c r="G204" s="36" t="n">
        <f aca="false">IF(G$43&lt;0,0,(Quesería!$B$40*$B$179*$B$176)*(1-MAX(0,MIN(G$43-0-Quesería!$B$43,(Quesería!$B$42-Quesería!$B$43)))/(Quesería!$B$42-Quesería!$B$43)))+IF(G$43&lt;1,0,(Quesería!$B$40*$C$179*$C$176)*(1-MAX(0,MIN(G$43-1-Quesería!$B$43,(Quesería!$B$42-Quesería!$B$43)))/(Quesería!$B$42-Quesería!$B$43)))</f>
        <v>405.266552754876</v>
      </c>
      <c r="H204" s="36" t="n">
        <f aca="false">IF(H$43&lt;0,0,(Quesería!$B$40*$B$179*$B$176)*(1-MAX(0,MIN(H$43-0-Quesería!$B$43,(Quesería!$B$42-Quesería!$B$43)))/(Quesería!$B$42-Quesería!$B$43)))+IF(H$43&lt;1,0,(Quesería!$B$40*$C$179*$C$176)*(1-MAX(0,MIN(H$43-1-Quesería!$B$43,(Quesería!$B$42-Quesería!$B$43)))/(Quesería!$B$42-Quesería!$B$43)))</f>
        <v>244.527436878405</v>
      </c>
      <c r="I204" s="36" t="n">
        <f aca="false">IF(I$43&lt;0,0,(Quesería!$B$40*$B$179*$B$176)*(1-MAX(0,MIN(I$43-0-Quesería!$B$43,(Quesería!$B$42-Quesería!$B$43)))/(Quesería!$B$42-Quesería!$B$43)))+IF(I$43&lt;1,0,(Quesería!$B$40*$C$179*$C$176)*(1-MAX(0,MIN(I$43-1-Quesería!$B$43,(Quesería!$B$42-Quesería!$B$43)))/(Quesería!$B$42-Quesería!$B$43)))</f>
        <v>83.788321001934</v>
      </c>
      <c r="J204" s="36" t="n">
        <f aca="false">IF(J$43&lt;0,0,(Quesería!$B$40*$B$179*$B$176)*(1-MAX(0,MIN(J$43-0-Quesería!$B$43,(Quesería!$B$42-Quesería!$B$43)))/(Quesería!$B$42-Quesería!$B$43)))+IF(J$43&lt;1,0,(Quesería!$B$40*$C$179*$C$176)*(1-MAX(0,MIN(J$43-1-Quesería!$B$43,(Quesería!$B$42-Quesería!$B$43)))/(Quesería!$B$42-Quesería!$B$43)))</f>
        <v>0</v>
      </c>
      <c r="K204" s="36" t="n">
        <f aca="false">IF(K$43&lt;0,0,(Quesería!$B$40*$B$179*$B$176)*(1-MAX(0,MIN(K$43-0-Quesería!$B$43,(Quesería!$B$42-Quesería!$B$43)))/(Quesería!$B$42-Quesería!$B$43)))+IF(K$43&lt;1,0,(Quesería!$B$40*$C$179*$C$176)*(1-MAX(0,MIN(K$43-1-Quesería!$B$43,(Quesería!$B$42-Quesería!$B$43)))/(Quesería!$B$42-Quesería!$B$43)))</f>
        <v>0</v>
      </c>
      <c r="L204" s="36" t="n">
        <f aca="false">IF(L$43&lt;0,0,(Quesería!$B$40*$B$179*$B$176)*(1-MAX(0,MIN(L$43-0-Quesería!$B$43,(Quesería!$B$42-Quesería!$B$43)))/(Quesería!$B$42-Quesería!$B$43)))+IF(L$43&lt;1,0,(Quesería!$B$40*$C$179*$C$176)*(1-MAX(0,MIN(L$43-1-Quesería!$B$43,(Quesería!$B$42-Quesería!$B$43)))/(Quesería!$B$42-Quesería!$B$43)))</f>
        <v>0</v>
      </c>
    </row>
    <row r="205" customFormat="false" ht="15" hidden="false" customHeight="false" outlineLevel="0" collapsed="false">
      <c r="A205" s="6" t="s">
        <v>307</v>
      </c>
      <c r="B205" s="35" t="n">
        <f aca="false">Quesería!$B$40*B179</f>
        <v>435.57053702568</v>
      </c>
      <c r="C205" s="35" t="n">
        <f aca="false">Quesería!$B$40*C179</f>
        <v>451.689062005035</v>
      </c>
      <c r="D205" s="35" t="n">
        <f aca="false">Quesería!$B$40*D179</f>
        <v>0</v>
      </c>
      <c r="E205" s="35" t="n">
        <f aca="false">Quesería!$B$40*E179</f>
        <v>0</v>
      </c>
      <c r="F205" s="35" t="n">
        <f aca="false">Quesería!$B$40*F179</f>
        <v>0</v>
      </c>
      <c r="G205" s="35" t="n">
        <f aca="false">Quesería!$B$40*G179</f>
        <v>0</v>
      </c>
      <c r="H205" s="35" t="n">
        <f aca="false">Quesería!$B$40*H179</f>
        <v>0</v>
      </c>
      <c r="I205" s="35" t="n">
        <f aca="false">Quesería!$B$40*I179</f>
        <v>0</v>
      </c>
      <c r="J205" s="35" t="n">
        <f aca="false">Quesería!$B$40*J179</f>
        <v>0</v>
      </c>
      <c r="K205" s="35" t="n">
        <f aca="false">Quesería!$B$40*K179</f>
        <v>0</v>
      </c>
      <c r="L205" s="35" t="n">
        <f aca="false">Quesería!$B$40*L179</f>
        <v>0</v>
      </c>
    </row>
    <row r="206" customFormat="false" ht="15" hidden="false" customHeight="false" outlineLevel="0" collapsed="false">
      <c r="A206" s="6" t="s">
        <v>308</v>
      </c>
      <c r="B206" s="35" t="n">
        <f aca="false">(IF(AND(B$43&gt;0,B$43&lt;=0+Quesería!$B$42),($E$14+$E$24)*((Quesería!$B$40*$B$179*$B$176)-(Quesería!$B$40*$B$179*$B$176)/(Quesería!$B$42-Quesería!$B$43)*MAX(0,MIN(B$43-1-0-Quesería!$B$43,(Quesería!$B$42-Quesería!$B$43)))),0)+IF(AND(B$43&gt;1,B$43&lt;=1+Quesería!$B$42),($E$14+$E$24)*((Quesería!$B$40*$C$179*$C$176)-(Quesería!$B$40*$C$179*$C$176)/(Quesería!$B$42-Quesería!$B$43)*MAX(0,MIN(B$43-1-1-Quesería!$B$43,(Quesería!$B$42-Quesería!$B$43)))),0))*B178</f>
        <v>0</v>
      </c>
      <c r="C206" s="35" t="n">
        <f aca="false">(IF(AND(C$43&gt;0,C$43&lt;=0+Quesería!$B$42),($E$14+$E$24)*((Quesería!$B$40*$B$179*$B$176)-(Quesería!$B$40*$B$179*$B$176)/(Quesería!$B$42-Quesería!$B$43)*MAX(0,MIN(C$43-1-0-Quesería!$B$43,(Quesería!$B$42-Quesería!$B$43)))),0)+IF(AND(C$43&gt;1,C$43&lt;=1+Quesería!$B$42),($E$14+$E$24)*((Quesería!$B$40*$C$179*$C$176)-(Quesería!$B$40*$C$179*$C$176)/(Quesería!$B$42-Quesería!$B$43)*MAX(0,MIN(C$43-1-1-Quesería!$B$43,(Quesería!$B$42-Quesería!$B$43)))),0))*C178</f>
        <v>58.4909006863056</v>
      </c>
      <c r="D206" s="35" t="n">
        <f aca="false">(IF(AND(D$43&gt;0,D$43&lt;=0+Quesería!$B$42),($E$14+$E$24)*((Quesería!$B$40*$B$179*$B$176)-(Quesería!$B$40*$B$179*$B$176)/(Quesería!$B$42-Quesería!$B$43)*MAX(0,MIN(D$43-1-0-Quesería!$B$43,(Quesería!$B$42-Quesería!$B$43)))),0)+IF(AND(D$43&gt;1,D$43&lt;=1+Quesería!$B$42),($E$14+$E$24)*((Quesería!$B$40*$C$179*$C$176)-(Quesería!$B$40*$C$179*$C$176)/(Quesería!$B$42-Quesería!$B$43)*MAX(0,MIN(D$43-1-1-Quesería!$B$43,(Quesería!$B$42-Quesería!$B$43)))),0))*D178</f>
        <v>116.917759262216</v>
      </c>
      <c r="E206" s="35" t="n">
        <f aca="false">(IF(AND(E$43&gt;0,E$43&lt;=0+Quesería!$B$42),($E$14+$E$24)*((Quesería!$B$40*$B$179*$B$176)-(Quesería!$B$40*$B$179*$B$176)/(Quesería!$B$42-Quesería!$B$43)*MAX(0,MIN(E$43-1-0-Quesería!$B$43,(Quesería!$B$42-Quesería!$B$43)))),0)+IF(AND(E$43&gt;1,E$43&lt;=1+Quesería!$B$42),($E$14+$E$24)*((Quesería!$B$40*$C$179*$C$176)-(Quesería!$B$40*$C$179*$C$176)/(Quesería!$B$42-Quesería!$B$43)*MAX(0,MIN(E$43-1-1-Quesería!$B$43,(Quesería!$B$42-Quesería!$B$43)))),0))*E178</f>
        <v>103.451025930528</v>
      </c>
      <c r="F206" s="35" t="n">
        <f aca="false">(IF(AND(F$43&gt;0,F$43&lt;=0+Quesería!$B$42),($E$14+$E$24)*((Quesería!$B$40*$B$179*$B$176)-(Quesería!$B$40*$B$179*$B$176)/(Quesería!$B$42-Quesería!$B$43)*MAX(0,MIN(F$43-1-0-Quesería!$B$43,(Quesería!$B$42-Quesería!$B$43)))),0)+IF(AND(F$43&gt;1,F$43&lt;=1+Quesería!$B$42),($E$14+$E$24)*((Quesería!$B$40*$C$179*$C$176)-(Quesería!$B$40*$C$179*$C$176)/(Quesería!$B$42-Quesería!$B$43)*MAX(0,MIN(F$43-1-1-Quesería!$B$43,(Quesería!$B$42-Quesería!$B$43)))),0))*F178</f>
        <v>81.455966861483</v>
      </c>
      <c r="G206" s="35" t="n">
        <f aca="false">(IF(AND(G$43&gt;0,G$43&lt;=0+Quesería!$B$42),($E$14+$E$24)*((Quesería!$B$40*$B$179*$B$176)-(Quesería!$B$40*$B$179*$B$176)/(Quesería!$B$42-Quesería!$B$43)*MAX(0,MIN(G$43-1-0-Quesería!$B$43,(Quesería!$B$42-Quesería!$B$43)))),0)+IF(AND(G$43&gt;1,G$43&lt;=1+Quesería!$B$42),($E$14+$E$24)*((Quesería!$B$40*$C$179*$C$176)-(Quesería!$B$40*$C$179*$C$176)/(Quesería!$B$42-Quesería!$B$43)*MAX(0,MIN(G$43-1-1-Quesería!$B$43,(Quesería!$B$42-Quesería!$B$43)))),0))*G178</f>
        <v>60.9998013511061</v>
      </c>
      <c r="H206" s="35" t="n">
        <f aca="false">(IF(AND(H$43&gt;0,H$43&lt;=0+Quesería!$B$42),($E$14+$E$24)*((Quesería!$B$40*$B$179*$B$176)-(Quesería!$B$40*$B$179*$B$176)/(Quesería!$B$42-Quesería!$B$43)*MAX(0,MIN(H$43-1-0-Quesería!$B$43,(Quesería!$B$42-Quesería!$B$43)))),0)+IF(AND(H$43&gt;1,H$43&lt;=1+Quesería!$B$42),($E$14+$E$24)*((Quesería!$B$40*$C$179*$C$176)-(Quesería!$B$40*$C$179*$C$176)/(Quesería!$B$42-Quesería!$B$43)*MAX(0,MIN(H$43-1-1-Quesería!$B$43,(Quesería!$B$42-Quesería!$B$43)))),0))*H178</f>
        <v>41.9966900414366</v>
      </c>
      <c r="I206" s="35" t="n">
        <f aca="false">(IF(AND(I$43&gt;0,I$43&lt;=0+Quesería!$B$42),($E$14+$E$24)*((Quesería!$B$40*$B$179*$B$176)-(Quesería!$B$40*$B$179*$B$176)/(Quesería!$B$42-Quesería!$B$43)*MAX(0,MIN(I$43-1-0-Quesería!$B$43,(Quesería!$B$42-Quesería!$B$43)))),0)+IF(AND(I$43&gt;1,I$43&lt;=1+Quesería!$B$42),($E$14+$E$24)*((Quesería!$B$40*$C$179*$C$176)-(Quesería!$B$40*$C$179*$C$176)/(Quesería!$B$42-Quesería!$B$43)*MAX(0,MIN(I$43-1-1-Quesería!$B$43,(Quesería!$B$42-Quesería!$B$43)))),0))*I178</f>
        <v>24.3651201322873</v>
      </c>
      <c r="J206" s="35" t="n">
        <f aca="false">(IF(AND(J$43&gt;0,J$43&lt;=0+Quesería!$B$42),($E$14+$E$24)*((Quesería!$B$40*$B$179*$B$176)-(Quesería!$B$40*$B$179*$B$176)/(Quesería!$B$42-Quesería!$B$43)*MAX(0,MIN(J$43-1-0-Quesería!$B$43,(Quesería!$B$42-Quesería!$B$43)))),0)+IF(AND(J$43&gt;1,J$43&lt;=1+Quesería!$B$42),($E$14+$E$24)*((Quesería!$B$40*$C$179*$C$176)-(Quesería!$B$40*$C$179*$C$176)/(Quesería!$B$42-Quesería!$B$43)*MAX(0,MIN(J$43-1-1-Quesería!$B$43,(Quesería!$B$42-Quesería!$B$43)))),0))*J178</f>
        <v>8.02769955040774</v>
      </c>
      <c r="K206" s="35" t="n">
        <f aca="false">(IF(AND(K$43&gt;0,K$43&lt;=0+Quesería!$B$42),($E$14+$E$24)*((Quesería!$B$40*$B$179*$B$176)-(Quesería!$B$40*$B$179*$B$176)/(Quesería!$B$42-Quesería!$B$43)*MAX(0,MIN(K$43-1-0-Quesería!$B$43,(Quesería!$B$42-Quesería!$B$43)))),0)+IF(AND(K$43&gt;1,K$43&lt;=1+Quesería!$B$42),($E$14+$E$24)*((Quesería!$B$40*$C$179*$C$176)-(Quesería!$B$40*$C$179*$C$176)/(Quesería!$B$42-Quesería!$B$43)*MAX(0,MIN(K$43-1-1-Quesería!$B$43,(Quesería!$B$42-Quesería!$B$43)))),0))*K178</f>
        <v>0</v>
      </c>
      <c r="L206" s="35" t="n">
        <f aca="false">(IF(AND(L$43&gt;0,L$43&lt;=0+Quesería!$B$42),($E$14+$E$24)*((Quesería!$B$40*$B$179*$B$176)-(Quesería!$B$40*$B$179*$B$176)/(Quesería!$B$42-Quesería!$B$43)*MAX(0,MIN(L$43-1-0-Quesería!$B$43,(Quesería!$B$42-Quesería!$B$43)))),0)+IF(AND(L$43&gt;1,L$43&lt;=1+Quesería!$B$42),($E$14+$E$24)*((Quesería!$B$40*$C$179*$C$176)-(Quesería!$B$40*$C$179*$C$176)/(Quesería!$B$42-Quesería!$B$43)*MAX(0,MIN(L$43-1-1-Quesería!$B$43,(Quesería!$B$42-Quesería!$B$43)))),0))*L178</f>
        <v>0</v>
      </c>
    </row>
    <row r="207" customFormat="false" ht="15" hidden="false" customHeight="false" outlineLevel="0" collapsed="false">
      <c r="A207" s="6" t="s">
        <v>309</v>
      </c>
      <c r="B207" s="35" t="n">
        <f aca="false">(IF(AND(B$43&gt;0+Quesería!$B$43,B$43&lt;=0+Quesería!$B$42),(Quesería!$B$40*$B$179*$B$176)/(Quesería!$B$42-Quesería!$B$43),0)+IF(AND(B$43&gt;1+Quesería!$B$43,B$43&lt;=1+Quesería!$B$42),(Quesería!$B$40*$C$179*$C$176)/(Quesería!$B$42-Quesería!$B$43),0))*B178</f>
        <v>0</v>
      </c>
      <c r="C207" s="35" t="n">
        <f aca="false">(IF(AND(C$43&gt;0+Quesería!$B$43,C$43&lt;=0+Quesería!$B$42),(Quesería!$B$40*$B$179*$B$176)/(Quesería!$B$42-Quesería!$B$43),0)+IF(AND(C$43&gt;1+Quesería!$B$43,C$43&lt;=1+Quesería!$B$42),(Quesería!$B$40*$C$179*$C$176)/(Quesería!$B$42-Quesería!$B$43),0))*C178</f>
        <v>0</v>
      </c>
      <c r="D207" s="35" t="n">
        <f aca="false">(IF(AND(D$43&gt;0+Quesería!$B$43,D$43&lt;=0+Quesería!$B$42),(Quesería!$B$40*$B$179*$B$176)/(Quesería!$B$42-Quesería!$B$43),0)+IF(AND(D$43&gt;1+Quesería!$B$43,D$43&lt;=1+Quesería!$B$42),(Quesería!$B$40*$C$179*$C$176)/(Quesería!$B$42-Quesería!$B$43),0))*D178</f>
        <v>66.1609382586284</v>
      </c>
      <c r="E207" s="35" t="n">
        <f aca="false">(IF(AND(E$43&gt;0+Quesería!$B$43,E$43&lt;=0+Quesería!$B$42),(Quesería!$B$40*$B$179*$B$176)/(Quesería!$B$42-Quesería!$B$43),0)+IF(AND(E$43&gt;1+Quesería!$B$43,E$43&lt;=1+Quesería!$B$42),(Quesería!$B$40*$C$179*$C$176)/(Quesería!$B$42-Quesería!$B$43),0))*E178</f>
        <v>132.885251025432</v>
      </c>
      <c r="F207" s="35" t="n">
        <f aca="false">(IF(AND(F$43&gt;0+Quesería!$B$43,F$43&lt;=0+Quesería!$B$42),(Quesería!$B$40*$B$179*$B$176)/(Quesería!$B$42-Quesería!$B$43),0)+IF(AND(F$43&gt;1+Quesería!$B$43,F$43&lt;=1+Quesería!$B$42),(Quesería!$B$40*$C$179*$C$176)/(Quesería!$B$42-Quesería!$B$43),0))*F178</f>
        <v>127.774279832146</v>
      </c>
      <c r="G207" s="35" t="n">
        <f aca="false">(IF(AND(G$43&gt;0+Quesería!$B$43,G$43&lt;=0+Quesería!$B$42),(Quesería!$B$40*$B$179*$B$176)/(Quesería!$B$42-Quesería!$B$43),0)+IF(AND(G$43&gt;1+Quesería!$B$43,G$43&lt;=1+Quesería!$B$42),(Quesería!$B$40*$C$179*$C$176)/(Quesería!$B$42-Quesería!$B$43),0))*G178</f>
        <v>122.859884453986</v>
      </c>
      <c r="H207" s="35" t="n">
        <f aca="false">(IF(AND(H$43&gt;0+Quesería!$B$43,H$43&lt;=0+Quesería!$B$42),(Quesería!$B$40*$B$179*$B$176)/(Quesería!$B$42-Quesería!$B$43),0)+IF(AND(H$43&gt;1+Quesería!$B$43,H$43&lt;=1+Quesería!$B$42),(Quesería!$B$40*$C$179*$C$176)/(Quesería!$B$42-Quesería!$B$43),0))*H178</f>
        <v>118.134504282679</v>
      </c>
      <c r="I207" s="35" t="n">
        <f aca="false">(IF(AND(I$43&gt;0+Quesería!$B$43,I$43&lt;=0+Quesería!$B$42),(Quesería!$B$40*$B$179*$B$176)/(Quesería!$B$42-Quesería!$B$43),0)+IF(AND(I$43&gt;1+Quesería!$B$43,I$43&lt;=1+Quesería!$B$42),(Quesería!$B$40*$C$179*$C$176)/(Quesería!$B$42-Quesería!$B$43),0))*I178</f>
        <v>113.590869502576</v>
      </c>
      <c r="J207" s="35" t="n">
        <f aca="false">(IF(AND(J$43&gt;0+Quesería!$B$43,J$43&lt;=0+Quesería!$B$42),(Quesería!$B$40*$B$179*$B$176)/(Quesería!$B$42-Quesería!$B$43),0)+IF(AND(J$43&gt;1+Quesería!$B$43,J$43&lt;=1+Quesería!$B$42),(Quesería!$B$40*$C$179*$C$176)/(Quesería!$B$42-Quesería!$B$43),0))*J178</f>
        <v>56.9340393645939</v>
      </c>
      <c r="K207" s="35" t="n">
        <f aca="false">(IF(AND(K$43&gt;0+Quesería!$B$43,K$43&lt;=0+Quesería!$B$42),(Quesería!$B$40*$B$179*$B$176)/(Quesería!$B$42-Quesería!$B$43),0)+IF(AND(K$43&gt;1+Quesería!$B$43,K$43&lt;=1+Quesería!$B$42),(Quesería!$B$40*$C$179*$C$176)/(Quesería!$B$42-Quesería!$B$43),0))*K178</f>
        <v>0</v>
      </c>
      <c r="L207" s="35" t="n">
        <f aca="false">(IF(AND(L$43&gt;0+Quesería!$B$43,L$43&lt;=0+Quesería!$B$42),(Quesería!$B$40*$B$179*$B$176)/(Quesería!$B$42-Quesería!$B$43),0)+IF(AND(L$43&gt;1+Quesería!$B$43,L$43&lt;=1+Quesería!$B$42),(Quesería!$B$40*$C$179*$C$176)/(Quesería!$B$42-Quesería!$B$43),0))*L178</f>
        <v>0</v>
      </c>
    </row>
    <row r="208" customFormat="false" ht="15" hidden="false" customHeight="false" outlineLevel="0" collapsed="false">
      <c r="A208" s="6" t="s">
        <v>310</v>
      </c>
      <c r="B208" s="35" t="n">
        <f aca="false">$E$13*Quesería!$B$44*(1+0.19)*B204*B178+(1-$E$13)*IF(B$43=0,Quesería!$B$53,0)</f>
        <v>4</v>
      </c>
      <c r="C208" s="35" t="n">
        <f aca="false">$E$13*Quesería!$B$44*(1+0.19)*C204*C178+(1-$E$13)*IF(C$43=0,Quesería!$B$53,0)</f>
        <v>0</v>
      </c>
      <c r="D208" s="35" t="n">
        <f aca="false">$E$13*Quesería!$B$44*(1+0.19)*D204*D178+(1-$E$13)*IF(D$43=0,Quesería!$B$53,0)</f>
        <v>0</v>
      </c>
      <c r="E208" s="35" t="n">
        <f aca="false">$E$13*Quesería!$B$44*(1+0.19)*E204*E178+(1-$E$13)*IF(E$43=0,Quesería!$B$53,0)</f>
        <v>0</v>
      </c>
      <c r="F208" s="35" t="n">
        <f aca="false">$E$13*Quesería!$B$44*(1+0.19)*F204*F178+(1-$E$13)*IF(F$43=0,Quesería!$B$53,0)</f>
        <v>0</v>
      </c>
      <c r="G208" s="35" t="n">
        <f aca="false">$E$13*Quesería!$B$44*(1+0.19)*G204*G178+(1-$E$13)*IF(G$43=0,Quesería!$B$53,0)</f>
        <v>0</v>
      </c>
      <c r="H208" s="35" t="n">
        <f aca="false">$E$13*Quesería!$B$44*(1+0.19)*H204*H178+(1-$E$13)*IF(H$43=0,Quesería!$B$53,0)</f>
        <v>0</v>
      </c>
      <c r="I208" s="35" t="n">
        <f aca="false">$E$13*Quesería!$B$44*(1+0.19)*I204*I178+(1-$E$13)*IF(I$43=0,Quesería!$B$53,0)</f>
        <v>0</v>
      </c>
      <c r="J208" s="35" t="n">
        <f aca="false">$E$13*Quesería!$B$44*(1+0.19)*J204*J178+(1-$E$13)*IF(J$43=0,Quesería!$B$53,0)</f>
        <v>0</v>
      </c>
      <c r="K208" s="35" t="n">
        <f aca="false">$E$13*Quesería!$B$44*(1+0.19)*K204*K178+(1-$E$13)*IF(K$43=0,Quesería!$B$53,0)</f>
        <v>0</v>
      </c>
      <c r="L208" s="35" t="n">
        <f aca="false">$E$13*Quesería!$B$44*(1+0.19)*L204*L178+(1-$E$13)*IF(L$43=0,Quesería!$B$53,0)</f>
        <v>0</v>
      </c>
    </row>
    <row r="209" customFormat="false" ht="15" hidden="false" customHeight="false" outlineLevel="0" collapsed="false">
      <c r="A209" s="6" t="s">
        <v>311</v>
      </c>
      <c r="B209" s="35" t="n">
        <f aca="false">Quesería!$B$45*(B206+B207+B208)</f>
        <v>0.016</v>
      </c>
      <c r="C209" s="35" t="n">
        <f aca="false">Quesería!$B$45*(C206+C207+C208)</f>
        <v>0.233963602745223</v>
      </c>
      <c r="D209" s="35" t="n">
        <f aca="false">Quesería!$B$45*(D206+D207+D208)</f>
        <v>0.732314790083377</v>
      </c>
      <c r="E209" s="35" t="n">
        <f aca="false">Quesería!$B$45*(E206+E207+E208)</f>
        <v>0.94534510782384</v>
      </c>
      <c r="F209" s="35" t="n">
        <f aca="false">Quesería!$B$45*(F206+F207+F208)</f>
        <v>0.836920986774515</v>
      </c>
      <c r="G209" s="35" t="n">
        <f aca="false">Quesería!$B$45*(G206+G207+G208)</f>
        <v>0.73543874322037</v>
      </c>
      <c r="H209" s="35" t="n">
        <f aca="false">Quesería!$B$45*(H206+H207+H208)</f>
        <v>0.640524777296463</v>
      </c>
      <c r="I209" s="35" t="n">
        <f aca="false">Quesería!$B$45*(I206+I207+I208)</f>
        <v>0.551823958539454</v>
      </c>
      <c r="J209" s="35" t="n">
        <f aca="false">Quesería!$B$45*(J206+J207+J208)</f>
        <v>0.259846955660007</v>
      </c>
      <c r="K209" s="35" t="n">
        <f aca="false">Quesería!$B$45*(K206+K207+K208)</f>
        <v>0</v>
      </c>
      <c r="L209" s="35" t="n">
        <f aca="false">Quesería!$B$45*(L206+L207+L208)</f>
        <v>0</v>
      </c>
    </row>
    <row r="210" customFormat="false" ht="15" hidden="false" customHeight="false" outlineLevel="0" collapsed="false">
      <c r="A210" s="6" t="s">
        <v>312</v>
      </c>
      <c r="B210" s="35" t="n">
        <f aca="false">$E$17*(B206+B208+0.5*B209)</f>
        <v>1.4028</v>
      </c>
      <c r="C210" s="35" t="n">
        <f aca="false">$E$17*(C206+C208+0.5*C209)</f>
        <v>20.5127588706874</v>
      </c>
      <c r="D210" s="35" t="n">
        <f aca="false">$E$17*(D206+D208+0.5*D209)</f>
        <v>41.0493708300401</v>
      </c>
      <c r="E210" s="35" t="n">
        <f aca="false">$E$17*(E206+E208+0.5*E209)</f>
        <v>36.373294469554</v>
      </c>
      <c r="F210" s="35" t="n">
        <f aca="false">$E$17*(F206+F208+0.5*F209)</f>
        <v>28.6560495742046</v>
      </c>
      <c r="G210" s="35" t="n">
        <f aca="false">$E$17*(G206+G208+0.5*G209)</f>
        <v>21.4786322529507</v>
      </c>
      <c r="H210" s="35" t="n">
        <f aca="false">$E$17*(H206+H208+0.5*H209)</f>
        <v>14.8109333505297</v>
      </c>
      <c r="I210" s="35" t="n">
        <f aca="false">$E$17*(I206+I208+0.5*I209)</f>
        <v>8.62436123904496</v>
      </c>
      <c r="J210" s="35" t="n">
        <f aca="false">$E$17*(J206+J208+0.5*J209)</f>
        <v>2.85516805988321</v>
      </c>
      <c r="K210" s="35" t="n">
        <f aca="false">$E$17*(K206+K208+0.5*K209)</f>
        <v>0</v>
      </c>
      <c r="L210" s="35" t="n">
        <f aca="false">$E$17*(L206+L208+0.5*L209)</f>
        <v>0</v>
      </c>
    </row>
    <row r="211" customFormat="false" ht="15" hidden="false" customHeight="false" outlineLevel="0" collapsed="false">
      <c r="A211" s="5" t="s">
        <v>313</v>
      </c>
      <c r="B211" s="37" t="n">
        <f aca="false">B196+B205-B206-B207-B208-B209+B210</f>
        <v>-256.239390541519</v>
      </c>
      <c r="C211" s="37" t="n">
        <f aca="false">C196+C205-C206-C207-C208-C209+C210</f>
        <v>-7.78984560774643</v>
      </c>
      <c r="D211" s="37" t="n">
        <f aca="false">D196+D205-D206-D207-D208-D209+D210</f>
        <v>197.498183643592</v>
      </c>
      <c r="E211" s="37" t="n">
        <f aca="false">E196+E205-E206-E207-E208-E209+E210</f>
        <v>48.5497813708543</v>
      </c>
      <c r="F211" s="37" t="n">
        <f aca="false">F196+F205-F206-F207-F208-F209+F210</f>
        <v>69.3257335300906</v>
      </c>
      <c r="G211" s="37" t="n">
        <f aca="false">G196+G205-G206-G207-G208-G209+G210</f>
        <v>54.6578929497451</v>
      </c>
      <c r="H211" s="37" t="n">
        <f aca="false">H196+H205-H206-H207-H208-H209+H210</f>
        <v>62.9193221970198</v>
      </c>
      <c r="I211" s="37" t="n">
        <f aca="false">I196+I205-I206-I207-I208-I209+I210</f>
        <v>124.181949788469</v>
      </c>
      <c r="J211" s="37" t="n">
        <f aca="false">J196+J205-J206-J207-J208-J209+J210</f>
        <v>184.287229544022</v>
      </c>
      <c r="K211" s="37" t="n">
        <f aca="false">K196+K205-K206-K207-K208-K209+K210</f>
        <v>245.743059483011</v>
      </c>
      <c r="L211" s="37" t="n">
        <f aca="false">L196+L205-L206-L207-L208-L209+L210</f>
        <v>315.858759456126</v>
      </c>
    </row>
    <row r="212" customFormat="false" ht="15" hidden="false" customHeight="false" outlineLevel="0" collapsed="false">
      <c r="A212" s="9" t="s">
        <v>314</v>
      </c>
      <c r="B212" s="36" t="n">
        <f aca="false">B211*B176</f>
        <v>-271.61375397401</v>
      </c>
      <c r="C212" s="36" t="n">
        <f aca="false">C211*C176</f>
        <v>-8.67009816142178</v>
      </c>
      <c r="D212" s="36" t="n">
        <f aca="false">D211*D176</f>
        <v>229.707174923107</v>
      </c>
      <c r="E212" s="36" t="n">
        <f aca="false">E211*E176</f>
        <v>58.7262233643489</v>
      </c>
      <c r="F212" s="36" t="n">
        <f aca="false">F211*F176</f>
        <v>87.2112691987256</v>
      </c>
      <c r="G212" s="36" t="n">
        <f aca="false">G211*G176</f>
        <v>71.5096015876788</v>
      </c>
      <c r="H212" s="36" t="n">
        <f aca="false">H211*H176</f>
        <v>85.6108575805706</v>
      </c>
      <c r="I212" s="36" t="n">
        <f aca="false">I211*I176</f>
        <v>175.726243704492</v>
      </c>
      <c r="J212" s="36" t="n">
        <f aca="false">J211*J176</f>
        <v>271.210645124086</v>
      </c>
      <c r="K212" s="36" t="n">
        <f aca="false">K211*K176</f>
        <v>376.119708438521</v>
      </c>
      <c r="L212" s="36" t="n">
        <f aca="false">L211*L176</f>
        <v>502.772012991512</v>
      </c>
    </row>
    <row r="213" customFormat="false" ht="15" hidden="false" customHeight="false" outlineLevel="0" collapsed="false">
      <c r="A213" s="9" t="s">
        <v>315</v>
      </c>
      <c r="B213" s="34" t="n">
        <f aca="false">(B176/$B$176)/(1+Quesería!$B$46+$E$24)^B$43</f>
        <v>1</v>
      </c>
      <c r="C213" s="34" t="n">
        <f aca="false">(C176/$B$176)/(1+Quesería!$B$46+$E$24)^C$43</f>
        <v>0.84</v>
      </c>
      <c r="D213" s="34" t="n">
        <f aca="false">(D176/$B$176)/(1+Quesería!$B$46+$E$24)^D$43</f>
        <v>0.70224</v>
      </c>
      <c r="E213" s="34" t="n">
        <f aca="false">(E176/$B$176)/(1+Quesería!$B$46+$E$24)^E$43</f>
        <v>0.58426368</v>
      </c>
      <c r="F213" s="34" t="n">
        <f aca="false">(F176/$B$176)/(1+Quesería!$B$46+$E$24)^F$43</f>
        <v>0.48610738176</v>
      </c>
      <c r="G213" s="34" t="n">
        <f aca="false">(G176/$B$176)/(1+Quesería!$B$46+$E$24)^G$43</f>
        <v>0.40444134162432</v>
      </c>
      <c r="H213" s="34" t="n">
        <f aca="false">(H176/$B$176)/(1+Quesería!$B$46+$E$24)^H$43</f>
        <v>0.336495196231434</v>
      </c>
      <c r="I213" s="34" t="n">
        <f aca="false">(I176/$B$176)/(1+Quesería!$B$46+$E$24)^I$43</f>
        <v>0.279964003264553</v>
      </c>
      <c r="J213" s="34" t="n">
        <f aca="false">(J176/$B$176)/(1+Quesería!$B$46+$E$24)^J$43</f>
        <v>0.232930050716108</v>
      </c>
      <c r="K213" s="34" t="n">
        <f aca="false">(K176/$B$176)/(1+Quesería!$B$46+$E$24)^K$43</f>
        <v>0.193797802195802</v>
      </c>
      <c r="L213" s="34" t="n">
        <f aca="false">(L176/$B$176)/(1+Quesería!$B$46+$E$24)^L$43</f>
        <v>0.161239771426907</v>
      </c>
    </row>
    <row r="214" customFormat="false" ht="15" hidden="false" customHeight="false" outlineLevel="0" collapsed="false">
      <c r="A214" s="9" t="s">
        <v>316</v>
      </c>
      <c r="B214" s="36" t="n">
        <f aca="false">B196+B179+B181+B210</f>
        <v>33.7975722432944</v>
      </c>
      <c r="C214" s="36" t="n">
        <f aca="false">C196+C179+C181+C210</f>
        <v>367.117362084829</v>
      </c>
      <c r="D214" s="36" t="n">
        <f aca="false">D196+D179+D181+D210</f>
        <v>381.30919595452</v>
      </c>
      <c r="E214" s="36" t="n">
        <f aca="false">E196+E179+E181+E210</f>
        <v>285.831403434638</v>
      </c>
      <c r="F214" s="36" t="n">
        <f aca="false">F196+F179+F181+F210</f>
        <v>279.392901210494</v>
      </c>
      <c r="G214" s="36" t="n">
        <f aca="false">G196+G179+G181+G210</f>
        <v>244.319684164725</v>
      </c>
      <c r="H214" s="36" t="n">
        <f aca="false">H196+H179+H181+H210</f>
        <v>230.398906379199</v>
      </c>
      <c r="I214" s="36" t="n">
        <f aca="false">I196+I179+I181+I210</f>
        <v>262.689763381872</v>
      </c>
      <c r="J214" s="36" t="n">
        <f aca="false">J196+J179+J181+J210</f>
        <v>249.508815414683</v>
      </c>
      <c r="K214" s="36" t="n">
        <f aca="false">K196+K179+K181+K210</f>
        <v>245.743059483011</v>
      </c>
      <c r="L214" s="36" t="n">
        <f aca="false">L196+L179+L181+L210</f>
        <v>315.858759456126</v>
      </c>
    </row>
    <row r="215" customFormat="false" ht="15" hidden="false" customHeight="false" outlineLevel="0" collapsed="false">
      <c r="A215" s="5" t="s">
        <v>317</v>
      </c>
      <c r="B215" s="12" t="str">
        <f aca="false">IF(AND(B$43&gt;=1,(B206+B207+B208)&gt;0.001),B214/(B206+B207+B208),"")</f>
        <v/>
      </c>
      <c r="C215" s="12" t="n">
        <f aca="false">IF(AND(C$43&gt;=1,(C206+C207+C208)&gt;0.001),C214/(C206+C207+C208),"")</f>
        <v>6.27648673173504</v>
      </c>
      <c r="D215" s="12" t="n">
        <f aca="false">IF(AND(D$43&gt;=1,(D206+D207+D208)&gt;0.001),D214/(D206+D207+D208),"")</f>
        <v>2.08276113561003</v>
      </c>
      <c r="E215" s="12" t="n">
        <f aca="false">IF(AND(E$43&gt;=1,(E206+E207+E208)&gt;0.001),E214/(E206+E207+E208),"")</f>
        <v>1.20942669960017</v>
      </c>
      <c r="F215" s="12" t="n">
        <f aca="false">IF(AND(F$43&gt;=1,(F206+F207+F208)&gt;0.001),F214/(F206+F207+F208),"")</f>
        <v>1.33533705391842</v>
      </c>
      <c r="G215" s="12" t="n">
        <f aca="false">IF(AND(G$43&gt;=1,(G206+G207+G208)&gt;0.001),G214/(G206+G207+G208),"")</f>
        <v>1.32883771173048</v>
      </c>
      <c r="H215" s="12" t="n">
        <f aca="false">IF(AND(H$43&gt;=1,(H206+H207+H208)&gt;0.001),H214/(H206+H207+H208),"")</f>
        <v>1.43881338893193</v>
      </c>
      <c r="I215" s="12" t="n">
        <f aca="false">IF(AND(I$43&gt;=1,(I206+I207+I208)&gt;0.001),I214/(I206+I207+I208),"")</f>
        <v>1.90415627532483</v>
      </c>
      <c r="J215" s="12" t="n">
        <f aca="false">IF(AND(J$43&gt;=1,(J206+J207+J208)&gt;0.001),J214/(J206+J207+J208),"")</f>
        <v>3.84085801245484</v>
      </c>
      <c r="K215" s="12" t="str">
        <f aca="false">IF(AND(K$43&gt;=1,(K206+K207+K208)&gt;0.001),K214/(K206+K207+K208),"")</f>
        <v/>
      </c>
      <c r="L215" s="12" t="str">
        <f aca="false">IF(AND(L$43&gt;=1,(L206+L207+L208)&gt;0.001),L214/(L206+L207+L208),"")</f>
        <v/>
      </c>
    </row>
    <row r="217" customFormat="false" ht="15" hidden="false" customHeight="false" outlineLevel="0" collapsed="false">
      <c r="A217" s="66" t="s">
        <v>630</v>
      </c>
      <c r="B217" s="67"/>
      <c r="C217" s="67"/>
      <c r="D217" s="67"/>
      <c r="E217" s="67"/>
      <c r="F217" s="67"/>
      <c r="G217" s="67"/>
      <c r="H217" s="67"/>
      <c r="I217" s="67"/>
      <c r="J217" s="67"/>
      <c r="K217" s="67"/>
      <c r="L217" s="67"/>
    </row>
    <row r="218" customFormat="false" ht="15" hidden="false" customHeight="false" outlineLevel="0" collapsed="false">
      <c r="A218" s="9" t="s">
        <v>281</v>
      </c>
      <c r="B218" s="33" t="n">
        <f aca="false">CHOOSE($F$15,Entorno!B$7,Entorno!B$8,Entorno!B$9)</f>
        <v>0.06</v>
      </c>
      <c r="C218" s="33" t="n">
        <f aca="false">CHOOSE($F$15,Entorno!C$7,Entorno!C$8,Entorno!C$9)</f>
        <v>0.05</v>
      </c>
      <c r="D218" s="33" t="n">
        <f aca="false">CHOOSE($F$15,Entorno!D$7,Entorno!D$8,Entorno!D$9)</f>
        <v>0.045</v>
      </c>
      <c r="E218" s="33" t="n">
        <f aca="false">CHOOSE($F$15,Entorno!E$7,Entorno!E$8,Entorno!E$9)</f>
        <v>0.04</v>
      </c>
      <c r="F218" s="33" t="n">
        <f aca="false">CHOOSE($F$15,Entorno!F$7,Entorno!F$8,Entorno!F$9)</f>
        <v>0.04</v>
      </c>
      <c r="G218" s="33" t="n">
        <f aca="false">CHOOSE($F$15,Entorno!G$7,Entorno!G$8,Entorno!G$9)</f>
        <v>0.04</v>
      </c>
      <c r="H218" s="33" t="n">
        <f aca="false">CHOOSE($F$15,Entorno!H$7,Entorno!H$8,Entorno!H$9)</f>
        <v>0.04</v>
      </c>
      <c r="I218" s="33" t="n">
        <f aca="false">CHOOSE($F$15,Entorno!I$7,Entorno!I$8,Entorno!I$9)</f>
        <v>0.04</v>
      </c>
      <c r="J218" s="33" t="n">
        <f aca="false">CHOOSE($F$15,Entorno!J$7,Entorno!J$8,Entorno!J$9)</f>
        <v>0.04</v>
      </c>
      <c r="K218" s="33" t="n">
        <f aca="false">CHOOSE($F$15,Entorno!K$7,Entorno!K$8,Entorno!K$9)</f>
        <v>0.04</v>
      </c>
      <c r="L218" s="33" t="n">
        <f aca="false">CHOOSE($F$15,Entorno!L$7,Entorno!L$8,Entorno!L$9)</f>
        <v>0.04</v>
      </c>
    </row>
    <row r="219" customFormat="false" ht="15" hidden="false" customHeight="false" outlineLevel="0" collapsed="false">
      <c r="A219" s="9" t="s">
        <v>282</v>
      </c>
      <c r="B219" s="34" t="n">
        <f aca="false">1+B218</f>
        <v>1.06</v>
      </c>
      <c r="C219" s="34" t="n">
        <f aca="false">B219*(1+C218)</f>
        <v>1.113</v>
      </c>
      <c r="D219" s="34" t="n">
        <f aca="false">C219*(1+D218)</f>
        <v>1.163085</v>
      </c>
      <c r="E219" s="34" t="n">
        <f aca="false">D219*(1+E218)</f>
        <v>1.2096084</v>
      </c>
      <c r="F219" s="34" t="n">
        <f aca="false">E219*(1+F218)</f>
        <v>1.257992736</v>
      </c>
      <c r="G219" s="34" t="n">
        <f aca="false">F219*(1+G218)</f>
        <v>1.30831244544</v>
      </c>
      <c r="H219" s="34" t="n">
        <f aca="false">G219*(1+H218)</f>
        <v>1.3606449432576</v>
      </c>
      <c r="I219" s="34" t="n">
        <f aca="false">H219*(1+I218)</f>
        <v>1.4150707409879</v>
      </c>
      <c r="J219" s="34" t="n">
        <f aca="false">I219*(1+J218)</f>
        <v>1.47167357062742</v>
      </c>
      <c r="K219" s="34" t="n">
        <f aca="false">J219*(1+K218)</f>
        <v>1.53054051345252</v>
      </c>
      <c r="L219" s="34" t="n">
        <f aca="false">K219*(1+L218)</f>
        <v>1.59176213399062</v>
      </c>
    </row>
    <row r="220" customFormat="false" ht="15" hidden="false" customHeight="false" outlineLevel="0" collapsed="false">
      <c r="A220" s="9" t="s">
        <v>283</v>
      </c>
      <c r="B220" s="34" t="n">
        <f aca="false">(1+$F$16)/(1+B218)</f>
        <v>1.02358490566038</v>
      </c>
      <c r="C220" s="34" t="n">
        <f aca="false">B220*(1+Entorno!$B$13)</f>
        <v>1.02870283018868</v>
      </c>
      <c r="D220" s="34" t="n">
        <f aca="false">C220*(1+Entorno!$B$13)</f>
        <v>1.03384634433962</v>
      </c>
      <c r="E220" s="34" t="n">
        <f aca="false">D220*(1+Entorno!$B$13)</f>
        <v>1.03901557606132</v>
      </c>
      <c r="F220" s="34" t="n">
        <f aca="false">E220*(1+Entorno!$B$13)</f>
        <v>1.04421065394163</v>
      </c>
      <c r="G220" s="34" t="n">
        <f aca="false">F220*(1+Entorno!$B$13)</f>
        <v>1.04943170721133</v>
      </c>
      <c r="H220" s="34" t="n">
        <f aca="false">G220*(1+Entorno!$B$13)</f>
        <v>1.05467886574739</v>
      </c>
      <c r="I220" s="34" t="n">
        <f aca="false">H220*(1+Entorno!$B$13)</f>
        <v>1.05995226007613</v>
      </c>
      <c r="J220" s="34" t="n">
        <f aca="false">I220*(1+Entorno!$B$13)</f>
        <v>1.06525202137651</v>
      </c>
      <c r="K220" s="34" t="n">
        <f aca="false">J220*(1+Entorno!$B$13)</f>
        <v>1.07057828148339</v>
      </c>
      <c r="L220" s="34" t="n">
        <f aca="false">K220*(1+Entorno!$B$13)</f>
        <v>1.07593117289081</v>
      </c>
    </row>
    <row r="221" customFormat="false" ht="15" hidden="false" customHeight="false" outlineLevel="0" collapsed="false">
      <c r="A221" s="9" t="s">
        <v>284</v>
      </c>
      <c r="B221" s="34" t="n">
        <f aca="false">1/B219</f>
        <v>0.943396226415094</v>
      </c>
      <c r="C221" s="34" t="n">
        <f aca="false">1/C219</f>
        <v>0.898472596585804</v>
      </c>
      <c r="D221" s="34" t="n">
        <f aca="false">1/D219</f>
        <v>0.859782389077324</v>
      </c>
      <c r="E221" s="34" t="n">
        <f aca="false">1/E219</f>
        <v>0.826713835651273</v>
      </c>
      <c r="F221" s="34" t="n">
        <f aca="false">1/F219</f>
        <v>0.794917149664686</v>
      </c>
      <c r="G221" s="34" t="n">
        <f aca="false">1/G219</f>
        <v>0.764343413139121</v>
      </c>
      <c r="H221" s="34" t="n">
        <f aca="false">1/H219</f>
        <v>0.734945589556847</v>
      </c>
      <c r="I221" s="34" t="n">
        <f aca="false">1/I219</f>
        <v>0.706678451496968</v>
      </c>
      <c r="J221" s="34" t="n">
        <f aca="false">1/J219</f>
        <v>0.679498511054777</v>
      </c>
      <c r="K221" s="34" t="n">
        <f aca="false">1/K219</f>
        <v>0.653363952937286</v>
      </c>
      <c r="L221" s="34" t="n">
        <f aca="false">1/L219</f>
        <v>0.628234570132006</v>
      </c>
    </row>
    <row r="222" customFormat="false" ht="15" hidden="false" customHeight="false" outlineLevel="0" collapsed="false">
      <c r="A222" s="6" t="s">
        <v>202</v>
      </c>
      <c r="B222" s="35" t="n">
        <f aca="false">IF(B$43=0,Quesería!$F$80,IF(B$43=1,Quesería!$F$81*$F$21,0))*$F$11</f>
        <v>622.243624322401</v>
      </c>
      <c r="C222" s="35" t="n">
        <f aca="false">IF(C$43=0,Quesería!$F$80,IF(C$43=1,Quesería!$F$81*$F$21,0))*$F$11</f>
        <v>645.270088578622</v>
      </c>
      <c r="D222" s="35" t="n">
        <f aca="false">IF(D$43=0,Quesería!$F$80,IF(D$43=1,Quesería!$F$81*$F$21,0))*$F$11</f>
        <v>0</v>
      </c>
      <c r="E222" s="35" t="n">
        <f aca="false">IF(E$43=0,Quesería!$F$80,IF(E$43=1,Quesería!$F$81*$F$21,0))*$F$11</f>
        <v>0</v>
      </c>
      <c r="F222" s="35" t="n">
        <f aca="false">IF(F$43=0,Quesería!$F$80,IF(F$43=1,Quesería!$F$81*$F$21,0))*$F$11</f>
        <v>0</v>
      </c>
      <c r="G222" s="35" t="n">
        <f aca="false">IF(G$43=0,Quesería!$F$80,IF(G$43=1,Quesería!$F$81*$F$21,0))*$F$11</f>
        <v>0</v>
      </c>
      <c r="H222" s="35" t="n">
        <f aca="false">IF(H$43=0,Quesería!$F$80,IF(H$43=1,Quesería!$F$81*$F$21,0))*$F$11</f>
        <v>0</v>
      </c>
      <c r="I222" s="35" t="n">
        <f aca="false">IF(I$43=0,Quesería!$F$80,IF(I$43=1,Quesería!$F$81*$F$21,0))*$F$11</f>
        <v>0</v>
      </c>
      <c r="J222" s="35" t="n">
        <f aca="false">IF(J$43=0,Quesería!$F$80,IF(J$43=1,Quesería!$F$81*$F$21,0))*$F$11</f>
        <v>0</v>
      </c>
      <c r="K222" s="35" t="n">
        <f aca="false">IF(K$43=0,Quesería!$F$80,IF(K$43=1,Quesería!$F$81*$F$21,0))*$F$11</f>
        <v>0</v>
      </c>
      <c r="L222" s="35" t="n">
        <f aca="false">IF(L$43=0,Quesería!$F$80,IF(L$43=1,Quesería!$F$81*$F$21,0))*$F$11</f>
        <v>0</v>
      </c>
    </row>
    <row r="223" customFormat="false" ht="15" hidden="false" customHeight="false" outlineLevel="0" collapsed="false">
      <c r="A223" s="6" t="s">
        <v>285</v>
      </c>
      <c r="B223" s="35" t="n">
        <f aca="false">IF(B$43=5,Quesería!$F$87,IF(B$43=6,Quesería!$F$88,0))*$F$11</f>
        <v>0</v>
      </c>
      <c r="C223" s="35" t="n">
        <f aca="false">IF(C$43=5,Quesería!$F$87,IF(C$43=6,Quesería!$F$88,0))*$F$11</f>
        <v>0</v>
      </c>
      <c r="D223" s="35" t="n">
        <f aca="false">IF(D$43=5,Quesería!$F$87,IF(D$43=6,Quesería!$F$88,0))*$F$11</f>
        <v>0</v>
      </c>
      <c r="E223" s="35" t="n">
        <f aca="false">IF(E$43=5,Quesería!$F$87,IF(E$43=6,Quesería!$F$88,0))*$F$11</f>
        <v>0</v>
      </c>
      <c r="F223" s="35" t="n">
        <f aca="false">IF(F$43=5,Quesería!$F$87,IF(F$43=6,Quesería!$F$88,0))*$F$11</f>
        <v>0</v>
      </c>
      <c r="G223" s="35" t="n">
        <f aca="false">IF(G$43=5,Quesería!$F$87,IF(G$43=6,Quesería!$F$88,0))*$F$11</f>
        <v>26.6666666666667</v>
      </c>
      <c r="H223" s="35" t="n">
        <f aca="false">IF(H$43=5,Quesería!$F$87,IF(H$43=6,Quesería!$F$88,0))*$F$11</f>
        <v>35.3045530566667</v>
      </c>
      <c r="I223" s="35" t="n">
        <f aca="false">IF(I$43=5,Quesería!$F$87,IF(I$43=6,Quesería!$F$88,0))*$F$11</f>
        <v>0</v>
      </c>
      <c r="J223" s="35" t="n">
        <f aca="false">IF(J$43=5,Quesería!$F$87,IF(J$43=6,Quesería!$F$88,0))*$F$11</f>
        <v>0</v>
      </c>
      <c r="K223" s="35" t="n">
        <f aca="false">IF(K$43=5,Quesería!$F$87,IF(K$43=6,Quesería!$F$88,0))*$F$11</f>
        <v>0</v>
      </c>
      <c r="L223" s="35" t="n">
        <f aca="false">IF(L$43=5,Quesería!$F$87,IF(L$43=6,Quesería!$F$88,0))*$F$11</f>
        <v>0</v>
      </c>
    </row>
    <row r="224" customFormat="false" ht="15" hidden="false" customHeight="false" outlineLevel="0" collapsed="false">
      <c r="A224" s="6" t="s">
        <v>286</v>
      </c>
      <c r="B224" s="35" t="n">
        <f aca="false">Quesería!$B$36*(IF(B$43=0,SUMPRODUCT((Quesería!$C$62:$C$77=0)*(Quesería!$H$62:$H$77&gt;0)*(Quesería!$J$62:$J$77&gt;0)*Quesería!$F$62:$F$77*(1+Quesería!$I$62:$I$77)),IF(B$43=1,SUMPRODUCT((Quesería!$C$62:$C$77=1)*(Quesería!$H$62:$H$77&gt;0)*(Quesería!$J$62:$J$77&gt;0)*Quesería!$F$62:$F$77*(1+Quesería!$I$62:$I$77))*$F$21,0))*$F$11+B223)</f>
        <v>99.347875488093</v>
      </c>
      <c r="C224" s="35" t="n">
        <f aca="false">Quesería!$B$36*(IF(C$43=0,SUMPRODUCT((Quesería!$C$62:$C$77=0)*(Quesería!$H$62:$H$77&gt;0)*(Quesería!$J$62:$J$77&gt;0)*Quesería!$F$62:$F$77*(1+Quesería!$I$62:$I$77)),IF(C$43=1,SUMPRODUCT((Quesería!$C$62:$C$77=1)*(Quesería!$H$62:$H$77&gt;0)*(Quesería!$J$62:$J$77&gt;0)*Quesería!$F$62:$F$77*(1+Quesería!$I$62:$I$77))*$F$21,0))*$F$11+C223)</f>
        <v>122.601316829938</v>
      </c>
      <c r="D224" s="35" t="n">
        <f aca="false">Quesería!$B$36*(IF(D$43=0,SUMPRODUCT((Quesería!$C$62:$C$77=0)*(Quesería!$H$62:$H$77&gt;0)*(Quesería!$J$62:$J$77&gt;0)*Quesería!$F$62:$F$77*(1+Quesería!$I$62:$I$77)),IF(D$43=1,SUMPRODUCT((Quesería!$C$62:$C$77=1)*(Quesería!$H$62:$H$77&gt;0)*(Quesería!$J$62:$J$77&gt;0)*Quesería!$F$62:$F$77*(1+Quesería!$I$62:$I$77))*$F$21,0))*$F$11+D223)</f>
        <v>0</v>
      </c>
      <c r="E224" s="35" t="n">
        <f aca="false">Quesería!$B$36*(IF(E$43=0,SUMPRODUCT((Quesería!$C$62:$C$77=0)*(Quesería!$H$62:$H$77&gt;0)*(Quesería!$J$62:$J$77&gt;0)*Quesería!$F$62:$F$77*(1+Quesería!$I$62:$I$77)),IF(E$43=1,SUMPRODUCT((Quesería!$C$62:$C$77=1)*(Quesería!$H$62:$H$77&gt;0)*(Quesería!$J$62:$J$77&gt;0)*Quesería!$F$62:$F$77*(1+Quesería!$I$62:$I$77))*$F$21,0))*$F$11+E223)</f>
        <v>0</v>
      </c>
      <c r="F224" s="35" t="n">
        <f aca="false">Quesería!$B$36*(IF(F$43=0,SUMPRODUCT((Quesería!$C$62:$C$77=0)*(Quesería!$H$62:$H$77&gt;0)*(Quesería!$J$62:$J$77&gt;0)*Quesería!$F$62:$F$77*(1+Quesería!$I$62:$I$77)),IF(F$43=1,SUMPRODUCT((Quesería!$C$62:$C$77=1)*(Quesería!$H$62:$H$77&gt;0)*(Quesería!$J$62:$J$77&gt;0)*Quesería!$F$62:$F$77*(1+Quesería!$I$62:$I$77))*$F$21,0))*$F$11+F223)</f>
        <v>0</v>
      </c>
      <c r="G224" s="35" t="n">
        <f aca="false">Quesería!$B$36*(IF(G$43=0,SUMPRODUCT((Quesería!$C$62:$C$77=0)*(Quesería!$H$62:$H$77&gt;0)*(Quesería!$J$62:$J$77&gt;0)*Quesería!$F$62:$F$77*(1+Quesería!$I$62:$I$77)),IF(G$43=1,SUMPRODUCT((Quesería!$C$62:$C$77=1)*(Quesería!$H$62:$H$77&gt;0)*(Quesería!$J$62:$J$77&gt;0)*Quesería!$F$62:$F$77*(1+Quesería!$I$62:$I$77))*$F$21,0))*$F$11+G223)</f>
        <v>5.06666666666667</v>
      </c>
      <c r="H224" s="35" t="n">
        <f aca="false">Quesería!$B$36*(IF(H$43=0,SUMPRODUCT((Quesería!$C$62:$C$77=0)*(Quesería!$H$62:$H$77&gt;0)*(Quesería!$J$62:$J$77&gt;0)*Quesería!$F$62:$F$77*(1+Quesería!$I$62:$I$77)),IF(H$43=1,SUMPRODUCT((Quesería!$C$62:$C$77=1)*(Quesería!$H$62:$H$77&gt;0)*(Quesería!$J$62:$J$77&gt;0)*Quesería!$F$62:$F$77*(1+Quesería!$I$62:$I$77))*$F$21,0))*$F$11+H223)</f>
        <v>6.70786508076667</v>
      </c>
      <c r="I224" s="35" t="n">
        <f aca="false">Quesería!$B$36*(IF(I$43=0,SUMPRODUCT((Quesería!$C$62:$C$77=0)*(Quesería!$H$62:$H$77&gt;0)*(Quesería!$J$62:$J$77&gt;0)*Quesería!$F$62:$F$77*(1+Quesería!$I$62:$I$77)),IF(I$43=1,SUMPRODUCT((Quesería!$C$62:$C$77=1)*(Quesería!$H$62:$H$77&gt;0)*(Quesería!$J$62:$J$77&gt;0)*Quesería!$F$62:$F$77*(1+Quesería!$I$62:$I$77))*$F$21,0))*$F$11+I223)</f>
        <v>0</v>
      </c>
      <c r="J224" s="35" t="n">
        <f aca="false">Quesería!$B$36*(IF(J$43=0,SUMPRODUCT((Quesería!$C$62:$C$77=0)*(Quesería!$H$62:$H$77&gt;0)*(Quesería!$J$62:$J$77&gt;0)*Quesería!$F$62:$F$77*(1+Quesería!$I$62:$I$77)),IF(J$43=1,SUMPRODUCT((Quesería!$C$62:$C$77=1)*(Quesería!$H$62:$H$77&gt;0)*(Quesería!$J$62:$J$77&gt;0)*Quesería!$F$62:$F$77*(1+Quesería!$I$62:$I$77))*$F$21,0))*$F$11+J223)</f>
        <v>0</v>
      </c>
      <c r="K224" s="35" t="n">
        <f aca="false">Quesería!$B$36*(IF(K$43=0,SUMPRODUCT((Quesería!$C$62:$C$77=0)*(Quesería!$H$62:$H$77&gt;0)*(Quesería!$J$62:$J$77&gt;0)*Quesería!$F$62:$F$77*(1+Quesería!$I$62:$I$77)),IF(K$43=1,SUMPRODUCT((Quesería!$C$62:$C$77=1)*(Quesería!$H$62:$H$77&gt;0)*(Quesería!$J$62:$J$77&gt;0)*Quesería!$F$62:$F$77*(1+Quesería!$I$62:$I$77))*$F$21,0))*$F$11+K223)</f>
        <v>0</v>
      </c>
      <c r="L224" s="35" t="n">
        <f aca="false">Quesería!$B$36*(IF(L$43=0,SUMPRODUCT((Quesería!$C$62:$C$77=0)*(Quesería!$H$62:$H$77&gt;0)*(Quesería!$J$62:$J$77&gt;0)*Quesería!$F$62:$F$77*(1+Quesería!$I$62:$I$77)),IF(L$43=1,SUMPRODUCT((Quesería!$C$62:$C$77=1)*(Quesería!$H$62:$H$77&gt;0)*(Quesería!$J$62:$J$77&gt;0)*Quesería!$F$62:$F$77*(1+Quesería!$I$62:$I$77))*$F$21,0))*$F$11+L223)</f>
        <v>0</v>
      </c>
    </row>
    <row r="225" customFormat="false" ht="15" hidden="false" customHeight="false" outlineLevel="0" collapsed="false">
      <c r="A225" s="6" t="s">
        <v>260</v>
      </c>
      <c r="B225" s="35" t="n">
        <f aca="false">IF(B$43=0,($F$22*Quesería!$J$109+(1-$F$22)*Quesería!$E$105)*Quesería!$B$12*Quesería!$B$13/12*$F$23,(($F$22*Quesería!$J$109+(1-$F$22)*Quesería!$E$105)+($F$22*Quesería!$J$92+(1-$F$22)*Quesería!$E$92)*(B220-1))*IF(B$43=1,Quesería!$B$12,1))*$F$10</f>
        <v>45.6373732102639</v>
      </c>
      <c r="C225" s="35" t="n">
        <f aca="false">IF(C$43=0,($F$22*Quesería!$J$109+(1-$F$22)*Quesería!$E$105)*Quesería!$B$12*Quesería!$B$13/12*$F$23,(($F$22*Quesería!$J$109+(1-$F$22)*Quesería!$E$105)+($F$22*Quesería!$J$92+(1-$F$22)*Quesería!$E$92)*(C220-1))*IF(C$43=1,Quesería!$B$12,1))*$F$10</f>
        <v>137.165278593056</v>
      </c>
      <c r="D225" s="35" t="n">
        <f aca="false">IF(D$43=0,($F$22*Quesería!$J$109+(1-$F$22)*Quesería!$E$105)*Quesería!$B$12*Quesería!$B$13/12*$F$23,(($F$22*Quesería!$J$109+(1-$F$22)*Quesería!$E$105)+($F$22*Quesería!$J$92+(1-$F$22)*Quesería!$E$92)*(D220-1))*IF(D$43=1,Quesería!$B$12,1))*$F$10</f>
        <v>182.947525850489</v>
      </c>
      <c r="E225" s="35" t="n">
        <f aca="false">IF(E$43=0,($F$22*Quesería!$J$109+(1-$F$22)*Quesería!$E$105)*Quesería!$B$12*Quesería!$B$13/12*$F$23,(($F$22*Quesería!$J$109+(1-$F$22)*Quesería!$E$105)+($F$22*Quesería!$J$92+(1-$F$22)*Quesería!$E$92)*(E220-1))*IF(E$43=1,Quesería!$B$12,1))*$F$10</f>
        <v>183.008316015537</v>
      </c>
      <c r="F225" s="35" t="n">
        <f aca="false">IF(F$43=0,($F$22*Quesería!$J$109+(1-$F$22)*Quesería!$E$105)*Quesería!$B$12*Quesería!$B$13/12*$F$23,(($F$22*Quesería!$J$109+(1-$F$22)*Quesería!$E$105)+($F$22*Quesería!$J$92+(1-$F$22)*Quesería!$E$92)*(F220-1))*IF(F$43=1,Quesería!$B$12,1))*$F$10</f>
        <v>183.069410131409</v>
      </c>
      <c r="G225" s="35" t="n">
        <f aca="false">IF(G$43=0,($F$22*Quesería!$J$109+(1-$F$22)*Quesería!$E$105)*Quesería!$B$12*Quesería!$B$13/12*$F$23,(($F$22*Quesería!$J$109+(1-$F$22)*Quesería!$E$105)+($F$22*Quesería!$J$92+(1-$F$22)*Quesería!$E$92)*(G220-1))*IF(G$43=1,Quesería!$B$12,1))*$F$10</f>
        <v>183.130809717861</v>
      </c>
      <c r="H225" s="35" t="n">
        <f aca="false">IF(H$43=0,($F$22*Quesería!$J$109+(1-$F$22)*Quesería!$E$105)*Quesería!$B$12*Quesería!$B$13/12*$F$23,(($F$22*Quesería!$J$109+(1-$F$22)*Quesería!$E$105)+($F$22*Quesería!$J$92+(1-$F$22)*Quesería!$E$92)*(H220-1))*IF(H$43=1,Quesería!$B$12,1))*$F$10</f>
        <v>183.192516302245</v>
      </c>
      <c r="I225" s="35" t="n">
        <f aca="false">IF(I$43=0,($F$22*Quesería!$J$109+(1-$F$22)*Quesería!$E$105)*Quesería!$B$12*Quesería!$B$13/12*$F$23,(($F$22*Quesería!$J$109+(1-$F$22)*Quesería!$E$105)+($F$22*Quesería!$J$92+(1-$F$22)*Quesería!$E$92)*(I220-1))*IF(I$43=1,Quesería!$B$12,1))*$F$10</f>
        <v>183.254531419551</v>
      </c>
      <c r="J225" s="35" t="n">
        <f aca="false">IF(J$43=0,($F$22*Quesería!$J$109+(1-$F$22)*Quesería!$E$105)*Quesería!$B$12*Quesería!$B$13/12*$F$23,(($F$22*Quesería!$J$109+(1-$F$22)*Quesería!$E$105)+($F$22*Quesería!$J$92+(1-$F$22)*Quesería!$E$92)*(J220-1))*IF(J$43=1,Quesería!$B$12,1))*$F$10</f>
        <v>183.316856612443</v>
      </c>
      <c r="K225" s="35" t="n">
        <f aca="false">IF(K$43=0,($F$22*Quesería!$J$109+(1-$F$22)*Quesería!$E$105)*Quesería!$B$12*Quesería!$B$13/12*$F$23,(($F$22*Quesería!$J$109+(1-$F$22)*Quesería!$E$105)+($F$22*Quesería!$J$92+(1-$F$22)*Quesería!$E$92)*(K220-1))*IF(K$43=1,Quesería!$B$12,1))*$F$10</f>
        <v>183.3794934313</v>
      </c>
      <c r="L225" s="35" t="n">
        <f aca="false">IF(L$43=0,($F$22*Quesería!$J$109+(1-$F$22)*Quesería!$E$105)*Quesería!$B$12*Quesería!$B$13/12*$F$23,(($F$22*Quesería!$J$109+(1-$F$22)*Quesería!$E$105)+($F$22*Quesería!$J$92+(1-$F$22)*Quesería!$E$92)*(L220-1))*IF(L$43=1,Quesería!$B$12,1))*$F$10</f>
        <v>183.442443434251</v>
      </c>
    </row>
    <row r="226" customFormat="false" ht="15" hidden="false" customHeight="false" outlineLevel="0" collapsed="false">
      <c r="A226" s="6" t="s">
        <v>261</v>
      </c>
      <c r="B226" s="35" t="n">
        <f aca="false">IF(B$43&lt;=1,0,((($F$22*Quesería!$J$110+(1-$F$22)*Quesería!$E$106)-($F$22*Quesería!$J$99+(1-$F$22)*Quesería!$E$99)+$F$6*($F$22*Quesería!$J$99+(1-$F$22)*Quesería!$E$99)-(1-$F$9)*($F$22*Quesería!$J$102+(1-$F$22)*Quesería!$E$102))+($F$6*($F$22*Quesería!$J$99+(1-$F$22)*Quesería!$E$99)+$F$9*($F$22*Quesería!$J$102+(1-$F$22)*Quesería!$E$102))*(B220-1))*IF(B$43=2,Quesería!$B$12,1)+IF(B$43=2,Quesería!$B$14*$F$9*($F$22*Quesería!$J$102+(1-$F$22)*Quesería!$E$102)*B220,0))*$F$10*$F$21</f>
        <v>0</v>
      </c>
      <c r="C226" s="35" t="n">
        <f aca="false">IF(C$43&lt;=1,0,((($F$22*Quesería!$J$110+(1-$F$22)*Quesería!$E$106)-($F$22*Quesería!$J$99+(1-$F$22)*Quesería!$E$99)+$F$6*($F$22*Quesería!$J$99+(1-$F$22)*Quesería!$E$99)-(1-$F$9)*($F$22*Quesería!$J$102+(1-$F$22)*Quesería!$E$102))+($F$6*($F$22*Quesería!$J$99+(1-$F$22)*Quesería!$E$99)+$F$9*($F$22*Quesería!$J$102+(1-$F$22)*Quesería!$E$102))*(C220-1))*IF(C$43=2,Quesería!$B$12,1)+IF(C$43=2,Quesería!$B$14*$F$9*($F$22*Quesería!$J$102+(1-$F$22)*Quesería!$E$102)*C220,0))*$F$10*$F$21</f>
        <v>0</v>
      </c>
      <c r="D226" s="35" t="n">
        <f aca="false">IF(D$43&lt;=1,0,((($F$22*Quesería!$J$110+(1-$F$22)*Quesería!$E$106)-($F$22*Quesería!$J$99+(1-$F$22)*Quesería!$E$99)+$F$6*($F$22*Quesería!$J$99+(1-$F$22)*Quesería!$E$99)-(1-$F$9)*($F$22*Quesería!$J$102+(1-$F$22)*Quesería!$E$102))+($F$6*($F$22*Quesería!$J$99+(1-$F$22)*Quesería!$E$99)+$F$9*($F$22*Quesería!$J$102+(1-$F$22)*Quesería!$E$102))*(D220-1))*IF(D$43=2,Quesería!$B$12,1)+IF(D$43=2,Quesería!$B$14*$F$9*($F$22*Quesería!$J$102+(1-$F$22)*Quesería!$E$102)*D220,0))*$F$10*$F$21</f>
        <v>119.679020554182</v>
      </c>
      <c r="E226" s="35" t="n">
        <f aca="false">IF(E$43&lt;=1,0,((($F$22*Quesería!$J$110+(1-$F$22)*Quesería!$E$106)-($F$22*Quesería!$J$99+(1-$F$22)*Quesería!$E$99)+$F$6*($F$22*Quesería!$J$99+(1-$F$22)*Quesería!$E$99)-(1-$F$9)*($F$22*Quesería!$J$102+(1-$F$22)*Quesería!$E$102))+($F$6*($F$22*Quesería!$J$99+(1-$F$22)*Quesería!$E$99)+$F$9*($F$22*Quesería!$J$102+(1-$F$22)*Quesería!$E$102))*(E220-1))*IF(E$43=2,Quesería!$B$12,1)+IF(E$43=2,Quesería!$B$14*$F$9*($F$22*Quesería!$J$102+(1-$F$22)*Quesería!$E$102)*E220,0))*$F$10*$F$21</f>
        <v>159.632817570623</v>
      </c>
      <c r="F226" s="35" t="n">
        <f aca="false">IF(F$43&lt;=1,0,((($F$22*Quesería!$J$110+(1-$F$22)*Quesería!$E$106)-($F$22*Quesería!$J$99+(1-$F$22)*Quesería!$E$99)+$F$6*($F$22*Quesería!$J$99+(1-$F$22)*Quesería!$E$99)-(1-$F$9)*($F$22*Quesería!$J$102+(1-$F$22)*Quesería!$E$102))+($F$6*($F$22*Quesería!$J$99+(1-$F$22)*Quesería!$E$99)+$F$9*($F$22*Quesería!$J$102+(1-$F$22)*Quesería!$E$102))*(F220-1))*IF(F$43=2,Quesería!$B$12,1)+IF(F$43=2,Quesería!$B$14*$F$9*($F$22*Quesería!$J$102+(1-$F$22)*Quesería!$E$102)*F220,0))*$F$10*$F$21</f>
        <v>159.693911686495</v>
      </c>
      <c r="G226" s="35" t="n">
        <f aca="false">IF(G$43&lt;=1,0,((($F$22*Quesería!$J$110+(1-$F$22)*Quesería!$E$106)-($F$22*Quesería!$J$99+(1-$F$22)*Quesería!$E$99)+$F$6*($F$22*Quesería!$J$99+(1-$F$22)*Quesería!$E$99)-(1-$F$9)*($F$22*Quesería!$J$102+(1-$F$22)*Quesería!$E$102))+($F$6*($F$22*Quesería!$J$99+(1-$F$22)*Quesería!$E$99)+$F$9*($F$22*Quesería!$J$102+(1-$F$22)*Quesería!$E$102))*(G220-1))*IF(G$43=2,Quesería!$B$12,1)+IF(G$43=2,Quesería!$B$14*$F$9*($F$22*Quesería!$J$102+(1-$F$22)*Quesería!$E$102)*G220,0))*$F$10*$F$21</f>
        <v>159.755311272947</v>
      </c>
      <c r="H226" s="35" t="n">
        <f aca="false">IF(H$43&lt;=1,0,((($F$22*Quesería!$J$110+(1-$F$22)*Quesería!$E$106)-($F$22*Quesería!$J$99+(1-$F$22)*Quesería!$E$99)+$F$6*($F$22*Quesería!$J$99+(1-$F$22)*Quesería!$E$99)-(1-$F$9)*($F$22*Quesería!$J$102+(1-$F$22)*Quesería!$E$102))+($F$6*($F$22*Quesería!$J$99+(1-$F$22)*Quesería!$E$99)+$F$9*($F$22*Quesería!$J$102+(1-$F$22)*Quesería!$E$102))*(H220-1))*IF(H$43=2,Quesería!$B$12,1)+IF(H$43=2,Quesería!$B$14*$F$9*($F$22*Quesería!$J$102+(1-$F$22)*Quesería!$E$102)*H220,0))*$F$10*$F$21</f>
        <v>159.817017857331</v>
      </c>
      <c r="I226" s="35" t="n">
        <f aca="false">IF(I$43&lt;=1,0,((($F$22*Quesería!$J$110+(1-$F$22)*Quesería!$E$106)-($F$22*Quesería!$J$99+(1-$F$22)*Quesería!$E$99)+$F$6*($F$22*Quesería!$J$99+(1-$F$22)*Quesería!$E$99)-(1-$F$9)*($F$22*Quesería!$J$102+(1-$F$22)*Quesería!$E$102))+($F$6*($F$22*Quesería!$J$99+(1-$F$22)*Quesería!$E$99)+$F$9*($F$22*Quesería!$J$102+(1-$F$22)*Quesería!$E$102))*(I220-1))*IF(I$43=2,Quesería!$B$12,1)+IF(I$43=2,Quesería!$B$14*$F$9*($F$22*Quesería!$J$102+(1-$F$22)*Quesería!$E$102)*I220,0))*$F$10*$F$21</f>
        <v>159.879032974637</v>
      </c>
      <c r="J226" s="35" t="n">
        <f aca="false">IF(J$43&lt;=1,0,((($F$22*Quesería!$J$110+(1-$F$22)*Quesería!$E$106)-($F$22*Quesería!$J$99+(1-$F$22)*Quesería!$E$99)+$F$6*($F$22*Quesería!$J$99+(1-$F$22)*Quesería!$E$99)-(1-$F$9)*($F$22*Quesería!$J$102+(1-$F$22)*Quesería!$E$102))+($F$6*($F$22*Quesería!$J$99+(1-$F$22)*Quesería!$E$99)+$F$9*($F$22*Quesería!$J$102+(1-$F$22)*Quesería!$E$102))*(J220-1))*IF(J$43=2,Quesería!$B$12,1)+IF(J$43=2,Quesería!$B$14*$F$9*($F$22*Quesería!$J$102+(1-$F$22)*Quesería!$E$102)*J220,0))*$F$10*$F$21</f>
        <v>159.941358167529</v>
      </c>
      <c r="K226" s="35" t="n">
        <f aca="false">IF(K$43&lt;=1,0,((($F$22*Quesería!$J$110+(1-$F$22)*Quesería!$E$106)-($F$22*Quesería!$J$99+(1-$F$22)*Quesería!$E$99)+$F$6*($F$22*Quesería!$J$99+(1-$F$22)*Quesería!$E$99)-(1-$F$9)*($F$22*Quesería!$J$102+(1-$F$22)*Quesería!$E$102))+($F$6*($F$22*Quesería!$J$99+(1-$F$22)*Quesería!$E$99)+$F$9*($F$22*Quesería!$J$102+(1-$F$22)*Quesería!$E$102))*(K220-1))*IF(K$43=2,Quesería!$B$12,1)+IF(K$43=2,Quesería!$B$14*$F$9*($F$22*Quesería!$J$102+(1-$F$22)*Quesería!$E$102)*K220,0))*$F$10*$F$21</f>
        <v>160.003994986386</v>
      </c>
      <c r="L226" s="35" t="n">
        <f aca="false">IF(L$43&lt;=1,0,((($F$22*Quesería!$J$110+(1-$F$22)*Quesería!$E$106)-($F$22*Quesería!$J$99+(1-$F$22)*Quesería!$E$99)+$F$6*($F$22*Quesería!$J$99+(1-$F$22)*Quesería!$E$99)-(1-$F$9)*($F$22*Quesería!$J$102+(1-$F$22)*Quesería!$E$102))+($F$6*($F$22*Quesería!$J$99+(1-$F$22)*Quesería!$E$99)+$F$9*($F$22*Quesería!$J$102+(1-$F$22)*Quesería!$E$102))*(L220-1))*IF(L$43=2,Quesería!$B$12,1)+IF(L$43=2,Quesería!$B$14*$F$9*($F$22*Quesería!$J$102+(1-$F$22)*Quesería!$E$102)*L220,0))*$F$10*$F$21</f>
        <v>160.066944989337</v>
      </c>
    </row>
    <row r="227" customFormat="false" ht="15" hidden="false" customHeight="false" outlineLevel="0" collapsed="false">
      <c r="A227" s="5" t="s">
        <v>287</v>
      </c>
      <c r="B227" s="10" t="n">
        <f aca="false">B225+B226</f>
        <v>45.6373732102639</v>
      </c>
      <c r="C227" s="10" t="n">
        <f aca="false">C225+C226</f>
        <v>137.165278593056</v>
      </c>
      <c r="D227" s="10" t="n">
        <f aca="false">D225+D226</f>
        <v>302.626546404671</v>
      </c>
      <c r="E227" s="10" t="n">
        <f aca="false">E225+E226</f>
        <v>342.641133586159</v>
      </c>
      <c r="F227" s="10" t="n">
        <f aca="false">F225+F226</f>
        <v>342.763321817904</v>
      </c>
      <c r="G227" s="10" t="n">
        <f aca="false">G225+G226</f>
        <v>342.886120990808</v>
      </c>
      <c r="H227" s="10" t="n">
        <f aca="false">H225+H226</f>
        <v>343.009534159576</v>
      </c>
      <c r="I227" s="10" t="n">
        <f aca="false">I225+I226</f>
        <v>343.133564394188</v>
      </c>
      <c r="J227" s="10" t="n">
        <f aca="false">J225+J226</f>
        <v>343.258214779973</v>
      </c>
      <c r="K227" s="10" t="n">
        <f aca="false">K225+K226</f>
        <v>343.383488417686</v>
      </c>
      <c r="L227" s="10" t="n">
        <f aca="false">L225+L226</f>
        <v>343.509388423589</v>
      </c>
    </row>
    <row r="228" customFormat="false" ht="15" hidden="false" customHeight="false" outlineLevel="0" collapsed="false">
      <c r="A228" s="6" t="s">
        <v>288</v>
      </c>
      <c r="B228" s="35" t="n">
        <f aca="false">(IF(B$43&gt;=1,(Quesería!$B$21+Quesería!$B$54)*Quesería!$F$82*$F$11+Quesería!$B$22+'Beneficios y costos'!$B$118,0)+IF(B$43&gt;=2,((Quesería!$B$21+Quesería!$B$54)*Quesería!$F$83*$F$11+'Beneficios y costos'!$C$118)*$F$21,0))*$F$12</f>
        <v>0</v>
      </c>
      <c r="C228" s="35" t="n">
        <f aca="false">(IF(C$43&gt;=1,(Quesería!$B$21+Quesería!$B$54)*Quesería!$F$82*$F$11+Quesería!$B$22+'Beneficios y costos'!$B$118,0)+IF(C$43&gt;=2,((Quesería!$B$21+Quesería!$B$54)*Quesería!$F$83*$F$11+'Beneficios y costos'!$C$118)*$F$21,0))*$F$12</f>
        <v>36.8921528634167</v>
      </c>
      <c r="D228" s="35" t="n">
        <f aca="false">(IF(D$43&gt;=1,(Quesería!$B$21+Quesería!$B$54)*Quesería!$F$82*$F$11+Quesería!$B$22+'Beneficios y costos'!$B$118,0)+IF(D$43&gt;=2,((Quesería!$B$21+Quesería!$B$54)*Quesería!$F$83*$F$11+'Beneficios y costos'!$C$118)*$F$21,0))*$F$12</f>
        <v>88.8065043646377</v>
      </c>
      <c r="E228" s="35" t="n">
        <f aca="false">(IF(E$43&gt;=1,(Quesería!$B$21+Quesería!$B$54)*Quesería!$F$82*$F$11+Quesería!$B$22+'Beneficios y costos'!$B$118,0)+IF(E$43&gt;=2,((Quesería!$B$21+Quesería!$B$54)*Quesería!$F$83*$F$11+'Beneficios y costos'!$C$118)*$F$21,0))*$F$12</f>
        <v>88.8065043646377</v>
      </c>
      <c r="F228" s="35" t="n">
        <f aca="false">(IF(F$43&gt;=1,(Quesería!$B$21+Quesería!$B$54)*Quesería!$F$82*$F$11+Quesería!$B$22+'Beneficios y costos'!$B$118,0)+IF(F$43&gt;=2,((Quesería!$B$21+Quesería!$B$54)*Quesería!$F$83*$F$11+'Beneficios y costos'!$C$118)*$F$21,0))*$F$12</f>
        <v>88.8065043646377</v>
      </c>
      <c r="G228" s="35" t="n">
        <f aca="false">(IF(G$43&gt;=1,(Quesería!$B$21+Quesería!$B$54)*Quesería!$F$82*$F$11+Quesería!$B$22+'Beneficios y costos'!$B$118,0)+IF(G$43&gt;=2,((Quesería!$B$21+Quesería!$B$54)*Quesería!$F$83*$F$11+'Beneficios y costos'!$C$118)*$F$21,0))*$F$12</f>
        <v>88.8065043646377</v>
      </c>
      <c r="H228" s="35" t="n">
        <f aca="false">(IF(H$43&gt;=1,(Quesería!$B$21+Quesería!$B$54)*Quesería!$F$82*$F$11+Quesería!$B$22+'Beneficios y costos'!$B$118,0)+IF(H$43&gt;=2,((Quesería!$B$21+Quesería!$B$54)*Quesería!$F$83*$F$11+'Beneficios y costos'!$C$118)*$F$21,0))*$F$12</f>
        <v>88.8065043646377</v>
      </c>
      <c r="I228" s="35" t="n">
        <f aca="false">(IF(I$43&gt;=1,(Quesería!$B$21+Quesería!$B$54)*Quesería!$F$82*$F$11+Quesería!$B$22+'Beneficios y costos'!$B$118,0)+IF(I$43&gt;=2,((Quesería!$B$21+Quesería!$B$54)*Quesería!$F$83*$F$11+'Beneficios y costos'!$C$118)*$F$21,0))*$F$12</f>
        <v>88.8065043646377</v>
      </c>
      <c r="J228" s="35" t="n">
        <f aca="false">(IF(J$43&gt;=1,(Quesería!$B$21+Quesería!$B$54)*Quesería!$F$82*$F$11+Quesería!$B$22+'Beneficios y costos'!$B$118,0)+IF(J$43&gt;=2,((Quesería!$B$21+Quesería!$B$54)*Quesería!$F$83*$F$11+'Beneficios y costos'!$C$118)*$F$21,0))*$F$12</f>
        <v>88.8065043646377</v>
      </c>
      <c r="K228" s="35" t="n">
        <f aca="false">(IF(K$43&gt;=1,(Quesería!$B$21+Quesería!$B$54)*Quesería!$F$82*$F$11+Quesería!$B$22+'Beneficios y costos'!$B$118,0)+IF(K$43&gt;=2,((Quesería!$B$21+Quesería!$B$54)*Quesería!$F$83*$F$11+'Beneficios y costos'!$C$118)*$F$21,0))*$F$12</f>
        <v>88.8065043646377</v>
      </c>
      <c r="L228" s="35" t="n">
        <f aca="false">(IF(L$43&gt;=1,(Quesería!$B$21+Quesería!$B$54)*Quesería!$F$82*$F$11+Quesería!$B$22+'Beneficios y costos'!$B$118,0)+IF(L$43&gt;=2,((Quesería!$B$21+Quesería!$B$54)*Quesería!$F$83*$F$11+'Beneficios y costos'!$C$118)*$F$21,0))*$F$12</f>
        <v>88.8065043646377</v>
      </c>
    </row>
    <row r="229" customFormat="false" ht="15" hidden="false" customHeight="false" outlineLevel="0" collapsed="false">
      <c r="A229" s="6" t="s">
        <v>289</v>
      </c>
      <c r="B229" s="35" t="n">
        <f aca="false">IF(B$43=1,2*Quesería!$B$33*Quesería!$B$34/12*B220,0)*$F$21</f>
        <v>0</v>
      </c>
      <c r="C229" s="35" t="n">
        <f aca="false">IF(C$43=1,2*Quesería!$B$33*Quesería!$B$34/12*C220,0)*$F$21</f>
        <v>18.5166509433962</v>
      </c>
      <c r="D229" s="35" t="n">
        <f aca="false">IF(D$43=1,2*Quesería!$B$33*Quesería!$B$34/12*D220,0)*$F$21</f>
        <v>0</v>
      </c>
      <c r="E229" s="35" t="n">
        <f aca="false">IF(E$43=1,2*Quesería!$B$33*Quesería!$B$34/12*E220,0)*$F$21</f>
        <v>0</v>
      </c>
      <c r="F229" s="35" t="n">
        <f aca="false">IF(F$43=1,2*Quesería!$B$33*Quesería!$B$34/12*F220,0)*$F$21</f>
        <v>0</v>
      </c>
      <c r="G229" s="35" t="n">
        <f aca="false">IF(G$43=1,2*Quesería!$B$33*Quesería!$B$34/12*G220,0)*$F$21</f>
        <v>0</v>
      </c>
      <c r="H229" s="35" t="n">
        <f aca="false">IF(H$43=1,2*Quesería!$B$33*Quesería!$B$34/12*H220,0)*$F$21</f>
        <v>0</v>
      </c>
      <c r="I229" s="35" t="n">
        <f aca="false">IF(I$43=1,2*Quesería!$B$33*Quesería!$B$34/12*I220,0)*$F$21</f>
        <v>0</v>
      </c>
      <c r="J229" s="35" t="n">
        <f aca="false">IF(J$43=1,2*Quesería!$B$33*Quesería!$B$34/12*J220,0)*$F$21</f>
        <v>0</v>
      </c>
      <c r="K229" s="35" t="n">
        <f aca="false">IF(K$43=1,2*Quesería!$B$33*Quesería!$B$34/12*K220,0)*$F$21</f>
        <v>0</v>
      </c>
      <c r="L229" s="35" t="n">
        <f aca="false">IF(L$43=1,2*Quesería!$B$33*Quesería!$B$34/12*L220,0)*$F$21</f>
        <v>0</v>
      </c>
    </row>
    <row r="230" customFormat="false" ht="15" hidden="false" customHeight="false" outlineLevel="0" collapsed="false">
      <c r="A230" s="6" t="s">
        <v>290</v>
      </c>
      <c r="B230" s="35" t="n">
        <f aca="false">Quesería!$B$45*(B222+B223+B224+B228+B229)</f>
        <v>2.88636599924197</v>
      </c>
      <c r="C230" s="35" t="n">
        <f aca="false">Quesería!$B$45*(C222+C223+C224+C228+C229)</f>
        <v>3.29312083686149</v>
      </c>
      <c r="D230" s="35" t="n">
        <f aca="false">Quesería!$B$45*(D222+D223+D224+D228+D229)</f>
        <v>0.355226017458551</v>
      </c>
      <c r="E230" s="35" t="n">
        <f aca="false">Quesería!$B$45*(E222+E223+E224+E228+E229)</f>
        <v>0.355226017458551</v>
      </c>
      <c r="F230" s="35" t="n">
        <f aca="false">Quesería!$B$45*(F222+F223+F224+F228+F229)</f>
        <v>0.355226017458551</v>
      </c>
      <c r="G230" s="35" t="n">
        <f aca="false">Quesería!$B$45*(G222+G223+G224+G228+G229)</f>
        <v>0.482159350791884</v>
      </c>
      <c r="H230" s="35" t="n">
        <f aca="false">Quesería!$B$45*(H222+H223+H224+H228+H229)</f>
        <v>0.523275690008284</v>
      </c>
      <c r="I230" s="35" t="n">
        <f aca="false">Quesería!$B$45*(I222+I223+I224+I228+I229)</f>
        <v>0.355226017458551</v>
      </c>
      <c r="J230" s="35" t="n">
        <f aca="false">Quesería!$B$45*(J222+J223+J224+J228+J229)</f>
        <v>0.355226017458551</v>
      </c>
      <c r="K230" s="35" t="n">
        <f aca="false">Quesería!$B$45*(K222+K223+K224+K228+K229)</f>
        <v>0.355226017458551</v>
      </c>
      <c r="L230" s="35" t="n">
        <f aca="false">Quesería!$B$45*(L222+L223+L224+L228+L229)</f>
        <v>0.355226017458551</v>
      </c>
    </row>
    <row r="231" customFormat="false" ht="15" hidden="false" customHeight="false" outlineLevel="0" collapsed="false">
      <c r="A231" s="6" t="s">
        <v>291</v>
      </c>
      <c r="B231" s="35" t="n">
        <f aca="false">(IF($F$19=1,(SUMPRODUCT((Quesería!$C$62:$C$77=0)*(Quesería!$J$62:$J$77&gt;0)*(B$43&gt;=1)*(B$43&lt;=Quesería!$J$62:$J$77)*(Quesería!$H$62:$H$77&gt;0)*Quesería!$F$62:$F$77*(1+Quesería!$I$62:$I$77)/(Quesería!$J$62:$J$77+(Quesería!$J$62:$J$77=0)))+SUMPRODUCT((Quesería!$C$62:$C$77=0)*(Quesería!$J$62:$J$77=0)*(B$43=0)*(Quesería!$H$62:$H$77&gt;0)*Quesería!$F$62:$F$77*(1+Quesería!$I$62:$I$77)))*$B$219+(SUMPRODUCT((Quesería!$C$62:$C$77=1)*(Quesería!$J$62:$J$77&gt;0)*(B$43&gt;=2)*(B$43&lt;=Quesería!$J$62:$J$77+1)*(Quesería!$H$62:$H$77&gt;0)*Quesería!$F$62:$F$77*(1+Quesería!$I$62:$I$77)/(Quesería!$J$62:$J$77+(Quesería!$J$62:$J$77=0)))+SUMPRODUCT((Quesería!$C$62:$C$77=1)*(Quesería!$J$62:$J$77=0)*(B$43=1)*(Quesería!$H$62:$H$77&gt;0)*Quesería!$F$62:$F$77*(1+Quesería!$I$62:$I$77)))*$C$219*$F$21,IF(AND(B$43&gt;=1,B$43&lt;=Quesería!$B$11),Quesería!$F$80/Quesería!$B$11,0)*$B$219+IF(AND(B$43&gt;=2,B$43&lt;=Quesería!$B$11+1),Quesería!$F$81/Quesería!$B$11,0)*$C$219*$F$21)*$F$11+IF(AND(B$43&gt;=6,B$43&lt;=10),$G223*$G219/5,0)+IF(AND(B$43&gt;=7,B$43&lt;=11),$H223*$H219/5,0))*B221</f>
        <v>99.3600691219113</v>
      </c>
      <c r="C231" s="35" t="n">
        <f aca="false">(IF($F$19=1,(SUMPRODUCT((Quesería!$C$62:$C$77=0)*(Quesería!$J$62:$J$77&gt;0)*(C$43&gt;=1)*(C$43&lt;=Quesería!$J$62:$J$77)*(Quesería!$H$62:$H$77&gt;0)*Quesería!$F$62:$F$77*(1+Quesería!$I$62:$I$77)/(Quesería!$J$62:$J$77+(Quesería!$J$62:$J$77=0)))+SUMPRODUCT((Quesería!$C$62:$C$77=0)*(Quesería!$J$62:$J$77=0)*(C$43=0)*(Quesería!$H$62:$H$77&gt;0)*Quesería!$F$62:$F$77*(1+Quesería!$I$62:$I$77)))*$B$219+(SUMPRODUCT((Quesería!$C$62:$C$77=1)*(Quesería!$J$62:$J$77&gt;0)*(C$43&gt;=2)*(C$43&lt;=Quesería!$J$62:$J$77+1)*(Quesería!$H$62:$H$77&gt;0)*Quesería!$F$62:$F$77*(1+Quesería!$I$62:$I$77)/(Quesería!$J$62:$J$77+(Quesería!$J$62:$J$77=0)))+SUMPRODUCT((Quesería!$C$62:$C$77=1)*(Quesería!$J$62:$J$77=0)*(C$43=1)*(Quesería!$H$62:$H$77&gt;0)*Quesería!$F$62:$F$77*(1+Quesería!$I$62:$I$77)))*$C$219*$F$21,IF(AND(C$43&gt;=1,C$43&lt;=Quesería!$B$11),Quesería!$F$80/Quesería!$B$11,0)*$B$219+IF(AND(C$43&gt;=2,C$43&lt;=Quesería!$B$11+1),Quesería!$F$81/Quesería!$B$11,0)*$C$219*$F$21)*$F$11+IF(AND(C$43&gt;=6,C$43&lt;=10),$G223*$G219/5,0)+IF(AND(C$43&gt;=7,C$43&lt;=11),$H223*$H219/5,0))*C221</f>
        <v>57.1000211302053</v>
      </c>
      <c r="D231" s="35" t="n">
        <f aca="false">(IF($F$19=1,(SUMPRODUCT((Quesería!$C$62:$C$77=0)*(Quesería!$J$62:$J$77&gt;0)*(D$43&gt;=1)*(D$43&lt;=Quesería!$J$62:$J$77)*(Quesería!$H$62:$H$77&gt;0)*Quesería!$F$62:$F$77*(1+Quesería!$I$62:$I$77)/(Quesería!$J$62:$J$77+(Quesería!$J$62:$J$77=0)))+SUMPRODUCT((Quesería!$C$62:$C$77=0)*(Quesería!$J$62:$J$77=0)*(D$43=0)*(Quesería!$H$62:$H$77&gt;0)*Quesería!$F$62:$F$77*(1+Quesería!$I$62:$I$77)))*$B$219+(SUMPRODUCT((Quesería!$C$62:$C$77=1)*(Quesería!$J$62:$J$77&gt;0)*(D$43&gt;=2)*(D$43&lt;=Quesería!$J$62:$J$77+1)*(Quesería!$H$62:$H$77&gt;0)*Quesería!$F$62:$F$77*(1+Quesería!$I$62:$I$77)/(Quesería!$J$62:$J$77+(Quesería!$J$62:$J$77=0)))+SUMPRODUCT((Quesería!$C$62:$C$77=1)*(Quesería!$J$62:$J$77=0)*(D$43=1)*(Quesería!$H$62:$H$77&gt;0)*Quesería!$F$62:$F$77*(1+Quesería!$I$62:$I$77)))*$C$219*$F$21,IF(AND(D$43&gt;=1,D$43&lt;=Quesería!$B$11),Quesería!$F$80/Quesería!$B$11,0)*$B$219+IF(AND(D$43&gt;=2,D$43&lt;=Quesería!$B$11+1),Quesería!$F$81/Quesería!$B$11,0)*$C$219*$F$21)*$F$11+IF(AND(D$43&gt;=6,D$43&lt;=10),$G223*$G219/5,0)+IF(AND(D$43&gt;=7,D$43&lt;=11),$H223*$H219/5,0))*D221</f>
        <v>116.389502380926</v>
      </c>
      <c r="E231" s="35" t="n">
        <f aca="false">(IF($F$19=1,(SUMPRODUCT((Quesería!$C$62:$C$77=0)*(Quesería!$J$62:$J$77&gt;0)*(E$43&gt;=1)*(E$43&lt;=Quesería!$J$62:$J$77)*(Quesería!$H$62:$H$77&gt;0)*Quesería!$F$62:$F$77*(1+Quesería!$I$62:$I$77)/(Quesería!$J$62:$J$77+(Quesería!$J$62:$J$77=0)))+SUMPRODUCT((Quesería!$C$62:$C$77=0)*(Quesería!$J$62:$J$77=0)*(E$43=0)*(Quesería!$H$62:$H$77&gt;0)*Quesería!$F$62:$F$77*(1+Quesería!$I$62:$I$77)))*$B$219+(SUMPRODUCT((Quesería!$C$62:$C$77=1)*(Quesería!$J$62:$J$77&gt;0)*(E$43&gt;=2)*(E$43&lt;=Quesería!$J$62:$J$77+1)*(Quesería!$H$62:$H$77&gt;0)*Quesería!$F$62:$F$77*(1+Quesería!$I$62:$I$77)/(Quesería!$J$62:$J$77+(Quesería!$J$62:$J$77=0)))+SUMPRODUCT((Quesería!$C$62:$C$77=1)*(Quesería!$J$62:$J$77=0)*(E$43=1)*(Quesería!$H$62:$H$77&gt;0)*Quesería!$F$62:$F$77*(1+Quesería!$I$62:$I$77)))*$C$219*$F$21,IF(AND(E$43&gt;=1,E$43&lt;=Quesería!$B$11),Quesería!$F$80/Quesería!$B$11,0)*$B$219+IF(AND(E$43&gt;=2,E$43&lt;=Quesería!$B$11+1),Quesería!$F$81/Quesería!$B$11,0)*$C$219*$F$21)*$F$11+IF(AND(E$43&gt;=6,E$43&lt;=10),$G223*$G219/5,0)+IF(AND(E$43&gt;=7,E$43&lt;=11),$H223*$H219/5,0))*E221</f>
        <v>111.912983058583</v>
      </c>
      <c r="F231" s="35" t="n">
        <f aca="false">(IF($F$19=1,(SUMPRODUCT((Quesería!$C$62:$C$77=0)*(Quesería!$J$62:$J$77&gt;0)*(F$43&gt;=1)*(F$43&lt;=Quesería!$J$62:$J$77)*(Quesería!$H$62:$H$77&gt;0)*Quesería!$F$62:$F$77*(1+Quesería!$I$62:$I$77)/(Quesería!$J$62:$J$77+(Quesería!$J$62:$J$77=0)))+SUMPRODUCT((Quesería!$C$62:$C$77=0)*(Quesería!$J$62:$J$77=0)*(F$43=0)*(Quesería!$H$62:$H$77&gt;0)*Quesería!$F$62:$F$77*(1+Quesería!$I$62:$I$77)))*$B$219+(SUMPRODUCT((Quesería!$C$62:$C$77=1)*(Quesería!$J$62:$J$77&gt;0)*(F$43&gt;=2)*(F$43&lt;=Quesería!$J$62:$J$77+1)*(Quesería!$H$62:$H$77&gt;0)*Quesería!$F$62:$F$77*(1+Quesería!$I$62:$I$77)/(Quesería!$J$62:$J$77+(Quesería!$J$62:$J$77=0)))+SUMPRODUCT((Quesería!$C$62:$C$77=1)*(Quesería!$J$62:$J$77=0)*(F$43=1)*(Quesería!$H$62:$H$77&gt;0)*Quesería!$F$62:$F$77*(1+Quesería!$I$62:$I$77)))*$C$219*$F$21,IF(AND(F$43&gt;=1,F$43&lt;=Quesería!$B$11),Quesería!$F$80/Quesería!$B$11,0)*$B$219+IF(AND(F$43&gt;=2,F$43&lt;=Quesería!$B$11+1),Quesería!$F$81/Quesería!$B$11,0)*$C$219*$F$21)*$F$11+IF(AND(F$43&gt;=6,F$43&lt;=10),$G223*$G219/5,0)+IF(AND(F$43&gt;=7,F$43&lt;=11),$H223*$H219/5,0))*F221</f>
        <v>107.608637556329</v>
      </c>
      <c r="G231" s="35" t="n">
        <f aca="false">(IF($F$19=1,(SUMPRODUCT((Quesería!$C$62:$C$77=0)*(Quesería!$J$62:$J$77&gt;0)*(G$43&gt;=1)*(G$43&lt;=Quesería!$J$62:$J$77)*(Quesería!$H$62:$H$77&gt;0)*Quesería!$F$62:$F$77*(1+Quesería!$I$62:$I$77)/(Quesería!$J$62:$J$77+(Quesería!$J$62:$J$77=0)))+SUMPRODUCT((Quesería!$C$62:$C$77=0)*(Quesería!$J$62:$J$77=0)*(G$43=0)*(Quesería!$H$62:$H$77&gt;0)*Quesería!$F$62:$F$77*(1+Quesería!$I$62:$I$77)))*$B$219+(SUMPRODUCT((Quesería!$C$62:$C$77=1)*(Quesería!$J$62:$J$77&gt;0)*(G$43&gt;=2)*(G$43&lt;=Quesería!$J$62:$J$77+1)*(Quesería!$H$62:$H$77&gt;0)*Quesería!$F$62:$F$77*(1+Quesería!$I$62:$I$77)/(Quesería!$J$62:$J$77+(Quesería!$J$62:$J$77=0)))+SUMPRODUCT((Quesería!$C$62:$C$77=1)*(Quesería!$J$62:$J$77=0)*(G$43=1)*(Quesería!$H$62:$H$77&gt;0)*Quesería!$F$62:$F$77*(1+Quesería!$I$62:$I$77)))*$C$219*$F$21,IF(AND(G$43&gt;=1,G$43&lt;=Quesería!$B$11),Quesería!$F$80/Quesería!$B$11,0)*$B$219+IF(AND(G$43&gt;=2,G$43&lt;=Quesería!$B$11+1),Quesería!$F$81/Quesería!$B$11,0)*$C$219*$F$21)*$F$11+IF(AND(G$43&gt;=6,G$43&lt;=10),$G223*$G219/5,0)+IF(AND(G$43&gt;=7,G$43&lt;=11),$H223*$H219/5,0))*G221</f>
        <v>103.469843804163</v>
      </c>
      <c r="H231" s="35" t="n">
        <f aca="false">(IF($F$19=1,(SUMPRODUCT((Quesería!$C$62:$C$77=0)*(Quesería!$J$62:$J$77&gt;0)*(H$43&gt;=1)*(H$43&lt;=Quesería!$J$62:$J$77)*(Quesería!$H$62:$H$77&gt;0)*Quesería!$F$62:$F$77*(1+Quesería!$I$62:$I$77)/(Quesería!$J$62:$J$77+(Quesería!$J$62:$J$77=0)))+SUMPRODUCT((Quesería!$C$62:$C$77=0)*(Quesería!$J$62:$J$77=0)*(H$43=0)*(Quesería!$H$62:$H$77&gt;0)*Quesería!$F$62:$F$77*(1+Quesería!$I$62:$I$77)))*$B$219+(SUMPRODUCT((Quesería!$C$62:$C$77=1)*(Quesería!$J$62:$J$77&gt;0)*(H$43&gt;=2)*(H$43&lt;=Quesería!$J$62:$J$77+1)*(Quesería!$H$62:$H$77&gt;0)*Quesería!$F$62:$F$77*(1+Quesería!$I$62:$I$77)/(Quesería!$J$62:$J$77+(Quesería!$J$62:$J$77=0)))+SUMPRODUCT((Quesería!$C$62:$C$77=1)*(Quesería!$J$62:$J$77=0)*(H$43=1)*(Quesería!$H$62:$H$77&gt;0)*Quesería!$F$62:$F$77*(1+Quesería!$I$62:$I$77)))*$C$219*$F$21,IF(AND(H$43&gt;=1,H$43&lt;=Quesería!$B$11),Quesería!$F$80/Quesería!$B$11,0)*$B$219+IF(AND(H$43&gt;=2,H$43&lt;=Quesería!$B$11+1),Quesería!$F$81/Quesería!$B$11,0)*$C$219*$F$21)*$F$11+IF(AND(H$43&gt;=6,H$43&lt;=10),$G223*$G219/5,0)+IF(AND(H$43&gt;=7,H$43&lt;=11),$H223*$H219/5,0))*H221</f>
        <v>92.6731239063542</v>
      </c>
      <c r="I231" s="35" t="n">
        <f aca="false">(IF($F$19=1,(SUMPRODUCT((Quesería!$C$62:$C$77=0)*(Quesería!$J$62:$J$77&gt;0)*(I$43&gt;=1)*(I$43&lt;=Quesería!$J$62:$J$77)*(Quesería!$H$62:$H$77&gt;0)*Quesería!$F$62:$F$77*(1+Quesería!$I$62:$I$77)/(Quesería!$J$62:$J$77+(Quesería!$J$62:$J$77=0)))+SUMPRODUCT((Quesería!$C$62:$C$77=0)*(Quesería!$J$62:$J$77=0)*(I$43=0)*(Quesería!$H$62:$H$77&gt;0)*Quesería!$F$62:$F$77*(1+Quesería!$I$62:$I$77)))*$B$219+(SUMPRODUCT((Quesería!$C$62:$C$77=1)*(Quesería!$J$62:$J$77&gt;0)*(I$43&gt;=2)*(I$43&lt;=Quesería!$J$62:$J$77+1)*(Quesería!$H$62:$H$77&gt;0)*Quesería!$F$62:$F$77*(1+Quesería!$I$62:$I$77)/(Quesería!$J$62:$J$77+(Quesería!$J$62:$J$77=0)))+SUMPRODUCT((Quesería!$C$62:$C$77=1)*(Quesería!$J$62:$J$77=0)*(I$43=1)*(Quesería!$H$62:$H$77&gt;0)*Quesería!$F$62:$F$77*(1+Quesería!$I$62:$I$77)))*$C$219*$F$21,IF(AND(I$43&gt;=1,I$43&lt;=Quesería!$B$11),Quesería!$F$80/Quesería!$B$11,0)*$B$219+IF(AND(I$43&gt;=2,I$43&lt;=Quesería!$B$11+1),Quesería!$F$81/Quesería!$B$11,0)*$C$219*$F$21)*$F$11+IF(AND(I$43&gt;=6,I$43&lt;=10),$G223*$G219/5,0)+IF(AND(I$43&gt;=7,I$43&lt;=11),$H223*$H219/5,0))*I221</f>
        <v>95.8981101131611</v>
      </c>
      <c r="J231" s="35" t="n">
        <f aca="false">(IF($F$19=1,(SUMPRODUCT((Quesería!$C$62:$C$77=0)*(Quesería!$J$62:$J$77&gt;0)*(J$43&gt;=1)*(J$43&lt;=Quesería!$J$62:$J$77)*(Quesería!$H$62:$H$77&gt;0)*Quesería!$F$62:$F$77*(1+Quesería!$I$62:$I$77)/(Quesería!$J$62:$J$77+(Quesería!$J$62:$J$77=0)))+SUMPRODUCT((Quesería!$C$62:$C$77=0)*(Quesería!$J$62:$J$77=0)*(J$43=0)*(Quesería!$H$62:$H$77&gt;0)*Quesería!$F$62:$F$77*(1+Quesería!$I$62:$I$77)))*$B$219+(SUMPRODUCT((Quesería!$C$62:$C$77=1)*(Quesería!$J$62:$J$77&gt;0)*(J$43&gt;=2)*(J$43&lt;=Quesería!$J$62:$J$77+1)*(Quesería!$H$62:$H$77&gt;0)*Quesería!$F$62:$F$77*(1+Quesería!$I$62:$I$77)/(Quesería!$J$62:$J$77+(Quesería!$J$62:$J$77=0)))+SUMPRODUCT((Quesería!$C$62:$C$77=1)*(Quesería!$J$62:$J$77=0)*(J$43=1)*(Quesería!$H$62:$H$77&gt;0)*Quesería!$F$62:$F$77*(1+Quesería!$I$62:$I$77)))*$C$219*$F$21,IF(AND(J$43&gt;=1,J$43&lt;=Quesería!$B$11),Quesería!$F$80/Quesería!$B$11,0)*$B$219+IF(AND(J$43&gt;=2,J$43&lt;=Quesería!$B$11+1),Quesería!$F$81/Quesería!$B$11,0)*$C$219*$F$21)*$F$11+IF(AND(J$43&gt;=6,J$43&lt;=10),$G223*$G219/5,0)+IF(AND(J$43&gt;=7,J$43&lt;=11),$H223*$H219/5,0))*J221</f>
        <v>92.2097212626549</v>
      </c>
      <c r="K231" s="35" t="n">
        <f aca="false">(IF($F$19=1,(SUMPRODUCT((Quesería!$C$62:$C$77=0)*(Quesería!$J$62:$J$77&gt;0)*(K$43&gt;=1)*(K$43&lt;=Quesería!$J$62:$J$77)*(Quesería!$H$62:$H$77&gt;0)*Quesería!$F$62:$F$77*(1+Quesería!$I$62:$I$77)/(Quesería!$J$62:$J$77+(Quesería!$J$62:$J$77=0)))+SUMPRODUCT((Quesería!$C$62:$C$77=0)*(Quesería!$J$62:$J$77=0)*(K$43=0)*(Quesería!$H$62:$H$77&gt;0)*Quesería!$F$62:$F$77*(1+Quesería!$I$62:$I$77)))*$B$219+(SUMPRODUCT((Quesería!$C$62:$C$77=1)*(Quesería!$J$62:$J$77&gt;0)*(K$43&gt;=2)*(K$43&lt;=Quesería!$J$62:$J$77+1)*(Quesería!$H$62:$H$77&gt;0)*Quesería!$F$62:$F$77*(1+Quesería!$I$62:$I$77)/(Quesería!$J$62:$J$77+(Quesería!$J$62:$J$77=0)))+SUMPRODUCT((Quesería!$C$62:$C$77=1)*(Quesería!$J$62:$J$77=0)*(K$43=1)*(Quesería!$H$62:$H$77&gt;0)*Quesería!$F$62:$F$77*(1+Quesería!$I$62:$I$77)))*$C$219*$F$21,IF(AND(K$43&gt;=1,K$43&lt;=Quesería!$B$11),Quesería!$F$80/Quesería!$B$11,0)*$B$219+IF(AND(K$43&gt;=2,K$43&lt;=Quesería!$B$11+1),Quesería!$F$81/Quesería!$B$11,0)*$C$219*$F$21)*$F$11+IF(AND(K$43&gt;=6,K$43&lt;=10),$G223*$G219/5,0)+IF(AND(K$43&gt;=7,K$43&lt;=11),$H223*$H219/5,0))*K221</f>
        <v>88.6631935217835</v>
      </c>
      <c r="L231" s="35" t="n">
        <f aca="false">(IF($F$19=1,(SUMPRODUCT((Quesería!$C$62:$C$77=0)*(Quesería!$J$62:$J$77&gt;0)*(L$43&gt;=1)*(L$43&lt;=Quesería!$J$62:$J$77)*(Quesería!$H$62:$H$77&gt;0)*Quesería!$F$62:$F$77*(1+Quesería!$I$62:$I$77)/(Quesería!$J$62:$J$77+(Quesería!$J$62:$J$77=0)))+SUMPRODUCT((Quesería!$C$62:$C$77=0)*(Quesería!$J$62:$J$77=0)*(L$43=0)*(Quesería!$H$62:$H$77&gt;0)*Quesería!$F$62:$F$77*(1+Quesería!$I$62:$I$77)))*$B$219+(SUMPRODUCT((Quesería!$C$62:$C$77=1)*(Quesería!$J$62:$J$77&gt;0)*(L$43&gt;=2)*(L$43&lt;=Quesería!$J$62:$J$77+1)*(Quesería!$H$62:$H$77&gt;0)*Quesería!$F$62:$F$77*(1+Quesería!$I$62:$I$77)/(Quesería!$J$62:$J$77+(Quesería!$J$62:$J$77=0)))+SUMPRODUCT((Quesería!$C$62:$C$77=1)*(Quesería!$J$62:$J$77=0)*(L$43=1)*(Quesería!$H$62:$H$77&gt;0)*Quesería!$F$62:$F$77*(1+Quesería!$I$62:$I$77)))*$C$219*$F$21,IF(AND(L$43&gt;=1,L$43&lt;=Quesería!$B$11),Quesería!$F$80/Quesería!$B$11,0)*$B$219+IF(AND(L$43&gt;=2,L$43&lt;=Quesería!$B$11+1),Quesería!$F$81/Quesería!$B$11,0)*$C$219*$F$21)*$F$11+IF(AND(L$43&gt;=6,L$43&lt;=10),$G223*$G219/5,0)+IF(AND(L$43&gt;=7,L$43&lt;=11),$H223*$H219/5,0))*L221</f>
        <v>85.2530706940226</v>
      </c>
    </row>
    <row r="232" customFormat="false" ht="15" hidden="false" customHeight="false" outlineLevel="0" collapsed="false">
      <c r="A232" s="9" t="s">
        <v>292</v>
      </c>
      <c r="B232" s="36" t="n">
        <f aca="false">IF(B$43=1,MIN($F$7*Quesería!$B$35*Quesería!$F$75*$F$11*$F$21,Quesería!$B$50*Quesería!$B$51),0)</f>
        <v>0</v>
      </c>
      <c r="C232" s="36" t="n">
        <f aca="false">IF(C$43=1,MIN($F$7*Quesería!$B$35*Quesería!$F$75*$F$11*$F$21,Quesería!$B$50*Quesería!$B$51),0)</f>
        <v>20</v>
      </c>
      <c r="D232" s="36" t="n">
        <f aca="false">IF(D$43=1,MIN($F$7*Quesería!$B$35*Quesería!$F$75*$F$11*$F$21,Quesería!$B$50*Quesería!$B$51),0)</f>
        <v>0</v>
      </c>
      <c r="E232" s="36" t="n">
        <f aca="false">IF(E$43=1,MIN($F$7*Quesería!$B$35*Quesería!$F$75*$F$11*$F$21,Quesería!$B$50*Quesería!$B$51),0)</f>
        <v>0</v>
      </c>
      <c r="F232" s="36" t="n">
        <f aca="false">IF(F$43=1,MIN($F$7*Quesería!$B$35*Quesería!$F$75*$F$11*$F$21,Quesería!$B$50*Quesería!$B$51),0)</f>
        <v>0</v>
      </c>
      <c r="G232" s="36" t="n">
        <f aca="false">IF(G$43=1,MIN($F$7*Quesería!$B$35*Quesería!$F$75*$F$11*$F$21,Quesería!$B$50*Quesería!$B$51),0)</f>
        <v>0</v>
      </c>
      <c r="H232" s="36" t="n">
        <f aca="false">IF(H$43=1,MIN($F$7*Quesería!$B$35*Quesería!$F$75*$F$11*$F$21,Quesería!$B$50*Quesería!$B$51),0)</f>
        <v>0</v>
      </c>
      <c r="I232" s="36" t="n">
        <f aca="false">IF(I$43=1,MIN($F$7*Quesería!$B$35*Quesería!$F$75*$F$11*$F$21,Quesería!$B$50*Quesería!$B$51),0)</f>
        <v>0</v>
      </c>
      <c r="J232" s="36" t="n">
        <f aca="false">IF(J$43=1,MIN($F$7*Quesería!$B$35*Quesería!$F$75*$F$11*$F$21,Quesería!$B$50*Quesería!$B$51),0)</f>
        <v>0</v>
      </c>
      <c r="K232" s="36" t="n">
        <f aca="false">IF(K$43=1,MIN($F$7*Quesería!$B$35*Quesería!$F$75*$F$11*$F$21,Quesería!$B$50*Quesería!$B$51),0)</f>
        <v>0</v>
      </c>
      <c r="L232" s="36" t="n">
        <f aca="false">IF(L$43=1,MIN($F$7*Quesería!$B$35*Quesería!$F$75*$F$11*$F$21,Quesería!$B$50*Quesería!$B$51),0)</f>
        <v>0</v>
      </c>
    </row>
    <row r="233" customFormat="false" ht="15" hidden="false" customHeight="false" outlineLevel="0" collapsed="false">
      <c r="A233" s="9" t="s">
        <v>293</v>
      </c>
      <c r="B233" s="36" t="n">
        <v>0</v>
      </c>
      <c r="C233" s="36" t="n">
        <f aca="false">$F$20*Quesería!$B$52*Quesería!$F$86*$F$11*$B$219/C219</f>
        <v>166.879881289715</v>
      </c>
      <c r="D233" s="36" t="n">
        <v>0</v>
      </c>
      <c r="E233" s="36" t="n">
        <v>0</v>
      </c>
      <c r="F233" s="36" t="n">
        <v>0</v>
      </c>
      <c r="G233" s="36" t="n">
        <v>0</v>
      </c>
      <c r="H233" s="36" t="n">
        <v>0</v>
      </c>
      <c r="I233" s="36" t="n">
        <v>0</v>
      </c>
      <c r="J233" s="36" t="n">
        <v>0</v>
      </c>
      <c r="K233" s="36" t="n">
        <v>0</v>
      </c>
      <c r="L233" s="36" t="n">
        <v>0</v>
      </c>
    </row>
    <row r="234" customFormat="false" ht="15" hidden="false" customHeight="false" outlineLevel="0" collapsed="false">
      <c r="A234" s="9" t="s">
        <v>294</v>
      </c>
      <c r="B234" s="36" t="n">
        <f aca="false">0</f>
        <v>0</v>
      </c>
      <c r="C234" s="36" t="n">
        <f aca="false">B224*B219/C219</f>
        <v>94.6170242743742</v>
      </c>
      <c r="D234" s="36" t="n">
        <f aca="false">C224*C219/D219</f>
        <v>117.321834287022</v>
      </c>
      <c r="E234" s="36" t="n">
        <f aca="false">D224*D219/E219</f>
        <v>0</v>
      </c>
      <c r="F234" s="36" t="n">
        <f aca="false">E224*E219/F219</f>
        <v>0</v>
      </c>
      <c r="G234" s="36" t="n">
        <f aca="false">F224*F219/G219</f>
        <v>0</v>
      </c>
      <c r="H234" s="36" t="n">
        <f aca="false">G224*G219/H219</f>
        <v>4.87179487179487</v>
      </c>
      <c r="I234" s="36" t="n">
        <f aca="false">H224*H219/I219</f>
        <v>6.44987026996795</v>
      </c>
      <c r="J234" s="36" t="n">
        <f aca="false">I224*I219/J219</f>
        <v>0</v>
      </c>
      <c r="K234" s="36" t="n">
        <f aca="false">J224*J219/K219</f>
        <v>0</v>
      </c>
      <c r="L234" s="36" t="n">
        <f aca="false">K224*K219/L219</f>
        <v>0</v>
      </c>
    </row>
    <row r="235" customFormat="false" ht="15" hidden="false" customHeight="false" outlineLevel="0" collapsed="false">
      <c r="A235" s="6" t="s">
        <v>86</v>
      </c>
      <c r="B235" s="35" t="n">
        <f aca="false">$F$17*(B227-B228-B229-0.5*B230-B231)-B232-B233-B234</f>
        <v>-19.3080576189439</v>
      </c>
      <c r="C235" s="35" t="n">
        <f aca="false">$F$17*(C227-C228-C229-0.5*C230-C231)-C232-C233-C234</f>
        <v>-273.443442930927</v>
      </c>
      <c r="D235" s="35" t="n">
        <f aca="false">$F$17*(D227-D228-D229-0.5*D230-D231)-D232-D233-D234</f>
        <v>-83.2833099593898</v>
      </c>
      <c r="E235" s="35" t="n">
        <f aca="false">$F$17*(E227-E228-E229-0.5*E230-E231)-E232-E233-E234</f>
        <v>49.6104116039734</v>
      </c>
      <c r="F235" s="35" t="n">
        <f aca="false">$F$17*(F227-F228-F229-0.5*F230-F231)-F232-F233-F234</f>
        <v>51.1596984108727</v>
      </c>
      <c r="G235" s="35" t="n">
        <f aca="false">$F$17*(G227-G228-G229-0.5*G230-G231)-G232-G233-G234</f>
        <v>52.6290426013139</v>
      </c>
      <c r="H235" s="35" t="n">
        <f aca="false">$F$17*(H227-H228-H229-0.5*H230-H231)-H232-H233-H234</f>
        <v>51.572098943458</v>
      </c>
      <c r="I235" s="35" t="n">
        <f aca="false">$F$17*(I227-I228-I229-0.5*I230-I231)-I232-I233-I234</f>
        <v>48.9380976477129</v>
      </c>
      <c r="J235" s="35" t="n">
        <f aca="false">$F$17*(J227-J228-J229-0.5*J230-J231)-J232-J233-J234</f>
        <v>56.7225316503827</v>
      </c>
      <c r="K235" s="35" t="n">
        <f aca="false">$F$17*(K227-K228-K229-0.5*K230-K231)-K232-K233-K234</f>
        <v>58.0076621328875</v>
      </c>
      <c r="L235" s="35" t="n">
        <f aca="false">$F$17*(L227-L228-L229-0.5*L230-L231)-L232-L233-L234</f>
        <v>59.2452701246697</v>
      </c>
    </row>
    <row r="236" customFormat="false" ht="15" hidden="false" customHeight="false" outlineLevel="0" collapsed="false">
      <c r="A236" s="9" t="s">
        <v>295</v>
      </c>
      <c r="B236" s="36" t="n">
        <f aca="false">(IF(B$43&gt;=1,Quesería!$G$107*IF(B$43=1,Quesería!$B$12,1),Quesería!$G$107*Quesería!$B$12*Quesería!$B$13/12*$F$23)+IF(B$43&gt;=2,Quesería!$G$108*$F$21*IF(B$43=2,Quesería!$B$12,1),0))*$F$10</f>
        <v>26.8516916045565</v>
      </c>
      <c r="C236" s="36" t="n">
        <f aca="false">(IF(C$43&gt;=1,Quesería!$G$107*IF(C$43=1,Quesería!$B$12,1),Quesería!$G$107*Quesería!$B$12*Quesería!$B$13/12*$F$23)+IF(C$43&gt;=2,Quesería!$G$108*$F$21*IF(C$43=2,Quesería!$B$12,1),0))*$F$10</f>
        <v>80.5550748136695</v>
      </c>
      <c r="D236" s="36" t="n">
        <f aca="false">(IF(D$43&gt;=1,Quesería!$G$107*IF(D$43=1,Quesería!$B$12,1),Quesería!$G$107*Quesería!$B$12*Quesería!$B$13/12*$F$23)+IF(D$43&gt;=2,Quesería!$G$108*$F$21*IF(D$43=2,Quesería!$B$12,1),0))*$F$10</f>
        <v>189.651223070959</v>
      </c>
      <c r="E236" s="36" t="n">
        <f aca="false">(IF(E$43&gt;=1,Quesería!$G$107*IF(E$43=1,Quesería!$B$12,1),Quesería!$G$107*Quesería!$B$12*Quesería!$B$13/12*$F$23)+IF(E$43&gt;=2,Quesería!$G$108*$F$21*IF(E$43=2,Quesería!$B$12,1),0))*$F$10</f>
        <v>217.066041955203</v>
      </c>
      <c r="F236" s="36" t="n">
        <f aca="false">(IF(F$43&gt;=1,Quesería!$G$107*IF(F$43=1,Quesería!$B$12,1),Quesería!$G$107*Quesería!$B$12*Quesería!$B$13/12*$F$23)+IF(F$43&gt;=2,Quesería!$G$108*$F$21*IF(F$43=2,Quesería!$B$12,1),0))*$F$10</f>
        <v>217.066041955203</v>
      </c>
      <c r="G236" s="36" t="n">
        <f aca="false">(IF(G$43&gt;=1,Quesería!$G$107*IF(G$43=1,Quesería!$B$12,1),Quesería!$G$107*Quesería!$B$12*Quesería!$B$13/12*$F$23)+IF(G$43&gt;=2,Quesería!$G$108*$F$21*IF(G$43=2,Quesería!$B$12,1),0))*$F$10</f>
        <v>217.066041955203</v>
      </c>
      <c r="H236" s="36" t="n">
        <f aca="false">(IF(H$43&gt;=1,Quesería!$G$107*IF(H$43=1,Quesería!$B$12,1),Quesería!$G$107*Quesería!$B$12*Quesería!$B$13/12*$F$23)+IF(H$43&gt;=2,Quesería!$G$108*$F$21*IF(H$43=2,Quesería!$B$12,1),0))*$F$10</f>
        <v>217.066041955203</v>
      </c>
      <c r="I236" s="36" t="n">
        <f aca="false">(IF(I$43&gt;=1,Quesería!$G$107*IF(I$43=1,Quesería!$B$12,1),Quesería!$G$107*Quesería!$B$12*Quesería!$B$13/12*$F$23)+IF(I$43&gt;=2,Quesería!$G$108*$F$21*IF(I$43=2,Quesería!$B$12,1),0))*$F$10</f>
        <v>217.066041955203</v>
      </c>
      <c r="J236" s="36" t="n">
        <f aca="false">(IF(J$43&gt;=1,Quesería!$G$107*IF(J$43=1,Quesería!$B$12,1),Quesería!$G$107*Quesería!$B$12*Quesería!$B$13/12*$F$23)+IF(J$43&gt;=2,Quesería!$G$108*$F$21*IF(J$43=2,Quesería!$B$12,1),0))*$F$10</f>
        <v>217.066041955203</v>
      </c>
      <c r="K236" s="36" t="n">
        <f aca="false">(IF(K$43&gt;=1,Quesería!$G$107*IF(K$43=1,Quesería!$B$12,1),Quesería!$G$107*Quesería!$B$12*Quesería!$B$13/12*$F$23)+IF(K$43&gt;=2,Quesería!$G$108*$F$21*IF(K$43=2,Quesería!$B$12,1),0))*$F$10</f>
        <v>217.066041955203</v>
      </c>
      <c r="L236" s="36" t="n">
        <f aca="false">(IF(L$43&gt;=1,Quesería!$G$107*IF(L$43=1,Quesería!$B$12,1),Quesería!$G$107*Quesería!$B$12*Quesería!$B$13/12*$F$23)+IF(L$43&gt;=2,Quesería!$G$108*$F$21*IF(L$43=2,Quesería!$B$12,1),0))*$F$10</f>
        <v>217.066041955203</v>
      </c>
    </row>
    <row r="237" customFormat="false" ht="15" hidden="false" customHeight="false" outlineLevel="0" collapsed="false">
      <c r="A237" s="6" t="s">
        <v>296</v>
      </c>
      <c r="B237" s="35" t="n">
        <f aca="false">(B236*(Quesería!$B$23+Quesería!$B$25*Quesería!$B$24)/365-B228*Quesería!$B$26/365)</f>
        <v>2.50861009237089</v>
      </c>
      <c r="C237" s="35" t="n">
        <f aca="false">(C236*(Quesería!$B$23+Quesería!$B$25*Quesería!$B$24)/365-C228*Quesería!$B$26/365)-(B236*(Quesería!$B$23+Quesería!$B$25*Quesería!$B$24)/365-B228*Quesería!$B$26/365)*B219/C219</f>
        <v>2.91304119724236</v>
      </c>
      <c r="D237" s="35" t="n">
        <f aca="false">(D236*(Quesería!$B$23+Quesería!$B$25*Quesería!$B$24)/365-D228*Quesería!$B$26/365)-(C236*(Quesería!$B$23+Quesería!$B$25*Quesería!$B$24)/365-C228*Quesería!$B$26/365)*C219/D219</f>
        <v>7.29151021833416</v>
      </c>
      <c r="E237" s="35" t="n">
        <f aca="false">(E236*(Quesería!$B$23+Quesería!$B$25*Quesería!$B$24)/365-E228*Quesería!$B$26/365)-(D236*(Quesería!$B$23+Quesería!$B$25*Quesería!$B$24)/365-D228*Quesería!$B$26/365)*D219/E219</f>
        <v>3.03681159467532</v>
      </c>
      <c r="F237" s="35" t="n">
        <f aca="false">(F236*(Quesería!$B$23+Quesería!$B$25*Quesería!$B$24)/365-F228*Quesería!$B$26/365)-(E236*(Quesería!$B$23+Quesería!$B$25*Quesería!$B$24)/365-E228*Quesería!$B$26/365)*E219/F219</f>
        <v>0.574099993113848</v>
      </c>
      <c r="G237" s="35" t="n">
        <f aca="false">(G236*(Quesería!$B$23+Quesería!$B$25*Quesería!$B$24)/365-G228*Quesería!$B$26/365)-(F236*(Quesería!$B$23+Quesería!$B$25*Quesería!$B$24)/365-F228*Quesería!$B$26/365)*F219/G219</f>
        <v>0.574099993113849</v>
      </c>
      <c r="H237" s="35" t="n">
        <f aca="false">(H236*(Quesería!$B$23+Quesería!$B$25*Quesería!$B$24)/365-H228*Quesería!$B$26/365)-(G236*(Quesería!$B$23+Quesería!$B$25*Quesería!$B$24)/365-G228*Quesería!$B$26/365)*G219/H219</f>
        <v>0.574099993113848</v>
      </c>
      <c r="I237" s="35" t="n">
        <f aca="false">(I236*(Quesería!$B$23+Quesería!$B$25*Quesería!$B$24)/365-I228*Quesería!$B$26/365)-(H236*(Quesería!$B$23+Quesería!$B$25*Quesería!$B$24)/365-H228*Quesería!$B$26/365)*H219/I219</f>
        <v>0.574099993113846</v>
      </c>
      <c r="J237" s="35" t="n">
        <f aca="false">(J236*(Quesería!$B$23+Quesería!$B$25*Quesería!$B$24)/365-J228*Quesería!$B$26/365)-(I236*(Quesería!$B$23+Quesería!$B$25*Quesería!$B$24)/365-I228*Quesería!$B$26/365)*I219/J219</f>
        <v>0.574099993113849</v>
      </c>
      <c r="K237" s="35" t="n">
        <f aca="false">(K236*(Quesería!$B$23+Quesería!$B$25*Quesería!$B$24)/365-K228*Quesería!$B$26/365)-(J236*(Quesería!$B$23+Quesería!$B$25*Quesería!$B$24)/365-J228*Quesería!$B$26/365)*J219/K219</f>
        <v>0.574099993113848</v>
      </c>
      <c r="L237" s="35" t="n">
        <f aca="false">-(K236*(Quesería!$B$23+Quesería!$B$25*Quesería!$B$24)/365-K228*Quesería!$B$26/365)*K219/L219</f>
        <v>-14.3524998278462</v>
      </c>
    </row>
    <row r="238" customFormat="false" ht="15" hidden="false" customHeight="false" outlineLevel="0" collapsed="false">
      <c r="A238" s="6" t="s">
        <v>297</v>
      </c>
      <c r="B238" s="35" t="n">
        <v>0</v>
      </c>
      <c r="C238" s="35" t="n">
        <v>0</v>
      </c>
      <c r="D238" s="35" t="n">
        <v>0</v>
      </c>
      <c r="E238" s="35" t="n">
        <v>0</v>
      </c>
      <c r="F238" s="35" t="n">
        <v>0</v>
      </c>
      <c r="G238" s="35" t="n">
        <v>0</v>
      </c>
      <c r="H238" s="35" t="n">
        <v>0</v>
      </c>
      <c r="I238" s="35" t="n">
        <v>0</v>
      </c>
      <c r="J238" s="35" t="n">
        <v>0</v>
      </c>
      <c r="K238" s="35" t="n">
        <v>0</v>
      </c>
      <c r="L238" s="35" t="n">
        <f aca="false">$F$8*Quesería!$B$39*(Quesería!$F$82+Quesería!$F$83*$F$21)*$F$11*(1-$F$17)</f>
        <v>56.0502928201667</v>
      </c>
    </row>
    <row r="239" customFormat="false" ht="15" hidden="false" customHeight="false" outlineLevel="0" collapsed="false">
      <c r="A239" s="5" t="s">
        <v>298</v>
      </c>
      <c r="B239" s="37" t="n">
        <f aca="false">B227-B228-B229-B230-B235-B222-B223-B224-B237+B238</f>
        <v>-662.041045072899</v>
      </c>
      <c r="C239" s="37" t="n">
        <f aca="false">C227-C228-C229-C230-C235-C222-C223-C224-C237+C238</f>
        <v>-418.877649725493</v>
      </c>
      <c r="D239" s="37" t="n">
        <f aca="false">D227-D228-D229-D230-D235-D222-D223-D224-D237+D238</f>
        <v>289.45661576363</v>
      </c>
      <c r="E239" s="37" t="n">
        <f aca="false">E227-E228-E229-E230-E235-E222-E223-E224-E237+E238</f>
        <v>200.832180005414</v>
      </c>
      <c r="F239" s="37" t="n">
        <f aca="false">F227-F228-F229-F230-F235-F222-F223-F224-F237+F238</f>
        <v>201.867793031821</v>
      </c>
      <c r="G239" s="37" t="n">
        <f aca="false">G227-G228-G229-G230-G235-G222-G223-G224-G237+G238</f>
        <v>168.660981347617</v>
      </c>
      <c r="H239" s="37" t="n">
        <f aca="false">H227-H228-H229-H230-H235-H222-H223-H224-H237+H238</f>
        <v>159.521137030924</v>
      </c>
      <c r="I239" s="37" t="n">
        <f aca="false">I227-I228-I229-I230-I235-I222-I223-I224-I237+I238</f>
        <v>204.459636371265</v>
      </c>
      <c r="J239" s="37" t="n">
        <f aca="false">J227-J228-J229-J230-J235-J222-J223-J224-J237+J238</f>
        <v>196.79985275438</v>
      </c>
      <c r="K239" s="37" t="n">
        <f aca="false">K227-K228-K229-K230-K235-K222-K223-K224-K237+K238</f>
        <v>195.639995909589</v>
      </c>
      <c r="L239" s="37" t="n">
        <f aca="false">L227-L228-L229-L230-L235-L222-L223-L224-L237+L238</f>
        <v>265.505180564836</v>
      </c>
    </row>
    <row r="240" customFormat="false" ht="15" hidden="false" customHeight="false" outlineLevel="0" collapsed="false">
      <c r="A240" s="9" t="s">
        <v>299</v>
      </c>
      <c r="B240" s="36" t="n">
        <f aca="false">B239*B219</f>
        <v>-701.763507777273</v>
      </c>
      <c r="C240" s="36" t="n">
        <f aca="false">C239*C219</f>
        <v>-466.210824144474</v>
      </c>
      <c r="D240" s="36" t="n">
        <f aca="false">D239*D219</f>
        <v>336.662647945442</v>
      </c>
      <c r="E240" s="36" t="n">
        <f aca="false">E239*E219</f>
        <v>242.928291924861</v>
      </c>
      <c r="F240" s="36" t="n">
        <f aca="false">F239*F219</f>
        <v>253.948217266383</v>
      </c>
      <c r="G240" s="36" t="n">
        <f aca="false">G239*G219</f>
        <v>220.661260957211</v>
      </c>
      <c r="H240" s="36" t="n">
        <f aca="false">H239*H219</f>
        <v>217.05162844383</v>
      </c>
      <c r="I240" s="36" t="n">
        <f aca="false">I239*I219</f>
        <v>289.324849142003</v>
      </c>
      <c r="J240" s="36" t="n">
        <f aca="false">J239*J219</f>
        <v>289.625142001989</v>
      </c>
      <c r="K240" s="36" t="n">
        <f aca="false">K239*K219</f>
        <v>299.43493979131</v>
      </c>
      <c r="L240" s="36" t="n">
        <f aca="false">L239*L219</f>
        <v>422.621092801447</v>
      </c>
    </row>
    <row r="241" customFormat="false" ht="15" hidden="false" customHeight="false" outlineLevel="0" collapsed="false">
      <c r="A241" s="6" t="s">
        <v>300</v>
      </c>
      <c r="B241" s="35" t="n">
        <f aca="false">B239</f>
        <v>-662.041045072899</v>
      </c>
      <c r="C241" s="35" t="n">
        <f aca="false">B241+C239</f>
        <v>-1080.91869479839</v>
      </c>
      <c r="D241" s="35" t="n">
        <f aca="false">C241+D239</f>
        <v>-791.462079034762</v>
      </c>
      <c r="E241" s="35" t="n">
        <f aca="false">D241+E239</f>
        <v>-590.629899029348</v>
      </c>
      <c r="F241" s="35" t="n">
        <f aca="false">E241+F239</f>
        <v>-388.762105997526</v>
      </c>
      <c r="G241" s="35" t="n">
        <f aca="false">F241+G239</f>
        <v>-220.101124649909</v>
      </c>
      <c r="H241" s="35" t="n">
        <f aca="false">G241+H239</f>
        <v>-60.579987618985</v>
      </c>
      <c r="I241" s="35" t="n">
        <f aca="false">H241+I239</f>
        <v>143.87964875228</v>
      </c>
      <c r="J241" s="35" t="n">
        <f aca="false">I241+J239</f>
        <v>340.679501506659</v>
      </c>
      <c r="K241" s="35" t="n">
        <f aca="false">J241+K239</f>
        <v>536.319497416248</v>
      </c>
      <c r="L241" s="35" t="n">
        <f aca="false">K241+L239</f>
        <v>801.824677981084</v>
      </c>
    </row>
    <row r="242" customFormat="false" ht="15" hidden="false" customHeight="false" outlineLevel="0" collapsed="false">
      <c r="A242" s="9" t="s">
        <v>301</v>
      </c>
      <c r="B242" s="38" t="n">
        <v>0</v>
      </c>
      <c r="C242" s="38" t="n">
        <f aca="false">IF(AND(B241&lt;0,C241&gt;=0),B$43+(-B241)/C239,0)</f>
        <v>0</v>
      </c>
      <c r="D242" s="38" t="n">
        <f aca="false">IF(AND(C241&lt;0,D241&gt;=0),C$43+(-C241)/D239,0)</f>
        <v>0</v>
      </c>
      <c r="E242" s="38" t="n">
        <f aca="false">IF(AND(D241&lt;0,E241&gt;=0),D$43+(-D241)/E239,0)</f>
        <v>0</v>
      </c>
      <c r="F242" s="38" t="n">
        <f aca="false">IF(AND(E241&lt;0,F241&gt;=0),E$43+(-E241)/F239,0)</f>
        <v>0</v>
      </c>
      <c r="G242" s="38" t="n">
        <f aca="false">IF(AND(F241&lt;0,G241&gt;=0),F$43+(-F241)/G239,0)</f>
        <v>0</v>
      </c>
      <c r="H242" s="38" t="n">
        <f aca="false">IF(AND(G241&lt;0,H241&gt;=0),G$43+(-G241)/H239,0)</f>
        <v>0</v>
      </c>
      <c r="I242" s="38" t="n">
        <f aca="false">IF(AND(H241&lt;0,I241&gt;=0),H$43+(-H241)/I239,0)</f>
        <v>6.2962931397813</v>
      </c>
      <c r="J242" s="38" t="n">
        <f aca="false">IF(AND(I241&lt;0,J241&gt;=0),I$43+(-I241)/J239,0)</f>
        <v>0</v>
      </c>
      <c r="K242" s="38" t="n">
        <f aca="false">IF(AND(J241&lt;0,K241&gt;=0),J$43+(-J241)/K239,0)</f>
        <v>0</v>
      </c>
      <c r="L242" s="38" t="n">
        <f aca="false">IF(AND(K241&lt;0,L241&gt;=0),K$43+(-K241)/L239,0)</f>
        <v>0</v>
      </c>
    </row>
    <row r="243" customFormat="false" ht="15" hidden="false" customHeight="false" outlineLevel="0" collapsed="false">
      <c r="A243" s="9" t="s">
        <v>302</v>
      </c>
      <c r="B243" s="34" t="n">
        <f aca="false">(B219/$B$219)/(1+$F$25)^B$43</f>
        <v>1</v>
      </c>
      <c r="C243" s="34" t="n">
        <f aca="false">(C219/$B$219)/(1+$F$25)^C$43</f>
        <v>0.921735848062819</v>
      </c>
      <c r="D243" s="34" t="n">
        <f aca="false">(D219/$B$219)/(1+$F$25)^D$43</f>
        <v>0.845551273729778</v>
      </c>
      <c r="E243" s="34" t="n">
        <f aca="false">(E219/$B$219)/(1+$F$25)^E$43</f>
        <v>0.771952302082657</v>
      </c>
      <c r="F243" s="34" t="n">
        <f aca="false">(F219/$B$219)/(1+$F$25)^F$43</f>
        <v>0.704759575444925</v>
      </c>
      <c r="G243" s="34" t="n">
        <f aca="false">(G219/$B$219)/(1+$F$25)^G$43</f>
        <v>0.643415477667852</v>
      </c>
      <c r="H243" s="34" t="n">
        <f aca="false">(H219/$B$219)/(1+$F$25)^H$43</f>
        <v>0.587410928955732</v>
      </c>
      <c r="I243" s="34" t="n">
        <f aca="false">(I219/$B$219)/(1+$F$25)^I$43</f>
        <v>0.536281161136071</v>
      </c>
      <c r="J243" s="34" t="n">
        <f aca="false">(J219/$B$219)/(1+$F$25)^J$43</f>
        <v>0.489601860661204</v>
      </c>
      <c r="K243" s="34" t="n">
        <f aca="false">(K219/$B$219)/(1+$F$25)^K$43</f>
        <v>0.446985647333025</v>
      </c>
      <c r="L243" s="34" t="n">
        <f aca="false">(L219/$B$219)/(1+$F$25)^L$43</f>
        <v>0.408078859528639</v>
      </c>
    </row>
    <row r="244" customFormat="false" ht="15" hidden="false" customHeight="false" outlineLevel="0" collapsed="false">
      <c r="A244" s="9" t="s">
        <v>303</v>
      </c>
      <c r="B244" s="36" t="n">
        <f aca="false">B239*B243</f>
        <v>-662.041045072899</v>
      </c>
      <c r="C244" s="36" t="n">
        <f aca="false">C239*C243</f>
        <v>-386.094545704288</v>
      </c>
      <c r="D244" s="36" t="n">
        <f aca="false">D239*D243</f>
        <v>244.750410148449</v>
      </c>
      <c r="E244" s="36" t="n">
        <f aca="false">E239*E243</f>
        <v>155.032863687458</v>
      </c>
      <c r="F244" s="36" t="n">
        <f aca="false">F239*F243</f>
        <v>142.26826011311</v>
      </c>
      <c r="G244" s="36" t="n">
        <f aca="false">G239*G243</f>
        <v>108.519085877706</v>
      </c>
      <c r="H244" s="36" t="n">
        <f aca="false">H239*H243</f>
        <v>93.7044592914099</v>
      </c>
      <c r="I244" s="36" t="n">
        <f aca="false">I239*I243</f>
        <v>109.647851198641</v>
      </c>
      <c r="J244" s="36" t="n">
        <f aca="false">J239*J243</f>
        <v>96.3535740863952</v>
      </c>
      <c r="K244" s="36" t="n">
        <f aca="false">K239*K243</f>
        <v>87.4482702158779</v>
      </c>
      <c r="L244" s="36" t="n">
        <f aca="false">L239*L243</f>
        <v>108.347051283843</v>
      </c>
    </row>
    <row r="245" customFormat="false" ht="15" hidden="false" customHeight="false" outlineLevel="0" collapsed="false">
      <c r="A245" s="9" t="s">
        <v>304</v>
      </c>
      <c r="B245" s="36" t="n">
        <f aca="false">B244</f>
        <v>-662.041045072899</v>
      </c>
      <c r="C245" s="36" t="n">
        <f aca="false">B245+C244</f>
        <v>-1048.13559077719</v>
      </c>
      <c r="D245" s="36" t="n">
        <f aca="false">C245+D244</f>
        <v>-803.385180628738</v>
      </c>
      <c r="E245" s="36" t="n">
        <f aca="false">D245+E244</f>
        <v>-648.35231694128</v>
      </c>
      <c r="F245" s="36" t="n">
        <f aca="false">E245+F244</f>
        <v>-506.08405682817</v>
      </c>
      <c r="G245" s="36" t="n">
        <f aca="false">F245+G244</f>
        <v>-397.564970950464</v>
      </c>
      <c r="H245" s="36" t="n">
        <f aca="false">G245+H244</f>
        <v>-303.860511659054</v>
      </c>
      <c r="I245" s="36" t="n">
        <f aca="false">H245+I244</f>
        <v>-194.212660460413</v>
      </c>
      <c r="J245" s="36" t="n">
        <f aca="false">I245+J244</f>
        <v>-97.8590863740182</v>
      </c>
      <c r="K245" s="36" t="n">
        <f aca="false">J245+K244</f>
        <v>-10.4108161581403</v>
      </c>
      <c r="L245" s="36" t="n">
        <f aca="false">K245+L244</f>
        <v>97.9362351257031</v>
      </c>
    </row>
    <row r="246" customFormat="false" ht="15" hidden="false" customHeight="false" outlineLevel="0" collapsed="false">
      <c r="A246" s="9" t="s">
        <v>305</v>
      </c>
      <c r="B246" s="38" t="n">
        <v>0</v>
      </c>
      <c r="C246" s="38" t="n">
        <f aca="false">IF(AND(B245&lt;0,C245&gt;=0),B$43+(-B245)/C244,0)</f>
        <v>0</v>
      </c>
      <c r="D246" s="38" t="n">
        <f aca="false">IF(AND(C245&lt;0,D245&gt;=0),C$43+(-C245)/D244,0)</f>
        <v>0</v>
      </c>
      <c r="E246" s="38" t="n">
        <f aca="false">IF(AND(D245&lt;0,E245&gt;=0),D$43+(-D245)/E244,0)</f>
        <v>0</v>
      </c>
      <c r="F246" s="38" t="n">
        <f aca="false">IF(AND(E245&lt;0,F245&gt;=0),E$43+(-E245)/F244,0)</f>
        <v>0</v>
      </c>
      <c r="G246" s="38" t="n">
        <f aca="false">IF(AND(F245&lt;0,G245&gt;=0),F$43+(-F245)/G244,0)</f>
        <v>0</v>
      </c>
      <c r="H246" s="38" t="n">
        <f aca="false">IF(AND(G245&lt;0,H245&gt;=0),G$43+(-G245)/H244,0)</f>
        <v>0</v>
      </c>
      <c r="I246" s="38" t="n">
        <f aca="false">IF(AND(H245&lt;0,I245&gt;=0),H$43+(-H245)/I244,0)</f>
        <v>0</v>
      </c>
      <c r="J246" s="38" t="n">
        <f aca="false">IF(AND(I245&lt;0,J245&gt;=0),I$43+(-I245)/J244,0)</f>
        <v>0</v>
      </c>
      <c r="K246" s="38" t="n">
        <f aca="false">IF(AND(J245&lt;0,K245&gt;=0),J$43+(-J245)/K244,0)</f>
        <v>0</v>
      </c>
      <c r="L246" s="38" t="n">
        <f aca="false">IF(AND(K245&lt;0,L245&gt;=0),K$43+(-K245)/L244,0)</f>
        <v>9.09608767414322</v>
      </c>
    </row>
    <row r="247" customFormat="false" ht="15" hidden="false" customHeight="false" outlineLevel="0" collapsed="false">
      <c r="A247" s="9" t="s">
        <v>306</v>
      </c>
      <c r="B247" s="36" t="n">
        <f aca="false">IF(B$43&lt;0,0,(Quesería!$B$40*$B$222*$B$219)*(1-MAX(0,MIN(B$43-0-Quesería!$B$43,(Quesería!$B$42-Quesería!$B$43)))/(Quesería!$B$42-Quesería!$B$43)))+IF(B$43&lt;1,0,(Quesería!$B$40*$C$222*$C$219)*(1-MAX(0,MIN(B$43-1-Quesería!$B$43,(Quesería!$B$42-Quesería!$B$43)))/(Quesería!$B$42-Quesería!$B$43)))</f>
        <v>461.704769247221</v>
      </c>
      <c r="C247" s="36" t="n">
        <f aca="false">IF(C$43&lt;0,0,(Quesería!$B$40*$B$222*$B$219)*(1-MAX(0,MIN(C$43-0-Quesería!$B$43,(Quesería!$B$42-Quesería!$B$43)))/(Quesería!$B$42-Quesería!$B$43)))+IF(C$43&lt;1,0,(Quesería!$B$40*$C$222*$C$219)*(1-MAX(0,MIN(C$43-1-Quesería!$B$43,(Quesería!$B$42-Quesería!$B$43)))/(Quesería!$B$42-Quesería!$B$43)))</f>
        <v>964.434695258825</v>
      </c>
      <c r="D247" s="36" t="n">
        <f aca="false">IF(D$43&lt;0,0,(Quesería!$B$40*$B$222*$B$219)*(1-MAX(0,MIN(D$43-0-Quesería!$B$43,(Quesería!$B$42-Quesería!$B$43)))/(Quesería!$B$42-Quesería!$B$43)))+IF(D$43&lt;1,0,(Quesería!$B$40*$C$222*$C$219)*(1-MAX(0,MIN(D$43-1-Quesería!$B$43,(Quesería!$B$42-Quesería!$B$43)))/(Quesería!$B$42-Quesería!$B$43)))</f>
        <v>887.483900384289</v>
      </c>
      <c r="E247" s="36" t="n">
        <f aca="false">IF(E$43&lt;0,0,(Quesería!$B$40*$B$222*$B$219)*(1-MAX(0,MIN(E$43-0-Quesería!$B$43,(Quesería!$B$42-Quesería!$B$43)))/(Quesería!$B$42-Quesería!$B$43)))+IF(E$43&lt;1,0,(Quesería!$B$40*$C$222*$C$219)*(1-MAX(0,MIN(E$43-1-Quesería!$B$43,(Quesería!$B$42-Quesería!$B$43)))/(Quesería!$B$42-Quesería!$B$43)))</f>
        <v>726.744784507818</v>
      </c>
      <c r="F247" s="36" t="n">
        <f aca="false">IF(F$43&lt;0,0,(Quesería!$B$40*$B$222*$B$219)*(1-MAX(0,MIN(F$43-0-Quesería!$B$43,(Quesería!$B$42-Quesería!$B$43)))/(Quesería!$B$42-Quesería!$B$43)))+IF(F$43&lt;1,0,(Quesería!$B$40*$C$222*$C$219)*(1-MAX(0,MIN(F$43-1-Quesería!$B$43,(Quesería!$B$42-Quesería!$B$43)))/(Quesería!$B$42-Quesería!$B$43)))</f>
        <v>566.005668631347</v>
      </c>
      <c r="G247" s="36" t="n">
        <f aca="false">IF(G$43&lt;0,0,(Quesería!$B$40*$B$222*$B$219)*(1-MAX(0,MIN(G$43-0-Quesería!$B$43,(Quesería!$B$42-Quesería!$B$43)))/(Quesería!$B$42-Quesería!$B$43)))+IF(G$43&lt;1,0,(Quesería!$B$40*$C$222*$C$219)*(1-MAX(0,MIN(G$43-1-Quesería!$B$43,(Quesería!$B$42-Quesería!$B$43)))/(Quesería!$B$42-Quesería!$B$43)))</f>
        <v>405.266552754876</v>
      </c>
      <c r="H247" s="36" t="n">
        <f aca="false">IF(H$43&lt;0,0,(Quesería!$B$40*$B$222*$B$219)*(1-MAX(0,MIN(H$43-0-Quesería!$B$43,(Quesería!$B$42-Quesería!$B$43)))/(Quesería!$B$42-Quesería!$B$43)))+IF(H$43&lt;1,0,(Quesería!$B$40*$C$222*$C$219)*(1-MAX(0,MIN(H$43-1-Quesería!$B$43,(Quesería!$B$42-Quesería!$B$43)))/(Quesería!$B$42-Quesería!$B$43)))</f>
        <v>244.527436878405</v>
      </c>
      <c r="I247" s="36" t="n">
        <f aca="false">IF(I$43&lt;0,0,(Quesería!$B$40*$B$222*$B$219)*(1-MAX(0,MIN(I$43-0-Quesería!$B$43,(Quesería!$B$42-Quesería!$B$43)))/(Quesería!$B$42-Quesería!$B$43)))+IF(I$43&lt;1,0,(Quesería!$B$40*$C$222*$C$219)*(1-MAX(0,MIN(I$43-1-Quesería!$B$43,(Quesería!$B$42-Quesería!$B$43)))/(Quesería!$B$42-Quesería!$B$43)))</f>
        <v>83.788321001934</v>
      </c>
      <c r="J247" s="36" t="n">
        <f aca="false">IF(J$43&lt;0,0,(Quesería!$B$40*$B$222*$B$219)*(1-MAX(0,MIN(J$43-0-Quesería!$B$43,(Quesería!$B$42-Quesería!$B$43)))/(Quesería!$B$42-Quesería!$B$43)))+IF(J$43&lt;1,0,(Quesería!$B$40*$C$222*$C$219)*(1-MAX(0,MIN(J$43-1-Quesería!$B$43,(Quesería!$B$42-Quesería!$B$43)))/(Quesería!$B$42-Quesería!$B$43)))</f>
        <v>0</v>
      </c>
      <c r="K247" s="36" t="n">
        <f aca="false">IF(K$43&lt;0,0,(Quesería!$B$40*$B$222*$B$219)*(1-MAX(0,MIN(K$43-0-Quesería!$B$43,(Quesería!$B$42-Quesería!$B$43)))/(Quesería!$B$42-Quesería!$B$43)))+IF(K$43&lt;1,0,(Quesería!$B$40*$C$222*$C$219)*(1-MAX(0,MIN(K$43-1-Quesería!$B$43,(Quesería!$B$42-Quesería!$B$43)))/(Quesería!$B$42-Quesería!$B$43)))</f>
        <v>0</v>
      </c>
      <c r="L247" s="36" t="n">
        <f aca="false">IF(L$43&lt;0,0,(Quesería!$B$40*$B$222*$B$219)*(1-MAX(0,MIN(L$43-0-Quesería!$B$43,(Quesería!$B$42-Quesería!$B$43)))/(Quesería!$B$42-Quesería!$B$43)))+IF(L$43&lt;1,0,(Quesería!$B$40*$C$222*$C$219)*(1-MAX(0,MIN(L$43-1-Quesería!$B$43,(Quesería!$B$42-Quesería!$B$43)))/(Quesería!$B$42-Quesería!$B$43)))</f>
        <v>0</v>
      </c>
    </row>
    <row r="248" customFormat="false" ht="15" hidden="false" customHeight="false" outlineLevel="0" collapsed="false">
      <c r="A248" s="6" t="s">
        <v>307</v>
      </c>
      <c r="B248" s="35" t="n">
        <f aca="false">Quesería!$B$40*B222</f>
        <v>435.57053702568</v>
      </c>
      <c r="C248" s="35" t="n">
        <f aca="false">Quesería!$B$40*C222</f>
        <v>451.689062005035</v>
      </c>
      <c r="D248" s="35" t="n">
        <f aca="false">Quesería!$B$40*D222</f>
        <v>0</v>
      </c>
      <c r="E248" s="35" t="n">
        <f aca="false">Quesería!$B$40*E222</f>
        <v>0</v>
      </c>
      <c r="F248" s="35" t="n">
        <f aca="false">Quesería!$B$40*F222</f>
        <v>0</v>
      </c>
      <c r="G248" s="35" t="n">
        <f aca="false">Quesería!$B$40*G222</f>
        <v>0</v>
      </c>
      <c r="H248" s="35" t="n">
        <f aca="false">Quesería!$B$40*H222</f>
        <v>0</v>
      </c>
      <c r="I248" s="35" t="n">
        <f aca="false">Quesería!$B$40*I222</f>
        <v>0</v>
      </c>
      <c r="J248" s="35" t="n">
        <f aca="false">Quesería!$B$40*J222</f>
        <v>0</v>
      </c>
      <c r="K248" s="35" t="n">
        <f aca="false">Quesería!$B$40*K222</f>
        <v>0</v>
      </c>
      <c r="L248" s="35" t="n">
        <f aca="false">Quesería!$B$40*L222</f>
        <v>0</v>
      </c>
    </row>
    <row r="249" customFormat="false" ht="15" hidden="false" customHeight="false" outlineLevel="0" collapsed="false">
      <c r="A249" s="6" t="s">
        <v>308</v>
      </c>
      <c r="B249" s="35" t="n">
        <f aca="false">(IF(AND(B$43&gt;0,B$43&lt;=0+Quesería!$B$42),($F$14+$F$24)*((Quesería!$B$40*$B$222*$B$219)-(Quesería!$B$40*$B$222*$B$219)/(Quesería!$B$42-Quesería!$B$43)*MAX(0,MIN(B$43-1-0-Quesería!$B$43,(Quesería!$B$42-Quesería!$B$43)))),0)+IF(AND(B$43&gt;1,B$43&lt;=1+Quesería!$B$42),($F$14+$F$24)*((Quesería!$B$40*$C$222*$C$219)-(Quesería!$B$40*$C$222*$C$219)/(Quesería!$B$42-Quesería!$B$43)*MAX(0,MIN(B$43-1-1-Quesería!$B$43,(Quesería!$B$42-Quesería!$B$43)))),0))*B221</f>
        <v>0</v>
      </c>
      <c r="C249" s="35" t="n">
        <f aca="false">(IF(AND(C$43&gt;0,C$43&lt;=0+Quesería!$B$42),($F$14+$F$24)*((Quesería!$B$40*$B$222*$B$219)-(Quesería!$B$40*$B$222*$B$219)/(Quesería!$B$42-Quesería!$B$43)*MAX(0,MIN(C$43-1-0-Quesería!$B$43,(Quesería!$B$42-Quesería!$B$43)))),0)+IF(AND(C$43&gt;1,C$43&lt;=1+Quesería!$B$42),($F$14+$F$24)*((Quesería!$B$40*$C$222*$C$219)-(Quesería!$B$40*$C$222*$C$219)/(Quesería!$B$42-Quesería!$B$43)*MAX(0,MIN(C$43-1-1-Quesería!$B$43,(Quesería!$B$42-Quesería!$B$43)))),0))*C221</f>
        <v>58.4909006863056</v>
      </c>
      <c r="D249" s="35" t="n">
        <f aca="false">(IF(AND(D$43&gt;0,D$43&lt;=0+Quesería!$B$42),($F$14+$F$24)*((Quesería!$B$40*$B$222*$B$219)-(Quesería!$B$40*$B$222*$B$219)/(Quesería!$B$42-Quesería!$B$43)*MAX(0,MIN(D$43-1-0-Quesería!$B$43,(Quesería!$B$42-Quesería!$B$43)))),0)+IF(AND(D$43&gt;1,D$43&lt;=1+Quesería!$B$42),($F$14+$F$24)*((Quesería!$B$40*$C$222*$C$219)-(Quesería!$B$40*$C$222*$C$219)/(Quesería!$B$42-Quesería!$B$43)*MAX(0,MIN(D$43-1-1-Quesería!$B$43,(Quesería!$B$42-Quesería!$B$43)))),0))*D221</f>
        <v>116.917759262216</v>
      </c>
      <c r="E249" s="35" t="n">
        <f aca="false">(IF(AND(E$43&gt;0,E$43&lt;=0+Quesería!$B$42),($F$14+$F$24)*((Quesería!$B$40*$B$222*$B$219)-(Quesería!$B$40*$B$222*$B$219)/(Quesería!$B$42-Quesería!$B$43)*MAX(0,MIN(E$43-1-0-Quesería!$B$43,(Quesería!$B$42-Quesería!$B$43)))),0)+IF(AND(E$43&gt;1,E$43&lt;=1+Quesería!$B$42),($F$14+$F$24)*((Quesería!$B$40*$C$222*$C$219)-(Quesería!$B$40*$C$222*$C$219)/(Quesería!$B$42-Quesería!$B$43)*MAX(0,MIN(E$43-1-1-Quesería!$B$43,(Quesería!$B$42-Quesería!$B$43)))),0))*E221</f>
        <v>103.451025930528</v>
      </c>
      <c r="F249" s="35" t="n">
        <f aca="false">(IF(AND(F$43&gt;0,F$43&lt;=0+Quesería!$B$42),($F$14+$F$24)*((Quesería!$B$40*$B$222*$B$219)-(Quesería!$B$40*$B$222*$B$219)/(Quesería!$B$42-Quesería!$B$43)*MAX(0,MIN(F$43-1-0-Quesería!$B$43,(Quesería!$B$42-Quesería!$B$43)))),0)+IF(AND(F$43&gt;1,F$43&lt;=1+Quesería!$B$42),($F$14+$F$24)*((Quesería!$B$40*$C$222*$C$219)-(Quesería!$B$40*$C$222*$C$219)/(Quesería!$B$42-Quesería!$B$43)*MAX(0,MIN(F$43-1-1-Quesería!$B$43,(Quesería!$B$42-Quesería!$B$43)))),0))*F221</f>
        <v>81.455966861483</v>
      </c>
      <c r="G249" s="35" t="n">
        <f aca="false">(IF(AND(G$43&gt;0,G$43&lt;=0+Quesería!$B$42),($F$14+$F$24)*((Quesería!$B$40*$B$222*$B$219)-(Quesería!$B$40*$B$222*$B$219)/(Quesería!$B$42-Quesería!$B$43)*MAX(0,MIN(G$43-1-0-Quesería!$B$43,(Quesería!$B$42-Quesería!$B$43)))),0)+IF(AND(G$43&gt;1,G$43&lt;=1+Quesería!$B$42),($F$14+$F$24)*((Quesería!$B$40*$C$222*$C$219)-(Quesería!$B$40*$C$222*$C$219)/(Quesería!$B$42-Quesería!$B$43)*MAX(0,MIN(G$43-1-1-Quesería!$B$43,(Quesería!$B$42-Quesería!$B$43)))),0))*G221</f>
        <v>60.9998013511061</v>
      </c>
      <c r="H249" s="35" t="n">
        <f aca="false">(IF(AND(H$43&gt;0,H$43&lt;=0+Quesería!$B$42),($F$14+$F$24)*((Quesería!$B$40*$B$222*$B$219)-(Quesería!$B$40*$B$222*$B$219)/(Quesería!$B$42-Quesería!$B$43)*MAX(0,MIN(H$43-1-0-Quesería!$B$43,(Quesería!$B$42-Quesería!$B$43)))),0)+IF(AND(H$43&gt;1,H$43&lt;=1+Quesería!$B$42),($F$14+$F$24)*((Quesería!$B$40*$C$222*$C$219)-(Quesería!$B$40*$C$222*$C$219)/(Quesería!$B$42-Quesería!$B$43)*MAX(0,MIN(H$43-1-1-Quesería!$B$43,(Quesería!$B$42-Quesería!$B$43)))),0))*H221</f>
        <v>41.9966900414366</v>
      </c>
      <c r="I249" s="35" t="n">
        <f aca="false">(IF(AND(I$43&gt;0,I$43&lt;=0+Quesería!$B$42),($F$14+$F$24)*((Quesería!$B$40*$B$222*$B$219)-(Quesería!$B$40*$B$222*$B$219)/(Quesería!$B$42-Quesería!$B$43)*MAX(0,MIN(I$43-1-0-Quesería!$B$43,(Quesería!$B$42-Quesería!$B$43)))),0)+IF(AND(I$43&gt;1,I$43&lt;=1+Quesería!$B$42),($F$14+$F$24)*((Quesería!$B$40*$C$222*$C$219)-(Quesería!$B$40*$C$222*$C$219)/(Quesería!$B$42-Quesería!$B$43)*MAX(0,MIN(I$43-1-1-Quesería!$B$43,(Quesería!$B$42-Quesería!$B$43)))),0))*I221</f>
        <v>24.3651201322873</v>
      </c>
      <c r="J249" s="35" t="n">
        <f aca="false">(IF(AND(J$43&gt;0,J$43&lt;=0+Quesería!$B$42),($F$14+$F$24)*((Quesería!$B$40*$B$222*$B$219)-(Quesería!$B$40*$B$222*$B$219)/(Quesería!$B$42-Quesería!$B$43)*MAX(0,MIN(J$43-1-0-Quesería!$B$43,(Quesería!$B$42-Quesería!$B$43)))),0)+IF(AND(J$43&gt;1,J$43&lt;=1+Quesería!$B$42),($F$14+$F$24)*((Quesería!$B$40*$C$222*$C$219)-(Quesería!$B$40*$C$222*$C$219)/(Quesería!$B$42-Quesería!$B$43)*MAX(0,MIN(J$43-1-1-Quesería!$B$43,(Quesería!$B$42-Quesería!$B$43)))),0))*J221</f>
        <v>8.02769955040774</v>
      </c>
      <c r="K249" s="35" t="n">
        <f aca="false">(IF(AND(K$43&gt;0,K$43&lt;=0+Quesería!$B$42),($F$14+$F$24)*((Quesería!$B$40*$B$222*$B$219)-(Quesería!$B$40*$B$222*$B$219)/(Quesería!$B$42-Quesería!$B$43)*MAX(0,MIN(K$43-1-0-Quesería!$B$43,(Quesería!$B$42-Quesería!$B$43)))),0)+IF(AND(K$43&gt;1,K$43&lt;=1+Quesería!$B$42),($F$14+$F$24)*((Quesería!$B$40*$C$222*$C$219)-(Quesería!$B$40*$C$222*$C$219)/(Quesería!$B$42-Quesería!$B$43)*MAX(0,MIN(K$43-1-1-Quesería!$B$43,(Quesería!$B$42-Quesería!$B$43)))),0))*K221</f>
        <v>0</v>
      </c>
      <c r="L249" s="35" t="n">
        <f aca="false">(IF(AND(L$43&gt;0,L$43&lt;=0+Quesería!$B$42),($F$14+$F$24)*((Quesería!$B$40*$B$222*$B$219)-(Quesería!$B$40*$B$222*$B$219)/(Quesería!$B$42-Quesería!$B$43)*MAX(0,MIN(L$43-1-0-Quesería!$B$43,(Quesería!$B$42-Quesería!$B$43)))),0)+IF(AND(L$43&gt;1,L$43&lt;=1+Quesería!$B$42),($F$14+$F$24)*((Quesería!$B$40*$C$222*$C$219)-(Quesería!$B$40*$C$222*$C$219)/(Quesería!$B$42-Quesería!$B$43)*MAX(0,MIN(L$43-1-1-Quesería!$B$43,(Quesería!$B$42-Quesería!$B$43)))),0))*L221</f>
        <v>0</v>
      </c>
    </row>
    <row r="250" customFormat="false" ht="15" hidden="false" customHeight="false" outlineLevel="0" collapsed="false">
      <c r="A250" s="6" t="s">
        <v>309</v>
      </c>
      <c r="B250" s="35" t="n">
        <f aca="false">(IF(AND(B$43&gt;0+Quesería!$B$43,B$43&lt;=0+Quesería!$B$42),(Quesería!$B$40*$B$222*$B$219)/(Quesería!$B$42-Quesería!$B$43),0)+IF(AND(B$43&gt;1+Quesería!$B$43,B$43&lt;=1+Quesería!$B$42),(Quesería!$B$40*$C$222*$C$219)/(Quesería!$B$42-Quesería!$B$43),0))*B221</f>
        <v>0</v>
      </c>
      <c r="C250" s="35" t="n">
        <f aca="false">(IF(AND(C$43&gt;0+Quesería!$B$43,C$43&lt;=0+Quesería!$B$42),(Quesería!$B$40*$B$222*$B$219)/(Quesería!$B$42-Quesería!$B$43),0)+IF(AND(C$43&gt;1+Quesería!$B$43,C$43&lt;=1+Quesería!$B$42),(Quesería!$B$40*$C$222*$C$219)/(Quesería!$B$42-Quesería!$B$43),0))*C221</f>
        <v>0</v>
      </c>
      <c r="D250" s="35" t="n">
        <f aca="false">(IF(AND(D$43&gt;0+Quesería!$B$43,D$43&lt;=0+Quesería!$B$42),(Quesería!$B$40*$B$222*$B$219)/(Quesería!$B$42-Quesería!$B$43),0)+IF(AND(D$43&gt;1+Quesería!$B$43,D$43&lt;=1+Quesería!$B$42),(Quesería!$B$40*$C$222*$C$219)/(Quesería!$B$42-Quesería!$B$43),0))*D221</f>
        <v>66.1609382586284</v>
      </c>
      <c r="E250" s="35" t="n">
        <f aca="false">(IF(AND(E$43&gt;0+Quesería!$B$43,E$43&lt;=0+Quesería!$B$42),(Quesería!$B$40*$B$222*$B$219)/(Quesería!$B$42-Quesería!$B$43),0)+IF(AND(E$43&gt;1+Quesería!$B$43,E$43&lt;=1+Quesería!$B$42),(Quesería!$B$40*$C$222*$C$219)/(Quesería!$B$42-Quesería!$B$43),0))*E221</f>
        <v>132.885251025432</v>
      </c>
      <c r="F250" s="35" t="n">
        <f aca="false">(IF(AND(F$43&gt;0+Quesería!$B$43,F$43&lt;=0+Quesería!$B$42),(Quesería!$B$40*$B$222*$B$219)/(Quesería!$B$42-Quesería!$B$43),0)+IF(AND(F$43&gt;1+Quesería!$B$43,F$43&lt;=1+Quesería!$B$42),(Quesería!$B$40*$C$222*$C$219)/(Quesería!$B$42-Quesería!$B$43),0))*F221</f>
        <v>127.774279832146</v>
      </c>
      <c r="G250" s="35" t="n">
        <f aca="false">(IF(AND(G$43&gt;0+Quesería!$B$43,G$43&lt;=0+Quesería!$B$42),(Quesería!$B$40*$B$222*$B$219)/(Quesería!$B$42-Quesería!$B$43),0)+IF(AND(G$43&gt;1+Quesería!$B$43,G$43&lt;=1+Quesería!$B$42),(Quesería!$B$40*$C$222*$C$219)/(Quesería!$B$42-Quesería!$B$43),0))*G221</f>
        <v>122.859884453986</v>
      </c>
      <c r="H250" s="35" t="n">
        <f aca="false">(IF(AND(H$43&gt;0+Quesería!$B$43,H$43&lt;=0+Quesería!$B$42),(Quesería!$B$40*$B$222*$B$219)/(Quesería!$B$42-Quesería!$B$43),0)+IF(AND(H$43&gt;1+Quesería!$B$43,H$43&lt;=1+Quesería!$B$42),(Quesería!$B$40*$C$222*$C$219)/(Quesería!$B$42-Quesería!$B$43),0))*H221</f>
        <v>118.134504282679</v>
      </c>
      <c r="I250" s="35" t="n">
        <f aca="false">(IF(AND(I$43&gt;0+Quesería!$B$43,I$43&lt;=0+Quesería!$B$42),(Quesería!$B$40*$B$222*$B$219)/(Quesería!$B$42-Quesería!$B$43),0)+IF(AND(I$43&gt;1+Quesería!$B$43,I$43&lt;=1+Quesería!$B$42),(Quesería!$B$40*$C$222*$C$219)/(Quesería!$B$42-Quesería!$B$43),0))*I221</f>
        <v>113.590869502576</v>
      </c>
      <c r="J250" s="35" t="n">
        <f aca="false">(IF(AND(J$43&gt;0+Quesería!$B$43,J$43&lt;=0+Quesería!$B$42),(Quesería!$B$40*$B$222*$B$219)/(Quesería!$B$42-Quesería!$B$43),0)+IF(AND(J$43&gt;1+Quesería!$B$43,J$43&lt;=1+Quesería!$B$42),(Quesería!$B$40*$C$222*$C$219)/(Quesería!$B$42-Quesería!$B$43),0))*J221</f>
        <v>56.9340393645939</v>
      </c>
      <c r="K250" s="35" t="n">
        <f aca="false">(IF(AND(K$43&gt;0+Quesería!$B$43,K$43&lt;=0+Quesería!$B$42),(Quesería!$B$40*$B$222*$B$219)/(Quesería!$B$42-Quesería!$B$43),0)+IF(AND(K$43&gt;1+Quesería!$B$43,K$43&lt;=1+Quesería!$B$42),(Quesería!$B$40*$C$222*$C$219)/(Quesería!$B$42-Quesería!$B$43),0))*K221</f>
        <v>0</v>
      </c>
      <c r="L250" s="35" t="n">
        <f aca="false">(IF(AND(L$43&gt;0+Quesería!$B$43,L$43&lt;=0+Quesería!$B$42),(Quesería!$B$40*$B$222*$B$219)/(Quesería!$B$42-Quesería!$B$43),0)+IF(AND(L$43&gt;1+Quesería!$B$43,L$43&lt;=1+Quesería!$B$42),(Quesería!$B$40*$C$222*$C$219)/(Quesería!$B$42-Quesería!$B$43),0))*L221</f>
        <v>0</v>
      </c>
    </row>
    <row r="251" customFormat="false" ht="15" hidden="false" customHeight="false" outlineLevel="0" collapsed="false">
      <c r="A251" s="6" t="s">
        <v>310</v>
      </c>
      <c r="B251" s="35" t="n">
        <f aca="false">$F$13*Quesería!$B$44*(1+0.19)*B247*B221+(1-$F$13)*IF(B$43=0,Quesería!$B$53,0)</f>
        <v>4</v>
      </c>
      <c r="C251" s="35" t="n">
        <f aca="false">$F$13*Quesería!$B$44*(1+0.19)*C247*C221+(1-$F$13)*IF(C$43=0,Quesería!$B$53,0)</f>
        <v>0</v>
      </c>
      <c r="D251" s="35" t="n">
        <f aca="false">$F$13*Quesería!$B$44*(1+0.19)*D247*D221+(1-$F$13)*IF(D$43=0,Quesería!$B$53,0)</f>
        <v>0</v>
      </c>
      <c r="E251" s="35" t="n">
        <f aca="false">$F$13*Quesería!$B$44*(1+0.19)*E247*E221+(1-$F$13)*IF(E$43=0,Quesería!$B$53,0)</f>
        <v>0</v>
      </c>
      <c r="F251" s="35" t="n">
        <f aca="false">$F$13*Quesería!$B$44*(1+0.19)*F247*F221+(1-$F$13)*IF(F$43=0,Quesería!$B$53,0)</f>
        <v>0</v>
      </c>
      <c r="G251" s="35" t="n">
        <f aca="false">$F$13*Quesería!$B$44*(1+0.19)*G247*G221+(1-$F$13)*IF(G$43=0,Quesería!$B$53,0)</f>
        <v>0</v>
      </c>
      <c r="H251" s="35" t="n">
        <f aca="false">$F$13*Quesería!$B$44*(1+0.19)*H247*H221+(1-$F$13)*IF(H$43=0,Quesería!$B$53,0)</f>
        <v>0</v>
      </c>
      <c r="I251" s="35" t="n">
        <f aca="false">$F$13*Quesería!$B$44*(1+0.19)*I247*I221+(1-$F$13)*IF(I$43=0,Quesería!$B$53,0)</f>
        <v>0</v>
      </c>
      <c r="J251" s="35" t="n">
        <f aca="false">$F$13*Quesería!$B$44*(1+0.19)*J247*J221+(1-$F$13)*IF(J$43=0,Quesería!$B$53,0)</f>
        <v>0</v>
      </c>
      <c r="K251" s="35" t="n">
        <f aca="false">$F$13*Quesería!$B$44*(1+0.19)*K247*K221+(1-$F$13)*IF(K$43=0,Quesería!$B$53,0)</f>
        <v>0</v>
      </c>
      <c r="L251" s="35" t="n">
        <f aca="false">$F$13*Quesería!$B$44*(1+0.19)*L247*L221+(1-$F$13)*IF(L$43=0,Quesería!$B$53,0)</f>
        <v>0</v>
      </c>
    </row>
    <row r="252" customFormat="false" ht="15" hidden="false" customHeight="false" outlineLevel="0" collapsed="false">
      <c r="A252" s="6" t="s">
        <v>311</v>
      </c>
      <c r="B252" s="35" t="n">
        <f aca="false">Quesería!$B$45*(B249+B250+B251)</f>
        <v>0.016</v>
      </c>
      <c r="C252" s="35" t="n">
        <f aca="false">Quesería!$B$45*(C249+C250+C251)</f>
        <v>0.233963602745223</v>
      </c>
      <c r="D252" s="35" t="n">
        <f aca="false">Quesería!$B$45*(D249+D250+D251)</f>
        <v>0.732314790083377</v>
      </c>
      <c r="E252" s="35" t="n">
        <f aca="false">Quesería!$B$45*(E249+E250+E251)</f>
        <v>0.94534510782384</v>
      </c>
      <c r="F252" s="35" t="n">
        <f aca="false">Quesería!$B$45*(F249+F250+F251)</f>
        <v>0.836920986774515</v>
      </c>
      <c r="G252" s="35" t="n">
        <f aca="false">Quesería!$B$45*(G249+G250+G251)</f>
        <v>0.73543874322037</v>
      </c>
      <c r="H252" s="35" t="n">
        <f aca="false">Quesería!$B$45*(H249+H250+H251)</f>
        <v>0.640524777296463</v>
      </c>
      <c r="I252" s="35" t="n">
        <f aca="false">Quesería!$B$45*(I249+I250+I251)</f>
        <v>0.551823958539454</v>
      </c>
      <c r="J252" s="35" t="n">
        <f aca="false">Quesería!$B$45*(J249+J250+J251)</f>
        <v>0.259846955660007</v>
      </c>
      <c r="K252" s="35" t="n">
        <f aca="false">Quesería!$B$45*(K249+K250+K251)</f>
        <v>0</v>
      </c>
      <c r="L252" s="35" t="n">
        <f aca="false">Quesería!$B$45*(L249+L250+L251)</f>
        <v>0</v>
      </c>
    </row>
    <row r="253" customFormat="false" ht="15" hidden="false" customHeight="false" outlineLevel="0" collapsed="false">
      <c r="A253" s="6" t="s">
        <v>312</v>
      </c>
      <c r="B253" s="35" t="n">
        <f aca="false">$F$17*(B249+B251+0.5*B252)</f>
        <v>1.4028</v>
      </c>
      <c r="C253" s="35" t="n">
        <f aca="false">$F$17*(C249+C251+0.5*C252)</f>
        <v>20.5127588706874</v>
      </c>
      <c r="D253" s="35" t="n">
        <f aca="false">$F$17*(D249+D251+0.5*D252)</f>
        <v>41.0493708300401</v>
      </c>
      <c r="E253" s="35" t="n">
        <f aca="false">$F$17*(E249+E251+0.5*E252)</f>
        <v>36.373294469554</v>
      </c>
      <c r="F253" s="35" t="n">
        <f aca="false">$F$17*(F249+F251+0.5*F252)</f>
        <v>28.6560495742046</v>
      </c>
      <c r="G253" s="35" t="n">
        <f aca="false">$F$17*(G249+G251+0.5*G252)</f>
        <v>21.4786322529507</v>
      </c>
      <c r="H253" s="35" t="n">
        <f aca="false">$F$17*(H249+H251+0.5*H252)</f>
        <v>14.8109333505297</v>
      </c>
      <c r="I253" s="35" t="n">
        <f aca="false">$F$17*(I249+I251+0.5*I252)</f>
        <v>8.62436123904496</v>
      </c>
      <c r="J253" s="35" t="n">
        <f aca="false">$F$17*(J249+J251+0.5*J252)</f>
        <v>2.85516805988321</v>
      </c>
      <c r="K253" s="35" t="n">
        <f aca="false">$F$17*(K249+K251+0.5*K252)</f>
        <v>0</v>
      </c>
      <c r="L253" s="35" t="n">
        <f aca="false">$F$17*(L249+L251+0.5*L252)</f>
        <v>0</v>
      </c>
    </row>
    <row r="254" customFormat="false" ht="15" hidden="false" customHeight="false" outlineLevel="0" collapsed="false">
      <c r="A254" s="5" t="s">
        <v>313</v>
      </c>
      <c r="B254" s="37" t="n">
        <f aca="false">B239+B248-B249-B250-B251-B252+B253</f>
        <v>-229.083708047218</v>
      </c>
      <c r="C254" s="37" t="n">
        <f aca="false">C239+C248-C249-C250-C251-C252+C253</f>
        <v>-5.40069313882179</v>
      </c>
      <c r="D254" s="37" t="n">
        <f aca="false">D239+D248-D249-D250-D251-D252+D253</f>
        <v>146.694974282743</v>
      </c>
      <c r="E254" s="37" t="n">
        <f aca="false">E239+E248-E249-E250-E251-E252+E253</f>
        <v>-0.0761475888154948</v>
      </c>
      <c r="F254" s="37" t="n">
        <f aca="false">F239+F248-F249-F250-F251-F252+F253</f>
        <v>20.4566749256224</v>
      </c>
      <c r="G254" s="37" t="n">
        <f aca="false">G239+G248-G249-G250-G251-G252+G253</f>
        <v>5.54448905225464</v>
      </c>
      <c r="H254" s="37" t="n">
        <f aca="false">H239+H248-H249-H250-H251-H252+H253</f>
        <v>13.5603512800418</v>
      </c>
      <c r="I254" s="37" t="n">
        <f aca="false">I239+I248-I249-I250-I251-I252+I253</f>
        <v>74.5761840169066</v>
      </c>
      <c r="J254" s="37" t="n">
        <f aca="false">J239+J248-J249-J250-J251-J252+J253</f>
        <v>134.433434943601</v>
      </c>
      <c r="K254" s="37" t="n">
        <f aca="false">K239+K248-K249-K250-K251-K252+K253</f>
        <v>195.639995909589</v>
      </c>
      <c r="L254" s="37" t="n">
        <f aca="false">L239+L248-L249-L250-L251-L252+L253</f>
        <v>265.505180564836</v>
      </c>
    </row>
    <row r="255" customFormat="false" ht="15" hidden="false" customHeight="false" outlineLevel="0" collapsed="false">
      <c r="A255" s="9" t="s">
        <v>314</v>
      </c>
      <c r="B255" s="36" t="n">
        <f aca="false">B254*B219</f>
        <v>-242.828730530051</v>
      </c>
      <c r="C255" s="36" t="n">
        <f aca="false">C254*C219</f>
        <v>-6.01097146350866</v>
      </c>
      <c r="D255" s="36" t="n">
        <f aca="false">D254*D219</f>
        <v>170.618724163644</v>
      </c>
      <c r="E255" s="36" t="n">
        <f aca="false">E254*E219</f>
        <v>-0.0921087630709686</v>
      </c>
      <c r="F255" s="36" t="n">
        <f aca="false">F254*F219</f>
        <v>25.7343484591464</v>
      </c>
      <c r="G255" s="36" t="n">
        <f aca="false">G254*G219</f>
        <v>7.25392403067058</v>
      </c>
      <c r="H255" s="36" t="n">
        <f aca="false">H254*H219</f>
        <v>18.4508233979857</v>
      </c>
      <c r="I255" s="36" t="n">
        <f aca="false">I254*I219</f>
        <v>105.530575976854</v>
      </c>
      <c r="J255" s="36" t="n">
        <f aca="false">J254*J219</f>
        <v>197.842133215159</v>
      </c>
      <c r="K255" s="36" t="n">
        <f aca="false">K254*K219</f>
        <v>299.43493979131</v>
      </c>
      <c r="L255" s="36" t="n">
        <f aca="false">L254*L219</f>
        <v>422.621092801447</v>
      </c>
    </row>
    <row r="256" customFormat="false" ht="15" hidden="false" customHeight="false" outlineLevel="0" collapsed="false">
      <c r="A256" s="9" t="s">
        <v>315</v>
      </c>
      <c r="B256" s="34" t="n">
        <f aca="false">(B219/$B$219)/(1+Quesería!$B$46+$F$24)^B$43</f>
        <v>1</v>
      </c>
      <c r="C256" s="34" t="n">
        <f aca="false">(C219/$B$219)/(1+Quesería!$B$46+$F$24)^C$43</f>
        <v>0.84</v>
      </c>
      <c r="D256" s="34" t="n">
        <f aca="false">(D219/$B$219)/(1+Quesería!$B$46+$F$24)^D$43</f>
        <v>0.70224</v>
      </c>
      <c r="E256" s="34" t="n">
        <f aca="false">(E219/$B$219)/(1+Quesería!$B$46+$F$24)^E$43</f>
        <v>0.58426368</v>
      </c>
      <c r="F256" s="34" t="n">
        <f aca="false">(F219/$B$219)/(1+Quesería!$B$46+$F$24)^F$43</f>
        <v>0.48610738176</v>
      </c>
      <c r="G256" s="34" t="n">
        <f aca="false">(G219/$B$219)/(1+Quesería!$B$46+$F$24)^G$43</f>
        <v>0.40444134162432</v>
      </c>
      <c r="H256" s="34" t="n">
        <f aca="false">(H219/$B$219)/(1+Quesería!$B$46+$F$24)^H$43</f>
        <v>0.336495196231434</v>
      </c>
      <c r="I256" s="34" t="n">
        <f aca="false">(I219/$B$219)/(1+Quesería!$B$46+$F$24)^I$43</f>
        <v>0.279964003264553</v>
      </c>
      <c r="J256" s="34" t="n">
        <f aca="false">(J219/$B$219)/(1+Quesería!$B$46+$F$24)^J$43</f>
        <v>0.232930050716108</v>
      </c>
      <c r="K256" s="34" t="n">
        <f aca="false">(K219/$B$219)/(1+Quesería!$B$46+$F$24)^K$43</f>
        <v>0.193797802195802</v>
      </c>
      <c r="L256" s="34" t="n">
        <f aca="false">(L219/$B$219)/(1+Quesería!$B$46+$F$24)^L$43</f>
        <v>0.161239771426907</v>
      </c>
    </row>
    <row r="257" customFormat="false" ht="15" hidden="false" customHeight="false" outlineLevel="0" collapsed="false">
      <c r="A257" s="9" t="s">
        <v>316</v>
      </c>
      <c r="B257" s="36" t="n">
        <f aca="false">B239+B222+B224+B253</f>
        <v>60.9532547375949</v>
      </c>
      <c r="C257" s="36" t="n">
        <f aca="false">C239+C222+C224+C253</f>
        <v>369.506514553754</v>
      </c>
      <c r="D257" s="36" t="n">
        <f aca="false">D239+D222+D224+D253</f>
        <v>330.50598659367</v>
      </c>
      <c r="E257" s="36" t="n">
        <f aca="false">E239+E222+E224+E253</f>
        <v>237.205474474968</v>
      </c>
      <c r="F257" s="36" t="n">
        <f aca="false">F239+F222+F224+F253</f>
        <v>230.523842606026</v>
      </c>
      <c r="G257" s="36" t="n">
        <f aca="false">G239+G222+G224+G253</f>
        <v>195.206280267234</v>
      </c>
      <c r="H257" s="36" t="n">
        <f aca="false">H239+H222+H224+H253</f>
        <v>181.039935462221</v>
      </c>
      <c r="I257" s="36" t="n">
        <f aca="false">I239+I222+I224+I253</f>
        <v>213.08399761031</v>
      </c>
      <c r="J257" s="36" t="n">
        <f aca="false">J239+J222+J224+J253</f>
        <v>199.655020814263</v>
      </c>
      <c r="K257" s="36" t="n">
        <f aca="false">K239+K222+K224+K253</f>
        <v>195.639995909589</v>
      </c>
      <c r="L257" s="36" t="n">
        <f aca="false">L239+L222+L224+L253</f>
        <v>265.505180564836</v>
      </c>
    </row>
    <row r="258" customFormat="false" ht="15" hidden="false" customHeight="false" outlineLevel="0" collapsed="false">
      <c r="A258" s="5" t="s">
        <v>317</v>
      </c>
      <c r="B258" s="12" t="str">
        <f aca="false">IF(AND(B$43&gt;=1,(B249+B250+B251)&gt;0.001),B257/(B249+B250+B251),"")</f>
        <v/>
      </c>
      <c r="C258" s="12" t="n">
        <f aca="false">IF(AND(C$43&gt;=1,(C249+C250+C251)&gt;0.001),C257/(C249+C250+C251),"")</f>
        <v>6.3173332983102</v>
      </c>
      <c r="D258" s="12" t="n">
        <f aca="false">IF(AND(D$43&gt;=1,(D249+D250+D251)&gt;0.001),D257/(D249+D250+D251),"")</f>
        <v>1.80526730345589</v>
      </c>
      <c r="E258" s="12" t="n">
        <f aca="false">IF(AND(E$43&gt;=1,(E249+E250+E251)&gt;0.001),E257/(E249+E250+E251),"")</f>
        <v>1.00367779982914</v>
      </c>
      <c r="F258" s="12" t="n">
        <f aca="false">IF(AND(F$43&gt;=1,(F249+F250+F251)&gt;0.001),F257/(F249+F250+F251),"")</f>
        <v>1.10177111698184</v>
      </c>
      <c r="G258" s="12" t="n">
        <f aca="false">IF(AND(G$43&gt;=1,(G249+G250+G251)&gt;0.001),G257/(G249+G250+G251),"")</f>
        <v>1.06171333542999</v>
      </c>
      <c r="H258" s="12" t="n">
        <f aca="false">IF(AND(H$43&gt;=1,(H249+H250+H251)&gt;0.001),H257/(H249+H250+H251),"")</f>
        <v>1.13057256723999</v>
      </c>
      <c r="I258" s="12" t="n">
        <f aca="false">IF(AND(I$43&gt;=1,(I249+I250+I251)&gt;0.001),I257/(I249+I250+I251),"")</f>
        <v>1.54457952985073</v>
      </c>
      <c r="J258" s="12" t="n">
        <f aca="false">IF(AND(J$43&gt;=1,(J249+J250+J251)&gt;0.001),J257/(J249+J250+J251),"")</f>
        <v>3.07342482127055</v>
      </c>
      <c r="K258" s="12" t="str">
        <f aca="false">IF(AND(K$43&gt;=1,(K249+K250+K251)&gt;0.001),K257/(K249+K250+K251),"")</f>
        <v/>
      </c>
      <c r="L258" s="12" t="str">
        <f aca="false">IF(AND(L$43&gt;=1,(L249+L250+L251)&gt;0.001),L257/(L249+L250+L251),"")</f>
        <v/>
      </c>
    </row>
    <row r="260" customFormat="false" ht="15" hidden="false" customHeight="false" outlineLevel="0" collapsed="false">
      <c r="A260" s="66" t="s">
        <v>631</v>
      </c>
      <c r="B260" s="67"/>
      <c r="C260" s="67"/>
      <c r="D260" s="67"/>
      <c r="E260" s="67"/>
      <c r="F260" s="67"/>
      <c r="G260" s="67"/>
      <c r="H260" s="67"/>
      <c r="I260" s="67"/>
      <c r="J260" s="67"/>
      <c r="K260" s="67"/>
      <c r="L260" s="67"/>
    </row>
    <row r="261" customFormat="false" ht="15" hidden="false" customHeight="false" outlineLevel="0" collapsed="false">
      <c r="A261" s="9" t="s">
        <v>281</v>
      </c>
      <c r="B261" s="33" t="n">
        <f aca="false">CHOOSE($G$15,Entorno!B$7,Entorno!B$8,Entorno!B$9)</f>
        <v>0.06</v>
      </c>
      <c r="C261" s="33" t="n">
        <f aca="false">CHOOSE($G$15,Entorno!C$7,Entorno!C$8,Entorno!C$9)</f>
        <v>0.05</v>
      </c>
      <c r="D261" s="33" t="n">
        <f aca="false">CHOOSE($G$15,Entorno!D$7,Entorno!D$8,Entorno!D$9)</f>
        <v>0.045</v>
      </c>
      <c r="E261" s="33" t="n">
        <f aca="false">CHOOSE($G$15,Entorno!E$7,Entorno!E$8,Entorno!E$9)</f>
        <v>0.04</v>
      </c>
      <c r="F261" s="33" t="n">
        <f aca="false">CHOOSE($G$15,Entorno!F$7,Entorno!F$8,Entorno!F$9)</f>
        <v>0.04</v>
      </c>
      <c r="G261" s="33" t="n">
        <f aca="false">CHOOSE($G$15,Entorno!G$7,Entorno!G$8,Entorno!G$9)</f>
        <v>0.04</v>
      </c>
      <c r="H261" s="33" t="n">
        <f aca="false">CHOOSE($G$15,Entorno!H$7,Entorno!H$8,Entorno!H$9)</f>
        <v>0.04</v>
      </c>
      <c r="I261" s="33" t="n">
        <f aca="false">CHOOSE($G$15,Entorno!I$7,Entorno!I$8,Entorno!I$9)</f>
        <v>0.04</v>
      </c>
      <c r="J261" s="33" t="n">
        <f aca="false">CHOOSE($G$15,Entorno!J$7,Entorno!J$8,Entorno!J$9)</f>
        <v>0.04</v>
      </c>
      <c r="K261" s="33" t="n">
        <f aca="false">CHOOSE($G$15,Entorno!K$7,Entorno!K$8,Entorno!K$9)</f>
        <v>0.04</v>
      </c>
      <c r="L261" s="33" t="n">
        <f aca="false">CHOOSE($G$15,Entorno!L$7,Entorno!L$8,Entorno!L$9)</f>
        <v>0.04</v>
      </c>
    </row>
    <row r="262" customFormat="false" ht="15" hidden="false" customHeight="false" outlineLevel="0" collapsed="false">
      <c r="A262" s="9" t="s">
        <v>282</v>
      </c>
      <c r="B262" s="34" t="n">
        <f aca="false">1+B261</f>
        <v>1.06</v>
      </c>
      <c r="C262" s="34" t="n">
        <f aca="false">B262*(1+C261)</f>
        <v>1.113</v>
      </c>
      <c r="D262" s="34" t="n">
        <f aca="false">C262*(1+D261)</f>
        <v>1.163085</v>
      </c>
      <c r="E262" s="34" t="n">
        <f aca="false">D262*(1+E261)</f>
        <v>1.2096084</v>
      </c>
      <c r="F262" s="34" t="n">
        <f aca="false">E262*(1+F261)</f>
        <v>1.257992736</v>
      </c>
      <c r="G262" s="34" t="n">
        <f aca="false">F262*(1+G261)</f>
        <v>1.30831244544</v>
      </c>
      <c r="H262" s="34" t="n">
        <f aca="false">G262*(1+H261)</f>
        <v>1.3606449432576</v>
      </c>
      <c r="I262" s="34" t="n">
        <f aca="false">H262*(1+I261)</f>
        <v>1.4150707409879</v>
      </c>
      <c r="J262" s="34" t="n">
        <f aca="false">I262*(1+J261)</f>
        <v>1.47167357062742</v>
      </c>
      <c r="K262" s="34" t="n">
        <f aca="false">J262*(1+K261)</f>
        <v>1.53054051345252</v>
      </c>
      <c r="L262" s="34" t="n">
        <f aca="false">K262*(1+L261)</f>
        <v>1.59176213399062</v>
      </c>
    </row>
    <row r="263" customFormat="false" ht="15" hidden="false" customHeight="false" outlineLevel="0" collapsed="false">
      <c r="A263" s="9" t="s">
        <v>283</v>
      </c>
      <c r="B263" s="34" t="n">
        <f aca="false">(1+$G$16)/(1+B261)</f>
        <v>1.02358490566038</v>
      </c>
      <c r="C263" s="34" t="n">
        <f aca="false">B263*(1+Entorno!$B$13)</f>
        <v>1.02870283018868</v>
      </c>
      <c r="D263" s="34" t="n">
        <f aca="false">C263*(1+Entorno!$B$13)</f>
        <v>1.03384634433962</v>
      </c>
      <c r="E263" s="34" t="n">
        <f aca="false">D263*(1+Entorno!$B$13)</f>
        <v>1.03901557606132</v>
      </c>
      <c r="F263" s="34" t="n">
        <f aca="false">E263*(1+Entorno!$B$13)</f>
        <v>1.04421065394163</v>
      </c>
      <c r="G263" s="34" t="n">
        <f aca="false">F263*(1+Entorno!$B$13)</f>
        <v>1.04943170721133</v>
      </c>
      <c r="H263" s="34" t="n">
        <f aca="false">G263*(1+Entorno!$B$13)</f>
        <v>1.05467886574739</v>
      </c>
      <c r="I263" s="34" t="n">
        <f aca="false">H263*(1+Entorno!$B$13)</f>
        <v>1.05995226007613</v>
      </c>
      <c r="J263" s="34" t="n">
        <f aca="false">I263*(1+Entorno!$B$13)</f>
        <v>1.06525202137651</v>
      </c>
      <c r="K263" s="34" t="n">
        <f aca="false">J263*(1+Entorno!$B$13)</f>
        <v>1.07057828148339</v>
      </c>
      <c r="L263" s="34" t="n">
        <f aca="false">K263*(1+Entorno!$B$13)</f>
        <v>1.07593117289081</v>
      </c>
    </row>
    <row r="264" customFormat="false" ht="15" hidden="false" customHeight="false" outlineLevel="0" collapsed="false">
      <c r="A264" s="9" t="s">
        <v>284</v>
      </c>
      <c r="B264" s="34" t="n">
        <f aca="false">1/B262</f>
        <v>0.943396226415094</v>
      </c>
      <c r="C264" s="34" t="n">
        <f aca="false">1/C262</f>
        <v>0.898472596585804</v>
      </c>
      <c r="D264" s="34" t="n">
        <f aca="false">1/D262</f>
        <v>0.859782389077324</v>
      </c>
      <c r="E264" s="34" t="n">
        <f aca="false">1/E262</f>
        <v>0.826713835651273</v>
      </c>
      <c r="F264" s="34" t="n">
        <f aca="false">1/F262</f>
        <v>0.794917149664686</v>
      </c>
      <c r="G264" s="34" t="n">
        <f aca="false">1/G262</f>
        <v>0.764343413139121</v>
      </c>
      <c r="H264" s="34" t="n">
        <f aca="false">1/H262</f>
        <v>0.734945589556847</v>
      </c>
      <c r="I264" s="34" t="n">
        <f aca="false">1/I262</f>
        <v>0.706678451496968</v>
      </c>
      <c r="J264" s="34" t="n">
        <f aca="false">1/J262</f>
        <v>0.679498511054777</v>
      </c>
      <c r="K264" s="34" t="n">
        <f aca="false">1/K262</f>
        <v>0.653363952937286</v>
      </c>
      <c r="L264" s="34" t="n">
        <f aca="false">1/L262</f>
        <v>0.628234570132006</v>
      </c>
    </row>
    <row r="265" customFormat="false" ht="15" hidden="false" customHeight="false" outlineLevel="0" collapsed="false">
      <c r="A265" s="6" t="s">
        <v>202</v>
      </c>
      <c r="B265" s="35" t="n">
        <f aca="false">IF(B$43=0,Quesería!$F$80,IF(B$43=1,Quesería!$F$81*$G$21,0))*$G$11</f>
        <v>622.243624322401</v>
      </c>
      <c r="C265" s="35" t="n">
        <f aca="false">IF(C$43=0,Quesería!$F$80,IF(C$43=1,Quesería!$F$81*$G$21,0))*$G$11</f>
        <v>645.270088578622</v>
      </c>
      <c r="D265" s="35" t="n">
        <f aca="false">IF(D$43=0,Quesería!$F$80,IF(D$43=1,Quesería!$F$81*$G$21,0))*$G$11</f>
        <v>0</v>
      </c>
      <c r="E265" s="35" t="n">
        <f aca="false">IF(E$43=0,Quesería!$F$80,IF(E$43=1,Quesería!$F$81*$G$21,0))*$G$11</f>
        <v>0</v>
      </c>
      <c r="F265" s="35" t="n">
        <f aca="false">IF(F$43=0,Quesería!$F$80,IF(F$43=1,Quesería!$F$81*$G$21,0))*$G$11</f>
        <v>0</v>
      </c>
      <c r="G265" s="35" t="n">
        <f aca="false">IF(G$43=0,Quesería!$F$80,IF(G$43=1,Quesería!$F$81*$G$21,0))*$G$11</f>
        <v>0</v>
      </c>
      <c r="H265" s="35" t="n">
        <f aca="false">IF(H$43=0,Quesería!$F$80,IF(H$43=1,Quesería!$F$81*$G$21,0))*$G$11</f>
        <v>0</v>
      </c>
      <c r="I265" s="35" t="n">
        <f aca="false">IF(I$43=0,Quesería!$F$80,IF(I$43=1,Quesería!$F$81*$G$21,0))*$G$11</f>
        <v>0</v>
      </c>
      <c r="J265" s="35" t="n">
        <f aca="false">IF(J$43=0,Quesería!$F$80,IF(J$43=1,Quesería!$F$81*$G$21,0))*$G$11</f>
        <v>0</v>
      </c>
      <c r="K265" s="35" t="n">
        <f aca="false">IF(K$43=0,Quesería!$F$80,IF(K$43=1,Quesería!$F$81*$G$21,0))*$G$11</f>
        <v>0</v>
      </c>
      <c r="L265" s="35" t="n">
        <f aca="false">IF(L$43=0,Quesería!$F$80,IF(L$43=1,Quesería!$F$81*$G$21,0))*$G$11</f>
        <v>0</v>
      </c>
    </row>
    <row r="266" customFormat="false" ht="15" hidden="false" customHeight="false" outlineLevel="0" collapsed="false">
      <c r="A266" s="6" t="s">
        <v>285</v>
      </c>
      <c r="B266" s="35" t="n">
        <f aca="false">IF(B$43=5,Quesería!$F$87,IF(B$43=6,Quesería!$F$88,0))*$G$11</f>
        <v>0</v>
      </c>
      <c r="C266" s="35" t="n">
        <f aca="false">IF(C$43=5,Quesería!$F$87,IF(C$43=6,Quesería!$F$88,0))*$G$11</f>
        <v>0</v>
      </c>
      <c r="D266" s="35" t="n">
        <f aca="false">IF(D$43=5,Quesería!$F$87,IF(D$43=6,Quesería!$F$88,0))*$G$11</f>
        <v>0</v>
      </c>
      <c r="E266" s="35" t="n">
        <f aca="false">IF(E$43=5,Quesería!$F$87,IF(E$43=6,Quesería!$F$88,0))*$G$11</f>
        <v>0</v>
      </c>
      <c r="F266" s="35" t="n">
        <f aca="false">IF(F$43=5,Quesería!$F$87,IF(F$43=6,Quesería!$F$88,0))*$G$11</f>
        <v>0</v>
      </c>
      <c r="G266" s="35" t="n">
        <f aca="false">IF(G$43=5,Quesería!$F$87,IF(G$43=6,Quesería!$F$88,0))*$G$11</f>
        <v>26.6666666666667</v>
      </c>
      <c r="H266" s="35" t="n">
        <f aca="false">IF(H$43=5,Quesería!$F$87,IF(H$43=6,Quesería!$F$88,0))*$G$11</f>
        <v>35.3045530566667</v>
      </c>
      <c r="I266" s="35" t="n">
        <f aca="false">IF(I$43=5,Quesería!$F$87,IF(I$43=6,Quesería!$F$88,0))*$G$11</f>
        <v>0</v>
      </c>
      <c r="J266" s="35" t="n">
        <f aca="false">IF(J$43=5,Quesería!$F$87,IF(J$43=6,Quesería!$F$88,0))*$G$11</f>
        <v>0</v>
      </c>
      <c r="K266" s="35" t="n">
        <f aca="false">IF(K$43=5,Quesería!$F$87,IF(K$43=6,Quesería!$F$88,0))*$G$11</f>
        <v>0</v>
      </c>
      <c r="L266" s="35" t="n">
        <f aca="false">IF(L$43=5,Quesería!$F$87,IF(L$43=6,Quesería!$F$88,0))*$G$11</f>
        <v>0</v>
      </c>
    </row>
    <row r="267" customFormat="false" ht="15" hidden="false" customHeight="false" outlineLevel="0" collapsed="false">
      <c r="A267" s="6" t="s">
        <v>286</v>
      </c>
      <c r="B267" s="35" t="n">
        <f aca="false">Quesería!$B$36*(IF(B$43=0,SUMPRODUCT((Quesería!$C$62:$C$77=0)*(Quesería!$H$62:$H$77&gt;0)*(Quesería!$J$62:$J$77&gt;0)*Quesería!$F$62:$F$77*(1+Quesería!$I$62:$I$77)),IF(B$43=1,SUMPRODUCT((Quesería!$C$62:$C$77=1)*(Quesería!$H$62:$H$77&gt;0)*(Quesería!$J$62:$J$77&gt;0)*Quesería!$F$62:$F$77*(1+Quesería!$I$62:$I$77))*$G$21,0))*$G$11+B266)</f>
        <v>99.347875488093</v>
      </c>
      <c r="C267" s="35" t="n">
        <f aca="false">Quesería!$B$36*(IF(C$43=0,SUMPRODUCT((Quesería!$C$62:$C$77=0)*(Quesería!$H$62:$H$77&gt;0)*(Quesería!$J$62:$J$77&gt;0)*Quesería!$F$62:$F$77*(1+Quesería!$I$62:$I$77)),IF(C$43=1,SUMPRODUCT((Quesería!$C$62:$C$77=1)*(Quesería!$H$62:$H$77&gt;0)*(Quesería!$J$62:$J$77&gt;0)*Quesería!$F$62:$F$77*(1+Quesería!$I$62:$I$77))*$G$21,0))*$G$11+C266)</f>
        <v>122.601316829938</v>
      </c>
      <c r="D267" s="35" t="n">
        <f aca="false">Quesería!$B$36*(IF(D$43=0,SUMPRODUCT((Quesería!$C$62:$C$77=0)*(Quesería!$H$62:$H$77&gt;0)*(Quesería!$J$62:$J$77&gt;0)*Quesería!$F$62:$F$77*(1+Quesería!$I$62:$I$77)),IF(D$43=1,SUMPRODUCT((Quesería!$C$62:$C$77=1)*(Quesería!$H$62:$H$77&gt;0)*(Quesería!$J$62:$J$77&gt;0)*Quesería!$F$62:$F$77*(1+Quesería!$I$62:$I$77))*$G$21,0))*$G$11+D266)</f>
        <v>0</v>
      </c>
      <c r="E267" s="35" t="n">
        <f aca="false">Quesería!$B$36*(IF(E$43=0,SUMPRODUCT((Quesería!$C$62:$C$77=0)*(Quesería!$H$62:$H$77&gt;0)*(Quesería!$J$62:$J$77&gt;0)*Quesería!$F$62:$F$77*(1+Quesería!$I$62:$I$77)),IF(E$43=1,SUMPRODUCT((Quesería!$C$62:$C$77=1)*(Quesería!$H$62:$H$77&gt;0)*(Quesería!$J$62:$J$77&gt;0)*Quesería!$F$62:$F$77*(1+Quesería!$I$62:$I$77))*$G$21,0))*$G$11+E266)</f>
        <v>0</v>
      </c>
      <c r="F267" s="35" t="n">
        <f aca="false">Quesería!$B$36*(IF(F$43=0,SUMPRODUCT((Quesería!$C$62:$C$77=0)*(Quesería!$H$62:$H$77&gt;0)*(Quesería!$J$62:$J$77&gt;0)*Quesería!$F$62:$F$77*(1+Quesería!$I$62:$I$77)),IF(F$43=1,SUMPRODUCT((Quesería!$C$62:$C$77=1)*(Quesería!$H$62:$H$77&gt;0)*(Quesería!$J$62:$J$77&gt;0)*Quesería!$F$62:$F$77*(1+Quesería!$I$62:$I$77))*$G$21,0))*$G$11+F266)</f>
        <v>0</v>
      </c>
      <c r="G267" s="35" t="n">
        <f aca="false">Quesería!$B$36*(IF(G$43=0,SUMPRODUCT((Quesería!$C$62:$C$77=0)*(Quesería!$H$62:$H$77&gt;0)*(Quesería!$J$62:$J$77&gt;0)*Quesería!$F$62:$F$77*(1+Quesería!$I$62:$I$77)),IF(G$43=1,SUMPRODUCT((Quesería!$C$62:$C$77=1)*(Quesería!$H$62:$H$77&gt;0)*(Quesería!$J$62:$J$77&gt;0)*Quesería!$F$62:$F$77*(1+Quesería!$I$62:$I$77))*$G$21,0))*$G$11+G266)</f>
        <v>5.06666666666667</v>
      </c>
      <c r="H267" s="35" t="n">
        <f aca="false">Quesería!$B$36*(IF(H$43=0,SUMPRODUCT((Quesería!$C$62:$C$77=0)*(Quesería!$H$62:$H$77&gt;0)*(Quesería!$J$62:$J$77&gt;0)*Quesería!$F$62:$F$77*(1+Quesería!$I$62:$I$77)),IF(H$43=1,SUMPRODUCT((Quesería!$C$62:$C$77=1)*(Quesería!$H$62:$H$77&gt;0)*(Quesería!$J$62:$J$77&gt;0)*Quesería!$F$62:$F$77*(1+Quesería!$I$62:$I$77))*$G$21,0))*$G$11+H266)</f>
        <v>6.70786508076667</v>
      </c>
      <c r="I267" s="35" t="n">
        <f aca="false">Quesería!$B$36*(IF(I$43=0,SUMPRODUCT((Quesería!$C$62:$C$77=0)*(Quesería!$H$62:$H$77&gt;0)*(Quesería!$J$62:$J$77&gt;0)*Quesería!$F$62:$F$77*(1+Quesería!$I$62:$I$77)),IF(I$43=1,SUMPRODUCT((Quesería!$C$62:$C$77=1)*(Quesería!$H$62:$H$77&gt;0)*(Quesería!$J$62:$J$77&gt;0)*Quesería!$F$62:$F$77*(1+Quesería!$I$62:$I$77))*$G$21,0))*$G$11+I266)</f>
        <v>0</v>
      </c>
      <c r="J267" s="35" t="n">
        <f aca="false">Quesería!$B$36*(IF(J$43=0,SUMPRODUCT((Quesería!$C$62:$C$77=0)*(Quesería!$H$62:$H$77&gt;0)*(Quesería!$J$62:$J$77&gt;0)*Quesería!$F$62:$F$77*(1+Quesería!$I$62:$I$77)),IF(J$43=1,SUMPRODUCT((Quesería!$C$62:$C$77=1)*(Quesería!$H$62:$H$77&gt;0)*(Quesería!$J$62:$J$77&gt;0)*Quesería!$F$62:$F$77*(1+Quesería!$I$62:$I$77))*$G$21,0))*$G$11+J266)</f>
        <v>0</v>
      </c>
      <c r="K267" s="35" t="n">
        <f aca="false">Quesería!$B$36*(IF(K$43=0,SUMPRODUCT((Quesería!$C$62:$C$77=0)*(Quesería!$H$62:$H$77&gt;0)*(Quesería!$J$62:$J$77&gt;0)*Quesería!$F$62:$F$77*(1+Quesería!$I$62:$I$77)),IF(K$43=1,SUMPRODUCT((Quesería!$C$62:$C$77=1)*(Quesería!$H$62:$H$77&gt;0)*(Quesería!$J$62:$J$77&gt;0)*Quesería!$F$62:$F$77*(1+Quesería!$I$62:$I$77))*$G$21,0))*$G$11+K266)</f>
        <v>0</v>
      </c>
      <c r="L267" s="35" t="n">
        <f aca="false">Quesería!$B$36*(IF(L$43=0,SUMPRODUCT((Quesería!$C$62:$C$77=0)*(Quesería!$H$62:$H$77&gt;0)*(Quesería!$J$62:$J$77&gt;0)*Quesería!$F$62:$F$77*(1+Quesería!$I$62:$I$77)),IF(L$43=1,SUMPRODUCT((Quesería!$C$62:$C$77=1)*(Quesería!$H$62:$H$77&gt;0)*(Quesería!$J$62:$J$77&gt;0)*Quesería!$F$62:$F$77*(1+Quesería!$I$62:$I$77))*$G$21,0))*$G$11+L266)</f>
        <v>0</v>
      </c>
    </row>
    <row r="268" customFormat="false" ht="15" hidden="false" customHeight="false" outlineLevel="0" collapsed="false">
      <c r="A268" s="6" t="s">
        <v>260</v>
      </c>
      <c r="B268" s="35" t="n">
        <f aca="false">IF(B$43=0,($G$22*Quesería!$J$109+(1-$G$22)*Quesería!$E$105)*Quesería!$B$12*Quesería!$B$13/12*$G$23,(($G$22*Quesería!$J$109+(1-$G$22)*Quesería!$E$105)+($G$22*Quesería!$J$92+(1-$G$22)*Quesería!$E$92)*(B263-1))*IF(B$43=1,Quesería!$B$12,1))*$G$10</f>
        <v>36.5098985682111</v>
      </c>
      <c r="C268" s="35" t="n">
        <f aca="false">IF(C$43=0,($G$22*Quesería!$J$109+(1-$G$22)*Quesería!$E$105)*Quesería!$B$12*Quesería!$B$13/12*$G$23,(($G$22*Quesería!$J$109+(1-$G$22)*Quesería!$E$105)+($G$22*Quesería!$J$92+(1-$G$22)*Quesería!$E$92)*(C263-1))*IF(C$43=1,Quesería!$B$12,1))*$G$10</f>
        <v>109.732222874445</v>
      </c>
      <c r="D268" s="35" t="n">
        <f aca="false">IF(D$43=0,($G$22*Quesería!$J$109+(1-$G$22)*Quesería!$E$105)*Quesería!$B$12*Quesería!$B$13/12*$G$23,(($G$22*Quesería!$J$109+(1-$G$22)*Quesería!$E$105)+($G$22*Quesería!$J$92+(1-$G$22)*Quesería!$E$92)*(D263-1))*IF(D$43=1,Quesería!$B$12,1))*$G$10</f>
        <v>146.358020680392</v>
      </c>
      <c r="E268" s="35" t="n">
        <f aca="false">IF(E$43=0,($G$22*Quesería!$J$109+(1-$G$22)*Quesería!$E$105)*Quesería!$B$12*Quesería!$B$13/12*$G$23,(($G$22*Quesería!$J$109+(1-$G$22)*Quesería!$E$105)+($G$22*Quesería!$J$92+(1-$G$22)*Quesería!$E$92)*(E263-1))*IF(E$43=1,Quesería!$B$12,1))*$G$10</f>
        <v>146.406652812429</v>
      </c>
      <c r="F268" s="35" t="n">
        <f aca="false">IF(F$43=0,($G$22*Quesería!$J$109+(1-$G$22)*Quesería!$E$105)*Quesería!$B$12*Quesería!$B$13/12*$G$23,(($G$22*Quesería!$J$109+(1-$G$22)*Quesería!$E$105)+($G$22*Quesería!$J$92+(1-$G$22)*Quesería!$E$92)*(F263-1))*IF(F$43=1,Quesería!$B$12,1))*$G$10</f>
        <v>146.455528105127</v>
      </c>
      <c r="G268" s="35" t="n">
        <f aca="false">IF(G$43=0,($G$22*Quesería!$J$109+(1-$G$22)*Quesería!$E$105)*Quesería!$B$12*Quesería!$B$13/12*$G$23,(($G$22*Quesería!$J$109+(1-$G$22)*Quesería!$E$105)+($G$22*Quesería!$J$92+(1-$G$22)*Quesería!$E$92)*(G263-1))*IF(G$43=1,Quesería!$B$12,1))*$G$10</f>
        <v>146.504647774289</v>
      </c>
      <c r="H268" s="35" t="n">
        <f aca="false">IF(H$43=0,($G$22*Quesería!$J$109+(1-$G$22)*Quesería!$E$105)*Quesería!$B$12*Quesería!$B$13/12*$G$23,(($G$22*Quesería!$J$109+(1-$G$22)*Quesería!$E$105)+($G$22*Quesería!$J$92+(1-$G$22)*Quesería!$E$92)*(H263-1))*IF(H$43=1,Quesería!$B$12,1))*$G$10</f>
        <v>146.554013041796</v>
      </c>
      <c r="I268" s="35" t="n">
        <f aca="false">IF(I$43=0,($G$22*Quesería!$J$109+(1-$G$22)*Quesería!$E$105)*Quesería!$B$12*Quesería!$B$13/12*$G$23,(($G$22*Quesería!$J$109+(1-$G$22)*Quesería!$E$105)+($G$22*Quesería!$J$92+(1-$G$22)*Quesería!$E$92)*(I263-1))*IF(I$43=1,Quesería!$B$12,1))*$G$10</f>
        <v>146.603625135641</v>
      </c>
      <c r="J268" s="35" t="n">
        <f aca="false">IF(J$43=0,($G$22*Quesería!$J$109+(1-$G$22)*Quesería!$E$105)*Quesería!$B$12*Quesería!$B$13/12*$G$23,(($G$22*Quesería!$J$109+(1-$G$22)*Quesería!$E$105)+($G$22*Quesería!$J$92+(1-$G$22)*Quesería!$E$92)*(J263-1))*IF(J$43=1,Quesería!$B$12,1))*$G$10</f>
        <v>146.653485289955</v>
      </c>
      <c r="K268" s="35" t="n">
        <f aca="false">IF(K$43=0,($G$22*Quesería!$J$109+(1-$G$22)*Quesería!$E$105)*Quesería!$B$12*Quesería!$B$13/12*$G$23,(($G$22*Quesería!$J$109+(1-$G$22)*Quesería!$E$105)+($G$22*Quesería!$J$92+(1-$G$22)*Quesería!$E$92)*(K263-1))*IF(K$43=1,Quesería!$B$12,1))*$G$10</f>
        <v>146.70359474504</v>
      </c>
      <c r="L268" s="35" t="n">
        <f aca="false">IF(L$43=0,($G$22*Quesería!$J$109+(1-$G$22)*Quesería!$E$105)*Quesería!$B$12*Quesería!$B$13/12*$G$23,(($G$22*Quesería!$J$109+(1-$G$22)*Quesería!$E$105)+($G$22*Quesería!$J$92+(1-$G$22)*Quesería!$E$92)*(L263-1))*IF(L$43=1,Quesería!$B$12,1))*$G$10</f>
        <v>146.753954747401</v>
      </c>
    </row>
    <row r="269" customFormat="false" ht="15" hidden="false" customHeight="false" outlineLevel="0" collapsed="false">
      <c r="A269" s="6" t="s">
        <v>261</v>
      </c>
      <c r="B269" s="35" t="n">
        <f aca="false">IF(B$43&lt;=1,0,((($G$22*Quesería!$J$110+(1-$G$22)*Quesería!$E$106)-($G$22*Quesería!$J$99+(1-$G$22)*Quesería!$E$99)+$G$6*($G$22*Quesería!$J$99+(1-$G$22)*Quesería!$E$99)-(1-$G$9)*($G$22*Quesería!$J$102+(1-$G$22)*Quesería!$E$102))+($G$6*($G$22*Quesería!$J$99+(1-$G$22)*Quesería!$E$99)+$G$9*($G$22*Quesería!$J$102+(1-$G$22)*Quesería!$E$102))*(B263-1))*IF(B$43=2,Quesería!$B$12,1)+IF(B$43=2,Quesería!$B$14*$G$9*($G$22*Quesería!$J$102+(1-$G$22)*Quesería!$E$102)*B263,0))*$G$10*$G$21</f>
        <v>0</v>
      </c>
      <c r="C269" s="35" t="n">
        <f aca="false">IF(C$43&lt;=1,0,((($G$22*Quesería!$J$110+(1-$G$22)*Quesería!$E$106)-($G$22*Quesería!$J$99+(1-$G$22)*Quesería!$E$99)+$G$6*($G$22*Quesería!$J$99+(1-$G$22)*Quesería!$E$99)-(1-$G$9)*($G$22*Quesería!$J$102+(1-$G$22)*Quesería!$E$102))+($G$6*($G$22*Quesería!$J$99+(1-$G$22)*Quesería!$E$99)+$G$9*($G$22*Quesería!$J$102+(1-$G$22)*Quesería!$E$102))*(C263-1))*IF(C$43=2,Quesería!$B$12,1)+IF(C$43=2,Quesería!$B$14*$G$9*($G$22*Quesería!$J$102+(1-$G$22)*Quesería!$E$102)*C263,0))*$G$10*$G$21</f>
        <v>0</v>
      </c>
      <c r="D269" s="35" t="n">
        <f aca="false">IF(D$43&lt;=1,0,((($G$22*Quesería!$J$110+(1-$G$22)*Quesería!$E$106)-($G$22*Quesería!$J$99+(1-$G$22)*Quesería!$E$99)+$G$6*($G$22*Quesería!$J$99+(1-$G$22)*Quesería!$E$99)-(1-$G$9)*($G$22*Quesería!$J$102+(1-$G$22)*Quesería!$E$102))+($G$6*($G$22*Quesería!$J$99+(1-$G$22)*Quesería!$E$99)+$G$9*($G$22*Quesería!$J$102+(1-$G$22)*Quesería!$E$102))*(D263-1))*IF(D$43=2,Quesería!$B$12,1)+IF(D$43=2,Quesería!$B$14*$G$9*($G$22*Quesería!$J$102+(1-$G$22)*Quesería!$E$102)*D263,0))*$G$10*$G$21</f>
        <v>158.270243349006</v>
      </c>
      <c r="E269" s="35" t="n">
        <f aca="false">IF(E$43&lt;=1,0,((($G$22*Quesería!$J$110+(1-$G$22)*Quesería!$E$106)-($G$22*Quesería!$J$99+(1-$G$22)*Quesería!$E$99)+$G$6*($G$22*Quesería!$J$99+(1-$G$22)*Quesería!$E$99)-(1-$G$9)*($G$22*Quesería!$J$102+(1-$G$22)*Quesería!$E$102))+($G$6*($G$22*Quesería!$J$99+(1-$G$22)*Quesería!$E$99)+$G$9*($G$22*Quesería!$J$102+(1-$G$22)*Quesería!$E$102))*(E263-1))*IF(E$43=2,Quesería!$B$12,1)+IF(E$43=2,Quesería!$B$14*$G$9*($G$22*Quesería!$J$102+(1-$G$22)*Quesería!$E$102)*E263,0))*$G$10*$G$21</f>
        <v>187.55355123763</v>
      </c>
      <c r="F269" s="35" t="n">
        <f aca="false">IF(F$43&lt;=1,0,((($G$22*Quesería!$J$110+(1-$G$22)*Quesería!$E$106)-($G$22*Quesería!$J$99+(1-$G$22)*Quesería!$E$99)+$G$6*($G$22*Quesería!$J$99+(1-$G$22)*Quesería!$E$99)-(1-$G$9)*($G$22*Quesería!$J$102+(1-$G$22)*Quesería!$E$102))+($G$6*($G$22*Quesería!$J$99+(1-$G$22)*Quesería!$E$99)+$G$9*($G$22*Quesería!$J$102+(1-$G$22)*Quesería!$E$102))*(F263-1))*IF(F$43=2,Quesería!$B$12,1)+IF(F$43=2,Quesería!$B$14*$G$9*($G$22*Quesería!$J$102+(1-$G$22)*Quesería!$E$102)*F263,0))*$G$10*$G$21</f>
        <v>187.901663016234</v>
      </c>
      <c r="G269" s="35" t="n">
        <f aca="false">IF(G$43&lt;=1,0,((($G$22*Quesería!$J$110+(1-$G$22)*Quesería!$E$106)-($G$22*Quesería!$J$99+(1-$G$22)*Quesería!$E$99)+$G$6*($G$22*Quesería!$J$99+(1-$G$22)*Quesería!$E$99)-(1-$G$9)*($G$22*Quesería!$J$102+(1-$G$22)*Quesería!$E$102))+($G$6*($G$22*Quesería!$J$99+(1-$G$22)*Quesería!$E$99)+$G$9*($G$22*Quesería!$J$102+(1-$G$22)*Quesería!$E$102))*(G263-1))*IF(G$43=2,Quesería!$B$12,1)+IF(G$43=2,Quesería!$B$14*$G$9*($G$22*Quesería!$J$102+(1-$G$22)*Quesería!$E$102)*G263,0))*$G$10*$G$21</f>
        <v>188.25151535373</v>
      </c>
      <c r="H269" s="35" t="n">
        <f aca="false">IF(H$43&lt;=1,0,((($G$22*Quesería!$J$110+(1-$G$22)*Quesería!$E$106)-($G$22*Quesería!$J$99+(1-$G$22)*Quesería!$E$99)+$G$6*($G$22*Quesería!$J$99+(1-$G$22)*Quesería!$E$99)-(1-$G$9)*($G$22*Quesería!$J$102+(1-$G$22)*Quesería!$E$102))+($G$6*($G$22*Quesería!$J$99+(1-$G$22)*Quesería!$E$99)+$G$9*($G$22*Quesería!$J$102+(1-$G$22)*Quesería!$E$102))*(H263-1))*IF(H$43=2,Quesería!$B$12,1)+IF(H$43=2,Quesería!$B$14*$G$9*($G$22*Quesería!$J$102+(1-$G$22)*Quesería!$E$102)*H263,0))*$G$10*$G$21</f>
        <v>188.603116952914</v>
      </c>
      <c r="I269" s="35" t="n">
        <f aca="false">IF(I$43&lt;=1,0,((($G$22*Quesería!$J$110+(1-$G$22)*Quesería!$E$106)-($G$22*Quesería!$J$99+(1-$G$22)*Quesería!$E$99)+$G$6*($G$22*Quesería!$J$99+(1-$G$22)*Quesería!$E$99)-(1-$G$9)*($G$22*Quesería!$J$102+(1-$G$22)*Quesería!$E$102))+($G$6*($G$22*Quesería!$J$99+(1-$G$22)*Quesería!$E$99)+$G$9*($G$22*Quesería!$J$102+(1-$G$22)*Quesería!$E$102))*(I263-1))*IF(I$43=2,Quesería!$B$12,1)+IF(I$43=2,Quesería!$B$14*$G$9*($G$22*Quesería!$J$102+(1-$G$22)*Quesería!$E$102)*I263,0))*$G$10*$G$21</f>
        <v>188.956476560094</v>
      </c>
      <c r="J269" s="35" t="n">
        <f aca="false">IF(J$43&lt;=1,0,((($G$22*Quesería!$J$110+(1-$G$22)*Quesería!$E$106)-($G$22*Quesería!$J$99+(1-$G$22)*Quesería!$E$99)+$G$6*($G$22*Quesería!$J$99+(1-$G$22)*Quesería!$E$99)-(1-$G$9)*($G$22*Quesería!$J$102+(1-$G$22)*Quesería!$E$102))+($G$6*($G$22*Quesería!$J$99+(1-$G$22)*Quesería!$E$99)+$G$9*($G$22*Quesería!$J$102+(1-$G$22)*Quesería!$E$102))*(J263-1))*IF(J$43=2,Quesería!$B$12,1)+IF(J$43=2,Quesería!$B$14*$G$9*($G$22*Quesería!$J$102+(1-$G$22)*Quesería!$E$102)*J263,0))*$G$10*$G$21</f>
        <v>189.31160296531</v>
      </c>
      <c r="K269" s="35" t="n">
        <f aca="false">IF(K$43&lt;=1,0,((($G$22*Quesería!$J$110+(1-$G$22)*Quesería!$E$106)-($G$22*Quesería!$J$99+(1-$G$22)*Quesería!$E$99)+$G$6*($G$22*Quesería!$J$99+(1-$G$22)*Quesería!$E$99)-(1-$G$9)*($G$22*Quesería!$J$102+(1-$G$22)*Quesería!$E$102))+($G$6*($G$22*Quesería!$J$99+(1-$G$22)*Quesería!$E$99)+$G$9*($G$22*Quesería!$J$102+(1-$G$22)*Quesería!$E$102))*(K263-1))*IF(K$43=2,Quesería!$B$12,1)+IF(K$43=2,Quesería!$B$14*$G$9*($G$22*Quesería!$J$102+(1-$G$22)*Quesería!$E$102)*K263,0))*$G$10*$G$21</f>
        <v>189.668505002552</v>
      </c>
      <c r="L269" s="35" t="n">
        <f aca="false">IF(L$43&lt;=1,0,((($G$22*Quesería!$J$110+(1-$G$22)*Quesería!$E$106)-($G$22*Quesería!$J$99+(1-$G$22)*Quesería!$E$99)+$G$6*($G$22*Quesería!$J$99+(1-$G$22)*Quesería!$E$99)-(1-$G$9)*($G$22*Quesería!$J$102+(1-$G$22)*Quesería!$E$102))+($G$6*($G$22*Quesería!$J$99+(1-$G$22)*Quesería!$E$99)+$G$9*($G$22*Quesería!$J$102+(1-$G$22)*Quesería!$E$102))*(L263-1))*IF(L$43=2,Quesería!$B$12,1)+IF(L$43=2,Quesería!$B$14*$G$9*($G$22*Quesería!$J$102+(1-$G$22)*Quesería!$E$102)*L263,0))*$G$10*$G$21</f>
        <v>190.02719154998</v>
      </c>
    </row>
    <row r="270" customFormat="false" ht="15" hidden="false" customHeight="false" outlineLevel="0" collapsed="false">
      <c r="A270" s="5" t="s">
        <v>287</v>
      </c>
      <c r="B270" s="10" t="n">
        <f aca="false">B268+B269</f>
        <v>36.5098985682111</v>
      </c>
      <c r="C270" s="10" t="n">
        <f aca="false">C268+C269</f>
        <v>109.732222874445</v>
      </c>
      <c r="D270" s="10" t="n">
        <f aca="false">D268+D269</f>
        <v>304.628264029397</v>
      </c>
      <c r="E270" s="10" t="n">
        <f aca="false">E268+E269</f>
        <v>333.96020405006</v>
      </c>
      <c r="F270" s="10" t="n">
        <f aca="false">F268+F269</f>
        <v>334.357191121361</v>
      </c>
      <c r="G270" s="10" t="n">
        <f aca="false">G268+G269</f>
        <v>334.756163128019</v>
      </c>
      <c r="H270" s="10" t="n">
        <f aca="false">H268+H269</f>
        <v>335.15712999471</v>
      </c>
      <c r="I270" s="10" t="n">
        <f aca="false">I268+I269</f>
        <v>335.560101695735</v>
      </c>
      <c r="J270" s="10" t="n">
        <f aca="false">J268+J269</f>
        <v>335.965088255265</v>
      </c>
      <c r="K270" s="10" t="n">
        <f aca="false">K268+K269</f>
        <v>336.372099747592</v>
      </c>
      <c r="L270" s="10" t="n">
        <f aca="false">L268+L269</f>
        <v>336.781146297382</v>
      </c>
    </row>
    <row r="271" customFormat="false" ht="15" hidden="false" customHeight="false" outlineLevel="0" collapsed="false">
      <c r="A271" s="6" t="s">
        <v>288</v>
      </c>
      <c r="B271" s="35" t="n">
        <f aca="false">(IF(B$43&gt;=1,(Quesería!$B$21+Quesería!$B$54)*Quesería!$F$82*$G$11+Quesería!$B$22+'Beneficios y costos'!$B$118,0)+IF(B$43&gt;=2,((Quesería!$B$21+Quesería!$B$54)*Quesería!$F$83*$G$11+'Beneficios y costos'!$C$118)*$G$21,0))*$G$12</f>
        <v>0</v>
      </c>
      <c r="C271" s="35" t="n">
        <f aca="false">(IF(C$43&gt;=1,(Quesería!$B$21+Quesería!$B$54)*Quesería!$F$82*$G$11+Quesería!$B$22+'Beneficios y costos'!$B$118,0)+IF(C$43&gt;=2,((Quesería!$B$21+Quesería!$B$54)*Quesería!$F$83*$G$11+'Beneficios y costos'!$C$118)*$G$21,0))*$G$12</f>
        <v>36.8921528634167</v>
      </c>
      <c r="D271" s="35" t="n">
        <f aca="false">(IF(D$43&gt;=1,(Quesería!$B$21+Quesería!$B$54)*Quesería!$F$82*$G$11+Quesería!$B$22+'Beneficios y costos'!$B$118,0)+IF(D$43&gt;=2,((Quesería!$B$21+Quesería!$B$54)*Quesería!$F$83*$G$11+'Beneficios y costos'!$C$118)*$G$21,0))*$G$12</f>
        <v>88.8065043646377</v>
      </c>
      <c r="E271" s="35" t="n">
        <f aca="false">(IF(E$43&gt;=1,(Quesería!$B$21+Quesería!$B$54)*Quesería!$F$82*$G$11+Quesería!$B$22+'Beneficios y costos'!$B$118,0)+IF(E$43&gt;=2,((Quesería!$B$21+Quesería!$B$54)*Quesería!$F$83*$G$11+'Beneficios y costos'!$C$118)*$G$21,0))*$G$12</f>
        <v>88.8065043646377</v>
      </c>
      <c r="F271" s="35" t="n">
        <f aca="false">(IF(F$43&gt;=1,(Quesería!$B$21+Quesería!$B$54)*Quesería!$F$82*$G$11+Quesería!$B$22+'Beneficios y costos'!$B$118,0)+IF(F$43&gt;=2,((Quesería!$B$21+Quesería!$B$54)*Quesería!$F$83*$G$11+'Beneficios y costos'!$C$118)*$G$21,0))*$G$12</f>
        <v>88.8065043646377</v>
      </c>
      <c r="G271" s="35" t="n">
        <f aca="false">(IF(G$43&gt;=1,(Quesería!$B$21+Quesería!$B$54)*Quesería!$F$82*$G$11+Quesería!$B$22+'Beneficios y costos'!$B$118,0)+IF(G$43&gt;=2,((Quesería!$B$21+Quesería!$B$54)*Quesería!$F$83*$G$11+'Beneficios y costos'!$C$118)*$G$21,0))*$G$12</f>
        <v>88.8065043646377</v>
      </c>
      <c r="H271" s="35" t="n">
        <f aca="false">(IF(H$43&gt;=1,(Quesería!$B$21+Quesería!$B$54)*Quesería!$F$82*$G$11+Quesería!$B$22+'Beneficios y costos'!$B$118,0)+IF(H$43&gt;=2,((Quesería!$B$21+Quesería!$B$54)*Quesería!$F$83*$G$11+'Beneficios y costos'!$C$118)*$G$21,0))*$G$12</f>
        <v>88.8065043646377</v>
      </c>
      <c r="I271" s="35" t="n">
        <f aca="false">(IF(I$43&gt;=1,(Quesería!$B$21+Quesería!$B$54)*Quesería!$F$82*$G$11+Quesería!$B$22+'Beneficios y costos'!$B$118,0)+IF(I$43&gt;=2,((Quesería!$B$21+Quesería!$B$54)*Quesería!$F$83*$G$11+'Beneficios y costos'!$C$118)*$G$21,0))*$G$12</f>
        <v>88.8065043646377</v>
      </c>
      <c r="J271" s="35" t="n">
        <f aca="false">(IF(J$43&gt;=1,(Quesería!$B$21+Quesería!$B$54)*Quesería!$F$82*$G$11+Quesería!$B$22+'Beneficios y costos'!$B$118,0)+IF(J$43&gt;=2,((Quesería!$B$21+Quesería!$B$54)*Quesería!$F$83*$G$11+'Beneficios y costos'!$C$118)*$G$21,0))*$G$12</f>
        <v>88.8065043646377</v>
      </c>
      <c r="K271" s="35" t="n">
        <f aca="false">(IF(K$43&gt;=1,(Quesería!$B$21+Quesería!$B$54)*Quesería!$F$82*$G$11+Quesería!$B$22+'Beneficios y costos'!$B$118,0)+IF(K$43&gt;=2,((Quesería!$B$21+Quesería!$B$54)*Quesería!$F$83*$G$11+'Beneficios y costos'!$C$118)*$G$21,0))*$G$12</f>
        <v>88.8065043646377</v>
      </c>
      <c r="L271" s="35" t="n">
        <f aca="false">(IF(L$43&gt;=1,(Quesería!$B$21+Quesería!$B$54)*Quesería!$F$82*$G$11+Quesería!$B$22+'Beneficios y costos'!$B$118,0)+IF(L$43&gt;=2,((Quesería!$B$21+Quesería!$B$54)*Quesería!$F$83*$G$11+'Beneficios y costos'!$C$118)*$G$21,0))*$G$12</f>
        <v>88.8065043646377</v>
      </c>
    </row>
    <row r="272" customFormat="false" ht="15" hidden="false" customHeight="false" outlineLevel="0" collapsed="false">
      <c r="A272" s="6" t="s">
        <v>289</v>
      </c>
      <c r="B272" s="35" t="n">
        <f aca="false">IF(B$43=1,2*Quesería!$B$33*Quesería!$B$34/12*B263,0)*$G$21</f>
        <v>0</v>
      </c>
      <c r="C272" s="35" t="n">
        <f aca="false">IF(C$43=1,2*Quesería!$B$33*Quesería!$B$34/12*C263,0)*$G$21</f>
        <v>18.5166509433962</v>
      </c>
      <c r="D272" s="35" t="n">
        <f aca="false">IF(D$43=1,2*Quesería!$B$33*Quesería!$B$34/12*D263,0)*$G$21</f>
        <v>0</v>
      </c>
      <c r="E272" s="35" t="n">
        <f aca="false">IF(E$43=1,2*Quesería!$B$33*Quesería!$B$34/12*E263,0)*$G$21</f>
        <v>0</v>
      </c>
      <c r="F272" s="35" t="n">
        <f aca="false">IF(F$43=1,2*Quesería!$B$33*Quesería!$B$34/12*F263,0)*$G$21</f>
        <v>0</v>
      </c>
      <c r="G272" s="35" t="n">
        <f aca="false">IF(G$43=1,2*Quesería!$B$33*Quesería!$B$34/12*G263,0)*$G$21</f>
        <v>0</v>
      </c>
      <c r="H272" s="35" t="n">
        <f aca="false">IF(H$43=1,2*Quesería!$B$33*Quesería!$B$34/12*H263,0)*$G$21</f>
        <v>0</v>
      </c>
      <c r="I272" s="35" t="n">
        <f aca="false">IF(I$43=1,2*Quesería!$B$33*Quesería!$B$34/12*I263,0)*$G$21</f>
        <v>0</v>
      </c>
      <c r="J272" s="35" t="n">
        <f aca="false">IF(J$43=1,2*Quesería!$B$33*Quesería!$B$34/12*J263,0)*$G$21</f>
        <v>0</v>
      </c>
      <c r="K272" s="35" t="n">
        <f aca="false">IF(K$43=1,2*Quesería!$B$33*Quesería!$B$34/12*K263,0)*$G$21</f>
        <v>0</v>
      </c>
      <c r="L272" s="35" t="n">
        <f aca="false">IF(L$43=1,2*Quesería!$B$33*Quesería!$B$34/12*L263,0)*$G$21</f>
        <v>0</v>
      </c>
    </row>
    <row r="273" customFormat="false" ht="15" hidden="false" customHeight="false" outlineLevel="0" collapsed="false">
      <c r="A273" s="6" t="s">
        <v>290</v>
      </c>
      <c r="B273" s="35" t="n">
        <f aca="false">Quesería!$B$45*(B265+B266+B267+B271+B272)</f>
        <v>2.88636599924197</v>
      </c>
      <c r="C273" s="35" t="n">
        <f aca="false">Quesería!$B$45*(C265+C266+C267+C271+C272)</f>
        <v>3.29312083686149</v>
      </c>
      <c r="D273" s="35" t="n">
        <f aca="false">Quesería!$B$45*(D265+D266+D267+D271+D272)</f>
        <v>0.355226017458551</v>
      </c>
      <c r="E273" s="35" t="n">
        <f aca="false">Quesería!$B$45*(E265+E266+E267+E271+E272)</f>
        <v>0.355226017458551</v>
      </c>
      <c r="F273" s="35" t="n">
        <f aca="false">Quesería!$B$45*(F265+F266+F267+F271+F272)</f>
        <v>0.355226017458551</v>
      </c>
      <c r="G273" s="35" t="n">
        <f aca="false">Quesería!$B$45*(G265+G266+G267+G271+G272)</f>
        <v>0.482159350791884</v>
      </c>
      <c r="H273" s="35" t="n">
        <f aca="false">Quesería!$B$45*(H265+H266+H267+H271+H272)</f>
        <v>0.523275690008284</v>
      </c>
      <c r="I273" s="35" t="n">
        <f aca="false">Quesería!$B$45*(I265+I266+I267+I271+I272)</f>
        <v>0.355226017458551</v>
      </c>
      <c r="J273" s="35" t="n">
        <f aca="false">Quesería!$B$45*(J265+J266+J267+J271+J272)</f>
        <v>0.355226017458551</v>
      </c>
      <c r="K273" s="35" t="n">
        <f aca="false">Quesería!$B$45*(K265+K266+K267+K271+K272)</f>
        <v>0.355226017458551</v>
      </c>
      <c r="L273" s="35" t="n">
        <f aca="false">Quesería!$B$45*(L265+L266+L267+L271+L272)</f>
        <v>0.355226017458551</v>
      </c>
    </row>
    <row r="274" customFormat="false" ht="15" hidden="false" customHeight="false" outlineLevel="0" collapsed="false">
      <c r="A274" s="6" t="s">
        <v>291</v>
      </c>
      <c r="B274" s="35" t="n">
        <f aca="false">(IF($G$19=1,(SUMPRODUCT((Quesería!$C$62:$C$77=0)*(Quesería!$J$62:$J$77&gt;0)*(B$43&gt;=1)*(B$43&lt;=Quesería!$J$62:$J$77)*(Quesería!$H$62:$H$77&gt;0)*Quesería!$F$62:$F$77*(1+Quesería!$I$62:$I$77)/(Quesería!$J$62:$J$77+(Quesería!$J$62:$J$77=0)))+SUMPRODUCT((Quesería!$C$62:$C$77=0)*(Quesería!$J$62:$J$77=0)*(B$43=0)*(Quesería!$H$62:$H$77&gt;0)*Quesería!$F$62:$F$77*(1+Quesería!$I$62:$I$77)))*$B$262+(SUMPRODUCT((Quesería!$C$62:$C$77=1)*(Quesería!$J$62:$J$77&gt;0)*(B$43&gt;=2)*(B$43&lt;=Quesería!$J$62:$J$77+1)*(Quesería!$H$62:$H$77&gt;0)*Quesería!$F$62:$F$77*(1+Quesería!$I$62:$I$77)/(Quesería!$J$62:$J$77+(Quesería!$J$62:$J$77=0)))+SUMPRODUCT((Quesería!$C$62:$C$77=1)*(Quesería!$J$62:$J$77=0)*(B$43=1)*(Quesería!$H$62:$H$77&gt;0)*Quesería!$F$62:$F$77*(1+Quesería!$I$62:$I$77)))*$C$262*$G$21,IF(AND(B$43&gt;=1,B$43&lt;=Quesería!$B$11),Quesería!$F$80/Quesería!$B$11,0)*$B$262+IF(AND(B$43&gt;=2,B$43&lt;=Quesería!$B$11+1),Quesería!$F$81/Quesería!$B$11,0)*$C$262*$G$21)*$G$11+IF(AND(B$43&gt;=6,B$43&lt;=10),$G266*$G262/5,0)+IF(AND(B$43&gt;=7,B$43&lt;=11),$H266*$H262/5,0))*B264</f>
        <v>99.3600691219113</v>
      </c>
      <c r="C274" s="35" t="n">
        <f aca="false">(IF($G$19=1,(SUMPRODUCT((Quesería!$C$62:$C$77=0)*(Quesería!$J$62:$J$77&gt;0)*(C$43&gt;=1)*(C$43&lt;=Quesería!$J$62:$J$77)*(Quesería!$H$62:$H$77&gt;0)*Quesería!$F$62:$F$77*(1+Quesería!$I$62:$I$77)/(Quesería!$J$62:$J$77+(Quesería!$J$62:$J$77=0)))+SUMPRODUCT((Quesería!$C$62:$C$77=0)*(Quesería!$J$62:$J$77=0)*(C$43=0)*(Quesería!$H$62:$H$77&gt;0)*Quesería!$F$62:$F$77*(1+Quesería!$I$62:$I$77)))*$B$262+(SUMPRODUCT((Quesería!$C$62:$C$77=1)*(Quesería!$J$62:$J$77&gt;0)*(C$43&gt;=2)*(C$43&lt;=Quesería!$J$62:$J$77+1)*(Quesería!$H$62:$H$77&gt;0)*Quesería!$F$62:$F$77*(1+Quesería!$I$62:$I$77)/(Quesería!$J$62:$J$77+(Quesería!$J$62:$J$77=0)))+SUMPRODUCT((Quesería!$C$62:$C$77=1)*(Quesería!$J$62:$J$77=0)*(C$43=1)*(Quesería!$H$62:$H$77&gt;0)*Quesería!$F$62:$F$77*(1+Quesería!$I$62:$I$77)))*$C$262*$G$21,IF(AND(C$43&gt;=1,C$43&lt;=Quesería!$B$11),Quesería!$F$80/Quesería!$B$11,0)*$B$262+IF(AND(C$43&gt;=2,C$43&lt;=Quesería!$B$11+1),Quesería!$F$81/Quesería!$B$11,0)*$C$262*$G$21)*$G$11+IF(AND(C$43&gt;=6,C$43&lt;=10),$G266*$G262/5,0)+IF(AND(C$43&gt;=7,C$43&lt;=11),$H266*$H262/5,0))*C264</f>
        <v>57.1000211302053</v>
      </c>
      <c r="D274" s="35" t="n">
        <f aca="false">(IF($G$19=1,(SUMPRODUCT((Quesería!$C$62:$C$77=0)*(Quesería!$J$62:$J$77&gt;0)*(D$43&gt;=1)*(D$43&lt;=Quesería!$J$62:$J$77)*(Quesería!$H$62:$H$77&gt;0)*Quesería!$F$62:$F$77*(1+Quesería!$I$62:$I$77)/(Quesería!$J$62:$J$77+(Quesería!$J$62:$J$77=0)))+SUMPRODUCT((Quesería!$C$62:$C$77=0)*(Quesería!$J$62:$J$77=0)*(D$43=0)*(Quesería!$H$62:$H$77&gt;0)*Quesería!$F$62:$F$77*(1+Quesería!$I$62:$I$77)))*$B$262+(SUMPRODUCT((Quesería!$C$62:$C$77=1)*(Quesería!$J$62:$J$77&gt;0)*(D$43&gt;=2)*(D$43&lt;=Quesería!$J$62:$J$77+1)*(Quesería!$H$62:$H$77&gt;0)*Quesería!$F$62:$F$77*(1+Quesería!$I$62:$I$77)/(Quesería!$J$62:$J$77+(Quesería!$J$62:$J$77=0)))+SUMPRODUCT((Quesería!$C$62:$C$77=1)*(Quesería!$J$62:$J$77=0)*(D$43=1)*(Quesería!$H$62:$H$77&gt;0)*Quesería!$F$62:$F$77*(1+Quesería!$I$62:$I$77)))*$C$262*$G$21,IF(AND(D$43&gt;=1,D$43&lt;=Quesería!$B$11),Quesería!$F$80/Quesería!$B$11,0)*$B$262+IF(AND(D$43&gt;=2,D$43&lt;=Quesería!$B$11+1),Quesería!$F$81/Quesería!$B$11,0)*$C$262*$G$21)*$G$11+IF(AND(D$43&gt;=6,D$43&lt;=10),$G266*$G262/5,0)+IF(AND(D$43&gt;=7,D$43&lt;=11),$H266*$H262/5,0))*D264</f>
        <v>116.389502380926</v>
      </c>
      <c r="E274" s="35" t="n">
        <f aca="false">(IF($G$19=1,(SUMPRODUCT((Quesería!$C$62:$C$77=0)*(Quesería!$J$62:$J$77&gt;0)*(E$43&gt;=1)*(E$43&lt;=Quesería!$J$62:$J$77)*(Quesería!$H$62:$H$77&gt;0)*Quesería!$F$62:$F$77*(1+Quesería!$I$62:$I$77)/(Quesería!$J$62:$J$77+(Quesería!$J$62:$J$77=0)))+SUMPRODUCT((Quesería!$C$62:$C$77=0)*(Quesería!$J$62:$J$77=0)*(E$43=0)*(Quesería!$H$62:$H$77&gt;0)*Quesería!$F$62:$F$77*(1+Quesería!$I$62:$I$77)))*$B$262+(SUMPRODUCT((Quesería!$C$62:$C$77=1)*(Quesería!$J$62:$J$77&gt;0)*(E$43&gt;=2)*(E$43&lt;=Quesería!$J$62:$J$77+1)*(Quesería!$H$62:$H$77&gt;0)*Quesería!$F$62:$F$77*(1+Quesería!$I$62:$I$77)/(Quesería!$J$62:$J$77+(Quesería!$J$62:$J$77=0)))+SUMPRODUCT((Quesería!$C$62:$C$77=1)*(Quesería!$J$62:$J$77=0)*(E$43=1)*(Quesería!$H$62:$H$77&gt;0)*Quesería!$F$62:$F$77*(1+Quesería!$I$62:$I$77)))*$C$262*$G$21,IF(AND(E$43&gt;=1,E$43&lt;=Quesería!$B$11),Quesería!$F$80/Quesería!$B$11,0)*$B$262+IF(AND(E$43&gt;=2,E$43&lt;=Quesería!$B$11+1),Quesería!$F$81/Quesería!$B$11,0)*$C$262*$G$21)*$G$11+IF(AND(E$43&gt;=6,E$43&lt;=10),$G266*$G262/5,0)+IF(AND(E$43&gt;=7,E$43&lt;=11),$H266*$H262/5,0))*E264</f>
        <v>111.912983058583</v>
      </c>
      <c r="F274" s="35" t="n">
        <f aca="false">(IF($G$19=1,(SUMPRODUCT((Quesería!$C$62:$C$77=0)*(Quesería!$J$62:$J$77&gt;0)*(F$43&gt;=1)*(F$43&lt;=Quesería!$J$62:$J$77)*(Quesería!$H$62:$H$77&gt;0)*Quesería!$F$62:$F$77*(1+Quesería!$I$62:$I$77)/(Quesería!$J$62:$J$77+(Quesería!$J$62:$J$77=0)))+SUMPRODUCT((Quesería!$C$62:$C$77=0)*(Quesería!$J$62:$J$77=0)*(F$43=0)*(Quesería!$H$62:$H$77&gt;0)*Quesería!$F$62:$F$77*(1+Quesería!$I$62:$I$77)))*$B$262+(SUMPRODUCT((Quesería!$C$62:$C$77=1)*(Quesería!$J$62:$J$77&gt;0)*(F$43&gt;=2)*(F$43&lt;=Quesería!$J$62:$J$77+1)*(Quesería!$H$62:$H$77&gt;0)*Quesería!$F$62:$F$77*(1+Quesería!$I$62:$I$77)/(Quesería!$J$62:$J$77+(Quesería!$J$62:$J$77=0)))+SUMPRODUCT((Quesería!$C$62:$C$77=1)*(Quesería!$J$62:$J$77=0)*(F$43=1)*(Quesería!$H$62:$H$77&gt;0)*Quesería!$F$62:$F$77*(1+Quesería!$I$62:$I$77)))*$C$262*$G$21,IF(AND(F$43&gt;=1,F$43&lt;=Quesería!$B$11),Quesería!$F$80/Quesería!$B$11,0)*$B$262+IF(AND(F$43&gt;=2,F$43&lt;=Quesería!$B$11+1),Quesería!$F$81/Quesería!$B$11,0)*$C$262*$G$21)*$G$11+IF(AND(F$43&gt;=6,F$43&lt;=10),$G266*$G262/5,0)+IF(AND(F$43&gt;=7,F$43&lt;=11),$H266*$H262/5,0))*F264</f>
        <v>107.608637556329</v>
      </c>
      <c r="G274" s="35" t="n">
        <f aca="false">(IF($G$19=1,(SUMPRODUCT((Quesería!$C$62:$C$77=0)*(Quesería!$J$62:$J$77&gt;0)*(G$43&gt;=1)*(G$43&lt;=Quesería!$J$62:$J$77)*(Quesería!$H$62:$H$77&gt;0)*Quesería!$F$62:$F$77*(1+Quesería!$I$62:$I$77)/(Quesería!$J$62:$J$77+(Quesería!$J$62:$J$77=0)))+SUMPRODUCT((Quesería!$C$62:$C$77=0)*(Quesería!$J$62:$J$77=0)*(G$43=0)*(Quesería!$H$62:$H$77&gt;0)*Quesería!$F$62:$F$77*(1+Quesería!$I$62:$I$77)))*$B$262+(SUMPRODUCT((Quesería!$C$62:$C$77=1)*(Quesería!$J$62:$J$77&gt;0)*(G$43&gt;=2)*(G$43&lt;=Quesería!$J$62:$J$77+1)*(Quesería!$H$62:$H$77&gt;0)*Quesería!$F$62:$F$77*(1+Quesería!$I$62:$I$77)/(Quesería!$J$62:$J$77+(Quesería!$J$62:$J$77=0)))+SUMPRODUCT((Quesería!$C$62:$C$77=1)*(Quesería!$J$62:$J$77=0)*(G$43=1)*(Quesería!$H$62:$H$77&gt;0)*Quesería!$F$62:$F$77*(1+Quesería!$I$62:$I$77)))*$C$262*$G$21,IF(AND(G$43&gt;=1,G$43&lt;=Quesería!$B$11),Quesería!$F$80/Quesería!$B$11,0)*$B$262+IF(AND(G$43&gt;=2,G$43&lt;=Quesería!$B$11+1),Quesería!$F$81/Quesería!$B$11,0)*$C$262*$G$21)*$G$11+IF(AND(G$43&gt;=6,G$43&lt;=10),$G266*$G262/5,0)+IF(AND(G$43&gt;=7,G$43&lt;=11),$H266*$H262/5,0))*G264</f>
        <v>103.469843804163</v>
      </c>
      <c r="H274" s="35" t="n">
        <f aca="false">(IF($G$19=1,(SUMPRODUCT((Quesería!$C$62:$C$77=0)*(Quesería!$J$62:$J$77&gt;0)*(H$43&gt;=1)*(H$43&lt;=Quesería!$J$62:$J$77)*(Quesería!$H$62:$H$77&gt;0)*Quesería!$F$62:$F$77*(1+Quesería!$I$62:$I$77)/(Quesería!$J$62:$J$77+(Quesería!$J$62:$J$77=0)))+SUMPRODUCT((Quesería!$C$62:$C$77=0)*(Quesería!$J$62:$J$77=0)*(H$43=0)*(Quesería!$H$62:$H$77&gt;0)*Quesería!$F$62:$F$77*(1+Quesería!$I$62:$I$77)))*$B$262+(SUMPRODUCT((Quesería!$C$62:$C$77=1)*(Quesería!$J$62:$J$77&gt;0)*(H$43&gt;=2)*(H$43&lt;=Quesería!$J$62:$J$77+1)*(Quesería!$H$62:$H$77&gt;0)*Quesería!$F$62:$F$77*(1+Quesería!$I$62:$I$77)/(Quesería!$J$62:$J$77+(Quesería!$J$62:$J$77=0)))+SUMPRODUCT((Quesería!$C$62:$C$77=1)*(Quesería!$J$62:$J$77=0)*(H$43=1)*(Quesería!$H$62:$H$77&gt;0)*Quesería!$F$62:$F$77*(1+Quesería!$I$62:$I$77)))*$C$262*$G$21,IF(AND(H$43&gt;=1,H$43&lt;=Quesería!$B$11),Quesería!$F$80/Quesería!$B$11,0)*$B$262+IF(AND(H$43&gt;=2,H$43&lt;=Quesería!$B$11+1),Quesería!$F$81/Quesería!$B$11,0)*$C$262*$G$21)*$G$11+IF(AND(H$43&gt;=6,H$43&lt;=10),$G266*$G262/5,0)+IF(AND(H$43&gt;=7,H$43&lt;=11),$H266*$H262/5,0))*H264</f>
        <v>92.6731239063542</v>
      </c>
      <c r="I274" s="35" t="n">
        <f aca="false">(IF($G$19=1,(SUMPRODUCT((Quesería!$C$62:$C$77=0)*(Quesería!$J$62:$J$77&gt;0)*(I$43&gt;=1)*(I$43&lt;=Quesería!$J$62:$J$77)*(Quesería!$H$62:$H$77&gt;0)*Quesería!$F$62:$F$77*(1+Quesería!$I$62:$I$77)/(Quesería!$J$62:$J$77+(Quesería!$J$62:$J$77=0)))+SUMPRODUCT((Quesería!$C$62:$C$77=0)*(Quesería!$J$62:$J$77=0)*(I$43=0)*(Quesería!$H$62:$H$77&gt;0)*Quesería!$F$62:$F$77*(1+Quesería!$I$62:$I$77)))*$B$262+(SUMPRODUCT((Quesería!$C$62:$C$77=1)*(Quesería!$J$62:$J$77&gt;0)*(I$43&gt;=2)*(I$43&lt;=Quesería!$J$62:$J$77+1)*(Quesería!$H$62:$H$77&gt;0)*Quesería!$F$62:$F$77*(1+Quesería!$I$62:$I$77)/(Quesería!$J$62:$J$77+(Quesería!$J$62:$J$77=0)))+SUMPRODUCT((Quesería!$C$62:$C$77=1)*(Quesería!$J$62:$J$77=0)*(I$43=1)*(Quesería!$H$62:$H$77&gt;0)*Quesería!$F$62:$F$77*(1+Quesería!$I$62:$I$77)))*$C$262*$G$21,IF(AND(I$43&gt;=1,I$43&lt;=Quesería!$B$11),Quesería!$F$80/Quesería!$B$11,0)*$B$262+IF(AND(I$43&gt;=2,I$43&lt;=Quesería!$B$11+1),Quesería!$F$81/Quesería!$B$11,0)*$C$262*$G$21)*$G$11+IF(AND(I$43&gt;=6,I$43&lt;=10),$G266*$G262/5,0)+IF(AND(I$43&gt;=7,I$43&lt;=11),$H266*$H262/5,0))*I264</f>
        <v>95.8981101131611</v>
      </c>
      <c r="J274" s="35" t="n">
        <f aca="false">(IF($G$19=1,(SUMPRODUCT((Quesería!$C$62:$C$77=0)*(Quesería!$J$62:$J$77&gt;0)*(J$43&gt;=1)*(J$43&lt;=Quesería!$J$62:$J$77)*(Quesería!$H$62:$H$77&gt;0)*Quesería!$F$62:$F$77*(1+Quesería!$I$62:$I$77)/(Quesería!$J$62:$J$77+(Quesería!$J$62:$J$77=0)))+SUMPRODUCT((Quesería!$C$62:$C$77=0)*(Quesería!$J$62:$J$77=0)*(J$43=0)*(Quesería!$H$62:$H$77&gt;0)*Quesería!$F$62:$F$77*(1+Quesería!$I$62:$I$77)))*$B$262+(SUMPRODUCT((Quesería!$C$62:$C$77=1)*(Quesería!$J$62:$J$77&gt;0)*(J$43&gt;=2)*(J$43&lt;=Quesería!$J$62:$J$77+1)*(Quesería!$H$62:$H$77&gt;0)*Quesería!$F$62:$F$77*(1+Quesería!$I$62:$I$77)/(Quesería!$J$62:$J$77+(Quesería!$J$62:$J$77=0)))+SUMPRODUCT((Quesería!$C$62:$C$77=1)*(Quesería!$J$62:$J$77=0)*(J$43=1)*(Quesería!$H$62:$H$77&gt;0)*Quesería!$F$62:$F$77*(1+Quesería!$I$62:$I$77)))*$C$262*$G$21,IF(AND(J$43&gt;=1,J$43&lt;=Quesería!$B$11),Quesería!$F$80/Quesería!$B$11,0)*$B$262+IF(AND(J$43&gt;=2,J$43&lt;=Quesería!$B$11+1),Quesería!$F$81/Quesería!$B$11,0)*$C$262*$G$21)*$G$11+IF(AND(J$43&gt;=6,J$43&lt;=10),$G266*$G262/5,0)+IF(AND(J$43&gt;=7,J$43&lt;=11),$H266*$H262/5,0))*J264</f>
        <v>92.2097212626549</v>
      </c>
      <c r="K274" s="35" t="n">
        <f aca="false">(IF($G$19=1,(SUMPRODUCT((Quesería!$C$62:$C$77=0)*(Quesería!$J$62:$J$77&gt;0)*(K$43&gt;=1)*(K$43&lt;=Quesería!$J$62:$J$77)*(Quesería!$H$62:$H$77&gt;0)*Quesería!$F$62:$F$77*(1+Quesería!$I$62:$I$77)/(Quesería!$J$62:$J$77+(Quesería!$J$62:$J$77=0)))+SUMPRODUCT((Quesería!$C$62:$C$77=0)*(Quesería!$J$62:$J$77=0)*(K$43=0)*(Quesería!$H$62:$H$77&gt;0)*Quesería!$F$62:$F$77*(1+Quesería!$I$62:$I$77)))*$B$262+(SUMPRODUCT((Quesería!$C$62:$C$77=1)*(Quesería!$J$62:$J$77&gt;0)*(K$43&gt;=2)*(K$43&lt;=Quesería!$J$62:$J$77+1)*(Quesería!$H$62:$H$77&gt;0)*Quesería!$F$62:$F$77*(1+Quesería!$I$62:$I$77)/(Quesería!$J$62:$J$77+(Quesería!$J$62:$J$77=0)))+SUMPRODUCT((Quesería!$C$62:$C$77=1)*(Quesería!$J$62:$J$77=0)*(K$43=1)*(Quesería!$H$62:$H$77&gt;0)*Quesería!$F$62:$F$77*(1+Quesería!$I$62:$I$77)))*$C$262*$G$21,IF(AND(K$43&gt;=1,K$43&lt;=Quesería!$B$11),Quesería!$F$80/Quesería!$B$11,0)*$B$262+IF(AND(K$43&gt;=2,K$43&lt;=Quesería!$B$11+1),Quesería!$F$81/Quesería!$B$11,0)*$C$262*$G$21)*$G$11+IF(AND(K$43&gt;=6,K$43&lt;=10),$G266*$G262/5,0)+IF(AND(K$43&gt;=7,K$43&lt;=11),$H266*$H262/5,0))*K264</f>
        <v>88.6631935217835</v>
      </c>
      <c r="L274" s="35" t="n">
        <f aca="false">(IF($G$19=1,(SUMPRODUCT((Quesería!$C$62:$C$77=0)*(Quesería!$J$62:$J$77&gt;0)*(L$43&gt;=1)*(L$43&lt;=Quesería!$J$62:$J$77)*(Quesería!$H$62:$H$77&gt;0)*Quesería!$F$62:$F$77*(1+Quesería!$I$62:$I$77)/(Quesería!$J$62:$J$77+(Quesería!$J$62:$J$77=0)))+SUMPRODUCT((Quesería!$C$62:$C$77=0)*(Quesería!$J$62:$J$77=0)*(L$43=0)*(Quesería!$H$62:$H$77&gt;0)*Quesería!$F$62:$F$77*(1+Quesería!$I$62:$I$77)))*$B$262+(SUMPRODUCT((Quesería!$C$62:$C$77=1)*(Quesería!$J$62:$J$77&gt;0)*(L$43&gt;=2)*(L$43&lt;=Quesería!$J$62:$J$77+1)*(Quesería!$H$62:$H$77&gt;0)*Quesería!$F$62:$F$77*(1+Quesería!$I$62:$I$77)/(Quesería!$J$62:$J$77+(Quesería!$J$62:$J$77=0)))+SUMPRODUCT((Quesería!$C$62:$C$77=1)*(Quesería!$J$62:$J$77=0)*(L$43=1)*(Quesería!$H$62:$H$77&gt;0)*Quesería!$F$62:$F$77*(1+Quesería!$I$62:$I$77)))*$C$262*$G$21,IF(AND(L$43&gt;=1,L$43&lt;=Quesería!$B$11),Quesería!$F$80/Quesería!$B$11,0)*$B$262+IF(AND(L$43&gt;=2,L$43&lt;=Quesería!$B$11+1),Quesería!$F$81/Quesería!$B$11,0)*$C$262*$G$21)*$G$11+IF(AND(L$43&gt;=6,L$43&lt;=10),$G266*$G262/5,0)+IF(AND(L$43&gt;=7,L$43&lt;=11),$H266*$H262/5,0))*L264</f>
        <v>85.2530706940226</v>
      </c>
    </row>
    <row r="275" customFormat="false" ht="15" hidden="false" customHeight="false" outlineLevel="0" collapsed="false">
      <c r="A275" s="9" t="s">
        <v>292</v>
      </c>
      <c r="B275" s="36" t="n">
        <f aca="false">IF(B$43=1,MIN($G$7*Quesería!$B$35*Quesería!$F$75*$G$11*$G$21,Quesería!$B$50*Quesería!$B$51),0)</f>
        <v>0</v>
      </c>
      <c r="C275" s="36" t="n">
        <f aca="false">IF(C$43=1,MIN($G$7*Quesería!$B$35*Quesería!$F$75*$G$11*$G$21,Quesería!$B$50*Quesería!$B$51),0)</f>
        <v>20</v>
      </c>
      <c r="D275" s="36" t="n">
        <f aca="false">IF(D$43=1,MIN($G$7*Quesería!$B$35*Quesería!$F$75*$G$11*$G$21,Quesería!$B$50*Quesería!$B$51),0)</f>
        <v>0</v>
      </c>
      <c r="E275" s="36" t="n">
        <f aca="false">IF(E$43=1,MIN($G$7*Quesería!$B$35*Quesería!$F$75*$G$11*$G$21,Quesería!$B$50*Quesería!$B$51),0)</f>
        <v>0</v>
      </c>
      <c r="F275" s="36" t="n">
        <f aca="false">IF(F$43=1,MIN($G$7*Quesería!$B$35*Quesería!$F$75*$G$11*$G$21,Quesería!$B$50*Quesería!$B$51),0)</f>
        <v>0</v>
      </c>
      <c r="G275" s="36" t="n">
        <f aca="false">IF(G$43=1,MIN($G$7*Quesería!$B$35*Quesería!$F$75*$G$11*$G$21,Quesería!$B$50*Quesería!$B$51),0)</f>
        <v>0</v>
      </c>
      <c r="H275" s="36" t="n">
        <f aca="false">IF(H$43=1,MIN($G$7*Quesería!$B$35*Quesería!$F$75*$G$11*$G$21,Quesería!$B$50*Quesería!$B$51),0)</f>
        <v>0</v>
      </c>
      <c r="I275" s="36" t="n">
        <f aca="false">IF(I$43=1,MIN($G$7*Quesería!$B$35*Quesería!$F$75*$G$11*$G$21,Quesería!$B$50*Quesería!$B$51),0)</f>
        <v>0</v>
      </c>
      <c r="J275" s="36" t="n">
        <f aca="false">IF(J$43=1,MIN($G$7*Quesería!$B$35*Quesería!$F$75*$G$11*$G$21,Quesería!$B$50*Quesería!$B$51),0)</f>
        <v>0</v>
      </c>
      <c r="K275" s="36" t="n">
        <f aca="false">IF(K$43=1,MIN($G$7*Quesería!$B$35*Quesería!$F$75*$G$11*$G$21,Quesería!$B$50*Quesería!$B$51),0)</f>
        <v>0</v>
      </c>
      <c r="L275" s="36" t="n">
        <f aca="false">IF(L$43=1,MIN($G$7*Quesería!$B$35*Quesería!$F$75*$G$11*$G$21,Quesería!$B$50*Quesería!$B$51),0)</f>
        <v>0</v>
      </c>
    </row>
    <row r="276" customFormat="false" ht="15" hidden="false" customHeight="false" outlineLevel="0" collapsed="false">
      <c r="A276" s="9" t="s">
        <v>293</v>
      </c>
      <c r="B276" s="36" t="n">
        <v>0</v>
      </c>
      <c r="C276" s="36" t="n">
        <f aca="false">$G$20*Quesería!$B$52*Quesería!$F$86*$G$11*$B$262/C262</f>
        <v>166.879881289715</v>
      </c>
      <c r="D276" s="36" t="n">
        <v>0</v>
      </c>
      <c r="E276" s="36" t="n">
        <v>0</v>
      </c>
      <c r="F276" s="36" t="n">
        <v>0</v>
      </c>
      <c r="G276" s="36" t="n">
        <v>0</v>
      </c>
      <c r="H276" s="36" t="n">
        <v>0</v>
      </c>
      <c r="I276" s="36" t="n">
        <v>0</v>
      </c>
      <c r="J276" s="36" t="n">
        <v>0</v>
      </c>
      <c r="K276" s="36" t="n">
        <v>0</v>
      </c>
      <c r="L276" s="36" t="n">
        <v>0</v>
      </c>
    </row>
    <row r="277" customFormat="false" ht="15" hidden="false" customHeight="false" outlineLevel="0" collapsed="false">
      <c r="A277" s="9" t="s">
        <v>294</v>
      </c>
      <c r="B277" s="36" t="n">
        <f aca="false">0</f>
        <v>0</v>
      </c>
      <c r="C277" s="36" t="n">
        <f aca="false">B267*B262/C262</f>
        <v>94.6170242743742</v>
      </c>
      <c r="D277" s="36" t="n">
        <f aca="false">C267*C262/D262</f>
        <v>117.321834287022</v>
      </c>
      <c r="E277" s="36" t="n">
        <f aca="false">D267*D262/E262</f>
        <v>0</v>
      </c>
      <c r="F277" s="36" t="n">
        <f aca="false">E267*E262/F262</f>
        <v>0</v>
      </c>
      <c r="G277" s="36" t="n">
        <f aca="false">F267*F262/G262</f>
        <v>0</v>
      </c>
      <c r="H277" s="36" t="n">
        <f aca="false">G267*G262/H262</f>
        <v>4.87179487179487</v>
      </c>
      <c r="I277" s="36" t="n">
        <f aca="false">H267*H262/I262</f>
        <v>6.44987026996795</v>
      </c>
      <c r="J277" s="36" t="n">
        <f aca="false">I267*I262/J262</f>
        <v>0</v>
      </c>
      <c r="K277" s="36" t="n">
        <f aca="false">J267*J262/K262</f>
        <v>0</v>
      </c>
      <c r="L277" s="36" t="n">
        <f aca="false">K267*K262/L262</f>
        <v>0</v>
      </c>
    </row>
    <row r="278" customFormat="false" ht="15" hidden="false" customHeight="false" outlineLevel="0" collapsed="false">
      <c r="A278" s="6" t="s">
        <v>86</v>
      </c>
      <c r="B278" s="35" t="n">
        <f aca="false">$G$17*(B270-B271-B272-0.5*B273-B274)-B275-B276-B277</f>
        <v>-22.5026737436624</v>
      </c>
      <c r="C278" s="35" t="n">
        <f aca="false">$G$17*(C270-C271-C272-0.5*C273-C274)-C275-C276-C277</f>
        <v>-283.045012432441</v>
      </c>
      <c r="D278" s="35" t="n">
        <f aca="false">$G$17*(D270-D271-D272-0.5*D273-D274)-D275-D276-D277</f>
        <v>-82.5827087907356</v>
      </c>
      <c r="E278" s="35" t="n">
        <f aca="false">$G$17*(E270-E271-E272-0.5*E273-E274)-E275-E276-E277</f>
        <v>46.5720862663385</v>
      </c>
      <c r="F278" s="35" t="n">
        <f aca="false">$G$17*(F270-F271-F272-0.5*F273-F274)-F275-F276-F277</f>
        <v>48.2175526670826</v>
      </c>
      <c r="G278" s="35" t="n">
        <f aca="false">$G$17*(G270-G271-G272-0.5*G273-G274)-G275-G276-G277</f>
        <v>49.7835573493379</v>
      </c>
      <c r="H278" s="35" t="n">
        <f aca="false">$G$17*(H270-H271-H272-0.5*H273-H274)-H275-H276-H277</f>
        <v>48.8237574857551</v>
      </c>
      <c r="I278" s="35" t="n">
        <f aca="false">$G$17*(I270-I271-I272-0.5*I273-I274)-I275-I276-I277</f>
        <v>46.2873857032545</v>
      </c>
      <c r="J278" s="35" t="n">
        <f aca="false">$G$17*(J270-J271-J272-0.5*J273-J274)-J275-J276-J277</f>
        <v>54.1699373667351</v>
      </c>
      <c r="K278" s="35" t="n">
        <f aca="false">$G$17*(K270-K271-K272-0.5*K273-K274)-K275-K276-K277</f>
        <v>55.5536760983547</v>
      </c>
      <c r="L278" s="35" t="n">
        <f aca="false">$G$17*(L270-L271-L272-0.5*L273-L274)-L275-L276-L277</f>
        <v>56.8903853804972</v>
      </c>
    </row>
    <row r="279" customFormat="false" ht="15" hidden="false" customHeight="false" outlineLevel="0" collapsed="false">
      <c r="A279" s="9" t="s">
        <v>295</v>
      </c>
      <c r="B279" s="36" t="n">
        <f aca="false">(IF(B$43&gt;=1,Quesería!$G$107*IF(B$43=1,Quesería!$B$12,1),Quesería!$G$107*Quesería!$B$12*Quesería!$B$13/12*$G$23)+IF(B$43&gt;=2,Quesería!$G$108*$G$21*IF(B$43=2,Quesería!$B$12,1),0))*$G$10</f>
        <v>21.4813532836452</v>
      </c>
      <c r="C279" s="36" t="n">
        <f aca="false">(IF(C$43&gt;=1,Quesería!$G$107*IF(C$43=1,Quesería!$B$12,1),Quesería!$G$107*Quesería!$B$12*Quesería!$B$13/12*$G$23)+IF(C$43&gt;=2,Quesería!$G$108*$G$21*IF(C$43=2,Quesería!$B$12,1),0))*$G$10</f>
        <v>64.4440598509356</v>
      </c>
      <c r="D279" s="36" t="n">
        <f aca="false">(IF(D$43&gt;=1,Quesería!$G$107*IF(D$43=1,Quesería!$B$12,1),Quesería!$G$107*Quesería!$B$12*Quesería!$B$13/12*$G$23)+IF(D$43&gt;=2,Quesería!$G$108*$G$21*IF(D$43=2,Quesería!$B$12,1),0))*$G$10</f>
        <v>151.720978456767</v>
      </c>
      <c r="E279" s="36" t="n">
        <f aca="false">(IF(E$43&gt;=1,Quesería!$G$107*IF(E$43=1,Quesería!$B$12,1),Quesería!$G$107*Quesería!$B$12*Quesería!$B$13/12*$G$23)+IF(E$43&gt;=2,Quesería!$G$108*$G$21*IF(E$43=2,Quesería!$B$12,1),0))*$G$10</f>
        <v>173.652833564163</v>
      </c>
      <c r="F279" s="36" t="n">
        <f aca="false">(IF(F$43&gt;=1,Quesería!$G$107*IF(F$43=1,Quesería!$B$12,1),Quesería!$G$107*Quesería!$B$12*Quesería!$B$13/12*$G$23)+IF(F$43&gt;=2,Quesería!$G$108*$G$21*IF(F$43=2,Quesería!$B$12,1),0))*$G$10</f>
        <v>173.652833564163</v>
      </c>
      <c r="G279" s="36" t="n">
        <f aca="false">(IF(G$43&gt;=1,Quesería!$G$107*IF(G$43=1,Quesería!$B$12,1),Quesería!$G$107*Quesería!$B$12*Quesería!$B$13/12*$G$23)+IF(G$43&gt;=2,Quesería!$G$108*$G$21*IF(G$43=2,Quesería!$B$12,1),0))*$G$10</f>
        <v>173.652833564163</v>
      </c>
      <c r="H279" s="36" t="n">
        <f aca="false">(IF(H$43&gt;=1,Quesería!$G$107*IF(H$43=1,Quesería!$B$12,1),Quesería!$G$107*Quesería!$B$12*Quesería!$B$13/12*$G$23)+IF(H$43&gt;=2,Quesería!$G$108*$G$21*IF(H$43=2,Quesería!$B$12,1),0))*$G$10</f>
        <v>173.652833564163</v>
      </c>
      <c r="I279" s="36" t="n">
        <f aca="false">(IF(I$43&gt;=1,Quesería!$G$107*IF(I$43=1,Quesería!$B$12,1),Quesería!$G$107*Quesería!$B$12*Quesería!$B$13/12*$G$23)+IF(I$43&gt;=2,Quesería!$G$108*$G$21*IF(I$43=2,Quesería!$B$12,1),0))*$G$10</f>
        <v>173.652833564163</v>
      </c>
      <c r="J279" s="36" t="n">
        <f aca="false">(IF(J$43&gt;=1,Quesería!$G$107*IF(J$43=1,Quesería!$B$12,1),Quesería!$G$107*Quesería!$B$12*Quesería!$B$13/12*$G$23)+IF(J$43&gt;=2,Quesería!$G$108*$G$21*IF(J$43=2,Quesería!$B$12,1),0))*$G$10</f>
        <v>173.652833564163</v>
      </c>
      <c r="K279" s="36" t="n">
        <f aca="false">(IF(K$43&gt;=1,Quesería!$G$107*IF(K$43=1,Quesería!$B$12,1),Quesería!$G$107*Quesería!$B$12*Quesería!$B$13/12*$G$23)+IF(K$43&gt;=2,Quesería!$G$108*$G$21*IF(K$43=2,Quesería!$B$12,1),0))*$G$10</f>
        <v>173.652833564163</v>
      </c>
      <c r="L279" s="36" t="n">
        <f aca="false">(IF(L$43&gt;=1,Quesería!$G$107*IF(L$43=1,Quesería!$B$12,1),Quesería!$G$107*Quesería!$B$12*Quesería!$B$13/12*$G$23)+IF(L$43&gt;=2,Quesería!$G$108*$G$21*IF(L$43=2,Quesería!$B$12,1),0))*$G$10</f>
        <v>173.652833564163</v>
      </c>
    </row>
    <row r="280" customFormat="false" ht="15" hidden="false" customHeight="false" outlineLevel="0" collapsed="false">
      <c r="A280" s="6" t="s">
        <v>296</v>
      </c>
      <c r="B280" s="35" t="n">
        <f aca="false">(B279*(Quesería!$B$23+Quesería!$B$25*Quesería!$B$24)/365-B271*Quesería!$B$26/365)</f>
        <v>2.00688807389672</v>
      </c>
      <c r="C280" s="35" t="n">
        <f aca="false">(C279*(Quesería!$B$23+Quesería!$B$25*Quesería!$B$24)/365-C271*Quesería!$B$26/365)-(B279*(Quesería!$B$23+Quesería!$B$25*Quesería!$B$24)/365-B271*Quesería!$B$26/365)*B262/C262</f>
        <v>1.88570563560475</v>
      </c>
      <c r="D280" s="35" t="n">
        <f aca="false">(D279*(Quesería!$B$23+Quesería!$B$25*Quesería!$B$24)/365-D271*Quesería!$B$26/365)-(C279*(Quesería!$B$23+Quesería!$B$25*Quesería!$B$24)/365-C271*Quesería!$B$26/365)*C262/D262</f>
        <v>5.18824039733346</v>
      </c>
      <c r="E280" s="35" t="n">
        <f aca="false">(E279*(Quesería!$B$23+Quesería!$B$25*Quesería!$B$24)/365-E271*Quesería!$B$26/365)-(D279*(Quesería!$B$23+Quesería!$B$25*Quesería!$B$24)/365-D271*Quesería!$B$26/365)*D262/E262</f>
        <v>2.38827450027087</v>
      </c>
      <c r="F280" s="35" t="n">
        <f aca="false">(F279*(Quesería!$B$23+Quesería!$B$25*Quesería!$B$24)/365-F271*Quesería!$B$26/365)-(E279*(Quesería!$B$23+Quesería!$B$25*Quesería!$B$24)/365-E271*Quesería!$B$26/365)*E262/F262</f>
        <v>0.418105219021699</v>
      </c>
      <c r="G280" s="35" t="n">
        <f aca="false">(G279*(Quesería!$B$23+Quesería!$B$25*Quesería!$B$24)/365-G271*Quesería!$B$26/365)-(F279*(Quesería!$B$23+Quesería!$B$25*Quesería!$B$24)/365-F271*Quesería!$B$26/365)*F262/G262</f>
        <v>0.418105219021699</v>
      </c>
      <c r="H280" s="35" t="n">
        <f aca="false">(H279*(Quesería!$B$23+Quesería!$B$25*Quesería!$B$24)/365-H271*Quesería!$B$26/365)-(G279*(Quesería!$B$23+Quesería!$B$25*Quesería!$B$24)/365-G271*Quesería!$B$26/365)*G262/H262</f>
        <v>0.418105219021699</v>
      </c>
      <c r="I280" s="35" t="n">
        <f aca="false">(I279*(Quesería!$B$23+Quesería!$B$25*Quesería!$B$24)/365-I271*Quesería!$B$26/365)-(H279*(Quesería!$B$23+Quesería!$B$25*Quesería!$B$24)/365-H271*Quesería!$B$26/365)*H262/I262</f>
        <v>0.418105219021699</v>
      </c>
      <c r="J280" s="35" t="n">
        <f aca="false">(J279*(Quesería!$B$23+Quesería!$B$25*Quesería!$B$24)/365-J271*Quesería!$B$26/365)-(I279*(Quesería!$B$23+Quesería!$B$25*Quesería!$B$24)/365-I271*Quesería!$B$26/365)*I262/J262</f>
        <v>0.418105219021699</v>
      </c>
      <c r="K280" s="35" t="n">
        <f aca="false">(K279*(Quesería!$B$23+Quesería!$B$25*Quesería!$B$24)/365-K271*Quesería!$B$26/365)-(J279*(Quesería!$B$23+Quesería!$B$25*Quesería!$B$24)/365-J271*Quesería!$B$26/365)*J262/K262</f>
        <v>0.418105219021699</v>
      </c>
      <c r="L280" s="35" t="n">
        <f aca="false">-(K279*(Quesería!$B$23+Quesería!$B$25*Quesería!$B$24)/365-K271*Quesería!$B$26/365)*K262/L262</f>
        <v>-10.4526304755425</v>
      </c>
    </row>
    <row r="281" customFormat="false" ht="15" hidden="false" customHeight="false" outlineLevel="0" collapsed="false">
      <c r="A281" s="6" t="s">
        <v>297</v>
      </c>
      <c r="B281" s="35" t="n">
        <v>0</v>
      </c>
      <c r="C281" s="35" t="n">
        <v>0</v>
      </c>
      <c r="D281" s="35" t="n">
        <v>0</v>
      </c>
      <c r="E281" s="35" t="n">
        <v>0</v>
      </c>
      <c r="F281" s="35" t="n">
        <v>0</v>
      </c>
      <c r="G281" s="35" t="n">
        <v>0</v>
      </c>
      <c r="H281" s="35" t="n">
        <v>0</v>
      </c>
      <c r="I281" s="35" t="n">
        <v>0</v>
      </c>
      <c r="J281" s="35" t="n">
        <v>0</v>
      </c>
      <c r="K281" s="35" t="n">
        <v>0</v>
      </c>
      <c r="L281" s="35" t="n">
        <f aca="false">$G$8*Quesería!$B$39*(Quesería!$F$82+Quesería!$F$83*$G$21)*$G$11*(1-$G$17)</f>
        <v>56.0502928201667</v>
      </c>
    </row>
    <row r="282" customFormat="false" ht="15" hidden="false" customHeight="false" outlineLevel="0" collapsed="false">
      <c r="A282" s="5" t="s">
        <v>298</v>
      </c>
      <c r="B282" s="37" t="n">
        <f aca="false">B270-B271-B272-B273-B278-B265-B266-B267-B280+B281</f>
        <v>-667.472181571759</v>
      </c>
      <c r="C282" s="37" t="n">
        <f aca="false">C270-C271-C272-C273-C278-C265-C266-C267-C280+C281</f>
        <v>-435.681800380953</v>
      </c>
      <c r="D282" s="37" t="n">
        <f aca="false">D270-D271-D272-D273-D278-D265-D266-D267-D280+D281</f>
        <v>292.861002040703</v>
      </c>
      <c r="E282" s="37" t="n">
        <f aca="false">E270-E271-E272-E273-E278-E265-E266-E267-E280+E281</f>
        <v>195.838112901354</v>
      </c>
      <c r="F282" s="37" t="n">
        <f aca="false">F270-F271-F272-F273-F278-F265-F266-F267-F280+F281</f>
        <v>196.55980285316</v>
      </c>
      <c r="G282" s="37" t="n">
        <f aca="false">G270-G271-G272-G273-G278-G265-G266-G267-G280+G281</f>
        <v>163.532503510896</v>
      </c>
      <c r="H282" s="37" t="n">
        <f aca="false">H270-H271-H272-H273-H278-H265-H266-H267-H280+H281</f>
        <v>154.573069097854</v>
      </c>
      <c r="I282" s="37" t="n">
        <f aca="false">I270-I271-I272-I273-I278-I265-I266-I267-I280+I281</f>
        <v>199.692880391363</v>
      </c>
      <c r="J282" s="37" t="n">
        <f aca="false">J270-J271-J272-J273-J278-J265-J266-J267-J280+J281</f>
        <v>192.215315287412</v>
      </c>
      <c r="K282" s="37" t="n">
        <f aca="false">K270-K271-K272-K273-K278-K265-K266-K267-K280+K281</f>
        <v>191.23858804812</v>
      </c>
      <c r="L282" s="37" t="n">
        <f aca="false">L270-L271-L272-L273-L278-L265-L266-L267-L280+L281</f>
        <v>257.231953830497</v>
      </c>
    </row>
    <row r="283" customFormat="false" ht="15" hidden="false" customHeight="false" outlineLevel="0" collapsed="false">
      <c r="A283" s="9" t="s">
        <v>299</v>
      </c>
      <c r="B283" s="36" t="n">
        <f aca="false">B282*B262</f>
        <v>-707.520512466064</v>
      </c>
      <c r="C283" s="36" t="n">
        <f aca="false">C282*C262</f>
        <v>-484.913843824001</v>
      </c>
      <c r="D283" s="36" t="n">
        <f aca="false">D282*D262</f>
        <v>340.622238558511</v>
      </c>
      <c r="E283" s="36" t="n">
        <f aca="false">E282*E262</f>
        <v>236.887426405626</v>
      </c>
      <c r="F283" s="36" t="n">
        <f aca="false">F282*F262</f>
        <v>247.270804178868</v>
      </c>
      <c r="G283" s="36" t="n">
        <f aca="false">G282*G262</f>
        <v>213.951609577266</v>
      </c>
      <c r="H283" s="36" t="n">
        <f aca="false">H282*H262</f>
        <v>210.319064831803</v>
      </c>
      <c r="I283" s="36" t="n">
        <f aca="false">I282*I262</f>
        <v>282.579552225414</v>
      </c>
      <c r="J283" s="36" t="n">
        <f aca="false">J282*J262</f>
        <v>282.878199378301</v>
      </c>
      <c r="K283" s="36" t="n">
        <f aca="false">K282*K262</f>
        <v>292.698406743104</v>
      </c>
      <c r="L283" s="36" t="n">
        <f aca="false">L282*L262</f>
        <v>409.452083759809</v>
      </c>
    </row>
    <row r="284" customFormat="false" ht="15" hidden="false" customHeight="false" outlineLevel="0" collapsed="false">
      <c r="A284" s="6" t="s">
        <v>300</v>
      </c>
      <c r="B284" s="35" t="n">
        <f aca="false">B282</f>
        <v>-667.472181571759</v>
      </c>
      <c r="C284" s="35" t="n">
        <f aca="false">B284+C282</f>
        <v>-1103.15398195271</v>
      </c>
      <c r="D284" s="35" t="n">
        <f aca="false">C284+D282</f>
        <v>-810.292979912009</v>
      </c>
      <c r="E284" s="35" t="n">
        <f aca="false">D284+E282</f>
        <v>-614.454867010655</v>
      </c>
      <c r="F284" s="35" t="n">
        <f aca="false">E284+F282</f>
        <v>-417.895064157495</v>
      </c>
      <c r="G284" s="35" t="n">
        <f aca="false">F284+G282</f>
        <v>-254.362560646598</v>
      </c>
      <c r="H284" s="35" t="n">
        <f aca="false">G284+H282</f>
        <v>-99.789491548744</v>
      </c>
      <c r="I284" s="35" t="n">
        <f aca="false">H284+I282</f>
        <v>99.9033888426186</v>
      </c>
      <c r="J284" s="35" t="n">
        <f aca="false">I284+J282</f>
        <v>292.11870413003</v>
      </c>
      <c r="K284" s="35" t="n">
        <f aca="false">J284+K282</f>
        <v>483.35729217815</v>
      </c>
      <c r="L284" s="35" t="n">
        <f aca="false">K284+L282</f>
        <v>740.589246008648</v>
      </c>
    </row>
    <row r="285" customFormat="false" ht="15" hidden="false" customHeight="false" outlineLevel="0" collapsed="false">
      <c r="A285" s="9" t="s">
        <v>301</v>
      </c>
      <c r="B285" s="38" t="n">
        <v>0</v>
      </c>
      <c r="C285" s="38" t="n">
        <f aca="false">IF(AND(B284&lt;0,C284&gt;=0),B$43+(-B284)/C282,0)</f>
        <v>0</v>
      </c>
      <c r="D285" s="38" t="n">
        <f aca="false">IF(AND(C284&lt;0,D284&gt;=0),C$43+(-C284)/D282,0)</f>
        <v>0</v>
      </c>
      <c r="E285" s="38" t="n">
        <f aca="false">IF(AND(D284&lt;0,E284&gt;=0),D$43+(-D284)/E282,0)</f>
        <v>0</v>
      </c>
      <c r="F285" s="38" t="n">
        <f aca="false">IF(AND(E284&lt;0,F284&gt;=0),E$43+(-E284)/F282,0)</f>
        <v>0</v>
      </c>
      <c r="G285" s="38" t="n">
        <f aca="false">IF(AND(F284&lt;0,G284&gt;=0),F$43+(-F284)/G282,0)</f>
        <v>0</v>
      </c>
      <c r="H285" s="38" t="n">
        <f aca="false">IF(AND(G284&lt;0,H284&gt;=0),G$43+(-G284)/H282,0)</f>
        <v>0</v>
      </c>
      <c r="I285" s="38" t="n">
        <f aca="false">IF(AND(H284&lt;0,I284&gt;=0),H$43+(-H284)/I282,0)</f>
        <v>6.49971481884169</v>
      </c>
      <c r="J285" s="38" t="n">
        <f aca="false">IF(AND(I284&lt;0,J284&gt;=0),I$43+(-I284)/J282,0)</f>
        <v>0</v>
      </c>
      <c r="K285" s="38" t="n">
        <f aca="false">IF(AND(J284&lt;0,K284&gt;=0),J$43+(-J284)/K282,0)</f>
        <v>0</v>
      </c>
      <c r="L285" s="38" t="n">
        <f aca="false">IF(AND(K284&lt;0,L284&gt;=0),K$43+(-K284)/L282,0)</f>
        <v>0</v>
      </c>
    </row>
    <row r="286" customFormat="false" ht="15" hidden="false" customHeight="false" outlineLevel="0" collapsed="false">
      <c r="A286" s="9" t="s">
        <v>302</v>
      </c>
      <c r="B286" s="34" t="n">
        <f aca="false">(B262/$B$262)/(1+$G$25)^B$43</f>
        <v>1</v>
      </c>
      <c r="C286" s="34" t="n">
        <f aca="false">(C262/$B$262)/(1+$G$25)^C$43</f>
        <v>0.921735848062819</v>
      </c>
      <c r="D286" s="34" t="n">
        <f aca="false">(D262/$B$262)/(1+$G$25)^D$43</f>
        <v>0.845551273729778</v>
      </c>
      <c r="E286" s="34" t="n">
        <f aca="false">(E262/$B$262)/(1+$G$25)^E$43</f>
        <v>0.771952302082657</v>
      </c>
      <c r="F286" s="34" t="n">
        <f aca="false">(F262/$B$262)/(1+$G$25)^F$43</f>
        <v>0.704759575444925</v>
      </c>
      <c r="G286" s="34" t="n">
        <f aca="false">(G262/$B$262)/(1+$G$25)^G$43</f>
        <v>0.643415477667852</v>
      </c>
      <c r="H286" s="34" t="n">
        <f aca="false">(H262/$B$262)/(1+$G$25)^H$43</f>
        <v>0.587410928955732</v>
      </c>
      <c r="I286" s="34" t="n">
        <f aca="false">(I262/$B$262)/(1+$G$25)^I$43</f>
        <v>0.536281161136071</v>
      </c>
      <c r="J286" s="34" t="n">
        <f aca="false">(J262/$B$262)/(1+$G$25)^J$43</f>
        <v>0.489601860661204</v>
      </c>
      <c r="K286" s="34" t="n">
        <f aca="false">(K262/$B$262)/(1+$G$25)^K$43</f>
        <v>0.446985647333025</v>
      </c>
      <c r="L286" s="34" t="n">
        <f aca="false">(L262/$B$262)/(1+$G$25)^L$43</f>
        <v>0.408078859528639</v>
      </c>
    </row>
    <row r="287" customFormat="false" ht="15" hidden="false" customHeight="false" outlineLevel="0" collapsed="false">
      <c r="A287" s="9" t="s">
        <v>303</v>
      </c>
      <c r="B287" s="36" t="n">
        <f aca="false">B282*B286</f>
        <v>-667.472181571759</v>
      </c>
      <c r="C287" s="36" t="n">
        <f aca="false">C282*C286</f>
        <v>-401.583533759673</v>
      </c>
      <c r="D287" s="36" t="n">
        <f aca="false">D282*D286</f>
        <v>247.628993301296</v>
      </c>
      <c r="E287" s="36" t="n">
        <f aca="false">E282*E286</f>
        <v>151.177682089723</v>
      </c>
      <c r="F287" s="36" t="n">
        <f aca="false">F282*F286</f>
        <v>138.527403208331</v>
      </c>
      <c r="G287" s="36" t="n">
        <f aca="false">G282*G286</f>
        <v>105.219343860683</v>
      </c>
      <c r="H287" s="36" t="n">
        <f aca="false">H282*H286</f>
        <v>90.797910110309</v>
      </c>
      <c r="I287" s="36" t="n">
        <f aca="false">I282*I286</f>
        <v>107.091529766886</v>
      </c>
      <c r="J287" s="36" t="n">
        <f aca="false">J282*J286</f>
        <v>94.1089760122968</v>
      </c>
      <c r="K287" s="36" t="n">
        <f aca="false">K282*K286</f>
        <v>85.4809040737425</v>
      </c>
      <c r="L287" s="36" t="n">
        <f aca="false">L282*L286</f>
        <v>104.970922353473</v>
      </c>
    </row>
    <row r="288" customFormat="false" ht="15" hidden="false" customHeight="false" outlineLevel="0" collapsed="false">
      <c r="A288" s="9" t="s">
        <v>304</v>
      </c>
      <c r="B288" s="36" t="n">
        <f aca="false">B287</f>
        <v>-667.472181571759</v>
      </c>
      <c r="C288" s="36" t="n">
        <f aca="false">B288+C287</f>
        <v>-1069.05571533143</v>
      </c>
      <c r="D288" s="36" t="n">
        <f aca="false">C288+D287</f>
        <v>-821.426722030137</v>
      </c>
      <c r="E288" s="36" t="n">
        <f aca="false">D288+E287</f>
        <v>-670.249039940413</v>
      </c>
      <c r="F288" s="36" t="n">
        <f aca="false">E288+F287</f>
        <v>-531.721636732082</v>
      </c>
      <c r="G288" s="36" t="n">
        <f aca="false">F288+G287</f>
        <v>-426.502292871399</v>
      </c>
      <c r="H288" s="36" t="n">
        <f aca="false">G288+H287</f>
        <v>-335.70438276109</v>
      </c>
      <c r="I288" s="36" t="n">
        <f aca="false">H288+I287</f>
        <v>-228.612852994203</v>
      </c>
      <c r="J288" s="36" t="n">
        <f aca="false">I288+J287</f>
        <v>-134.503876981906</v>
      </c>
      <c r="K288" s="36" t="n">
        <f aca="false">J288+K287</f>
        <v>-49.0229729081637</v>
      </c>
      <c r="L288" s="36" t="n">
        <f aca="false">K288+L287</f>
        <v>55.947949445309</v>
      </c>
    </row>
    <row r="289" customFormat="false" ht="15" hidden="false" customHeight="false" outlineLevel="0" collapsed="false">
      <c r="A289" s="9" t="s">
        <v>305</v>
      </c>
      <c r="B289" s="38" t="n">
        <v>0</v>
      </c>
      <c r="C289" s="38" t="n">
        <f aca="false">IF(AND(B288&lt;0,C288&gt;=0),B$43+(-B288)/C287,0)</f>
        <v>0</v>
      </c>
      <c r="D289" s="38" t="n">
        <f aca="false">IF(AND(C288&lt;0,D288&gt;=0),C$43+(-C288)/D287,0)</f>
        <v>0</v>
      </c>
      <c r="E289" s="38" t="n">
        <f aca="false">IF(AND(D288&lt;0,E288&gt;=0),D$43+(-D288)/E287,0)</f>
        <v>0</v>
      </c>
      <c r="F289" s="38" t="n">
        <f aca="false">IF(AND(E288&lt;0,F288&gt;=0),E$43+(-E288)/F287,0)</f>
        <v>0</v>
      </c>
      <c r="G289" s="38" t="n">
        <f aca="false">IF(AND(F288&lt;0,G288&gt;=0),F$43+(-F288)/G287,0)</f>
        <v>0</v>
      </c>
      <c r="H289" s="38" t="n">
        <f aca="false">IF(AND(G288&lt;0,H288&gt;=0),G$43+(-G288)/H287,0)</f>
        <v>0</v>
      </c>
      <c r="I289" s="38" t="n">
        <f aca="false">IF(AND(H288&lt;0,I288&gt;=0),H$43+(-H288)/I287,0)</f>
        <v>0</v>
      </c>
      <c r="J289" s="38" t="n">
        <f aca="false">IF(AND(I288&lt;0,J288&gt;=0),I$43+(-I288)/J287,0)</f>
        <v>0</v>
      </c>
      <c r="K289" s="38" t="n">
        <f aca="false">IF(AND(J288&lt;0,K288&gt;=0),J$43+(-J288)/K287,0)</f>
        <v>0</v>
      </c>
      <c r="L289" s="38" t="n">
        <f aca="false">IF(AND(K288&lt;0,L288&gt;=0),K$43+(-K288)/L287,0)</f>
        <v>9.46701478665765</v>
      </c>
    </row>
    <row r="290" customFormat="false" ht="15" hidden="false" customHeight="false" outlineLevel="0" collapsed="false">
      <c r="A290" s="9" t="s">
        <v>306</v>
      </c>
      <c r="B290" s="36" t="n">
        <f aca="false">IF(B$43&lt;0,0,(Quesería!$B$40*$B$265*$B$262)*(1-MAX(0,MIN(B$43-0-Quesería!$B$43,(Quesería!$B$42-Quesería!$B$43)))/(Quesería!$B$42-Quesería!$B$43)))+IF(B$43&lt;1,0,(Quesería!$B$40*$C$265*$C$262)*(1-MAX(0,MIN(B$43-1-Quesería!$B$43,(Quesería!$B$42-Quesería!$B$43)))/(Quesería!$B$42-Quesería!$B$43)))</f>
        <v>461.704769247221</v>
      </c>
      <c r="C290" s="36" t="n">
        <f aca="false">IF(C$43&lt;0,0,(Quesería!$B$40*$B$265*$B$262)*(1-MAX(0,MIN(C$43-0-Quesería!$B$43,(Quesería!$B$42-Quesería!$B$43)))/(Quesería!$B$42-Quesería!$B$43)))+IF(C$43&lt;1,0,(Quesería!$B$40*$C$265*$C$262)*(1-MAX(0,MIN(C$43-1-Quesería!$B$43,(Quesería!$B$42-Quesería!$B$43)))/(Quesería!$B$42-Quesería!$B$43)))</f>
        <v>964.434695258825</v>
      </c>
      <c r="D290" s="36" t="n">
        <f aca="false">IF(D$43&lt;0,0,(Quesería!$B$40*$B$265*$B$262)*(1-MAX(0,MIN(D$43-0-Quesería!$B$43,(Quesería!$B$42-Quesería!$B$43)))/(Quesería!$B$42-Quesería!$B$43)))+IF(D$43&lt;1,0,(Quesería!$B$40*$C$265*$C$262)*(1-MAX(0,MIN(D$43-1-Quesería!$B$43,(Quesería!$B$42-Quesería!$B$43)))/(Quesería!$B$42-Quesería!$B$43)))</f>
        <v>887.483900384289</v>
      </c>
      <c r="E290" s="36" t="n">
        <f aca="false">IF(E$43&lt;0,0,(Quesería!$B$40*$B$265*$B$262)*(1-MAX(0,MIN(E$43-0-Quesería!$B$43,(Quesería!$B$42-Quesería!$B$43)))/(Quesería!$B$42-Quesería!$B$43)))+IF(E$43&lt;1,0,(Quesería!$B$40*$C$265*$C$262)*(1-MAX(0,MIN(E$43-1-Quesería!$B$43,(Quesería!$B$42-Quesería!$B$43)))/(Quesería!$B$42-Quesería!$B$43)))</f>
        <v>726.744784507818</v>
      </c>
      <c r="F290" s="36" t="n">
        <f aca="false">IF(F$43&lt;0,0,(Quesería!$B$40*$B$265*$B$262)*(1-MAX(0,MIN(F$43-0-Quesería!$B$43,(Quesería!$B$42-Quesería!$B$43)))/(Quesería!$B$42-Quesería!$B$43)))+IF(F$43&lt;1,0,(Quesería!$B$40*$C$265*$C$262)*(1-MAX(0,MIN(F$43-1-Quesería!$B$43,(Quesería!$B$42-Quesería!$B$43)))/(Quesería!$B$42-Quesería!$B$43)))</f>
        <v>566.005668631347</v>
      </c>
      <c r="G290" s="36" t="n">
        <f aca="false">IF(G$43&lt;0,0,(Quesería!$B$40*$B$265*$B$262)*(1-MAX(0,MIN(G$43-0-Quesería!$B$43,(Quesería!$B$42-Quesería!$B$43)))/(Quesería!$B$42-Quesería!$B$43)))+IF(G$43&lt;1,0,(Quesería!$B$40*$C$265*$C$262)*(1-MAX(0,MIN(G$43-1-Quesería!$B$43,(Quesería!$B$42-Quesería!$B$43)))/(Quesería!$B$42-Quesería!$B$43)))</f>
        <v>405.266552754876</v>
      </c>
      <c r="H290" s="36" t="n">
        <f aca="false">IF(H$43&lt;0,0,(Quesería!$B$40*$B$265*$B$262)*(1-MAX(0,MIN(H$43-0-Quesería!$B$43,(Quesería!$B$42-Quesería!$B$43)))/(Quesería!$B$42-Quesería!$B$43)))+IF(H$43&lt;1,0,(Quesería!$B$40*$C$265*$C$262)*(1-MAX(0,MIN(H$43-1-Quesería!$B$43,(Quesería!$B$42-Quesería!$B$43)))/(Quesería!$B$42-Quesería!$B$43)))</f>
        <v>244.527436878405</v>
      </c>
      <c r="I290" s="36" t="n">
        <f aca="false">IF(I$43&lt;0,0,(Quesería!$B$40*$B$265*$B$262)*(1-MAX(0,MIN(I$43-0-Quesería!$B$43,(Quesería!$B$42-Quesería!$B$43)))/(Quesería!$B$42-Quesería!$B$43)))+IF(I$43&lt;1,0,(Quesería!$B$40*$C$265*$C$262)*(1-MAX(0,MIN(I$43-1-Quesería!$B$43,(Quesería!$B$42-Quesería!$B$43)))/(Quesería!$B$42-Quesería!$B$43)))</f>
        <v>83.788321001934</v>
      </c>
      <c r="J290" s="36" t="n">
        <f aca="false">IF(J$43&lt;0,0,(Quesería!$B$40*$B$265*$B$262)*(1-MAX(0,MIN(J$43-0-Quesería!$B$43,(Quesería!$B$42-Quesería!$B$43)))/(Quesería!$B$42-Quesería!$B$43)))+IF(J$43&lt;1,0,(Quesería!$B$40*$C$265*$C$262)*(1-MAX(0,MIN(J$43-1-Quesería!$B$43,(Quesería!$B$42-Quesería!$B$43)))/(Quesería!$B$42-Quesería!$B$43)))</f>
        <v>0</v>
      </c>
      <c r="K290" s="36" t="n">
        <f aca="false">IF(K$43&lt;0,0,(Quesería!$B$40*$B$265*$B$262)*(1-MAX(0,MIN(K$43-0-Quesería!$B$43,(Quesería!$B$42-Quesería!$B$43)))/(Quesería!$B$42-Quesería!$B$43)))+IF(K$43&lt;1,0,(Quesería!$B$40*$C$265*$C$262)*(1-MAX(0,MIN(K$43-1-Quesería!$B$43,(Quesería!$B$42-Quesería!$B$43)))/(Quesería!$B$42-Quesería!$B$43)))</f>
        <v>0</v>
      </c>
      <c r="L290" s="36" t="n">
        <f aca="false">IF(L$43&lt;0,0,(Quesería!$B$40*$B$265*$B$262)*(1-MAX(0,MIN(L$43-0-Quesería!$B$43,(Quesería!$B$42-Quesería!$B$43)))/(Quesería!$B$42-Quesería!$B$43)))+IF(L$43&lt;1,0,(Quesería!$B$40*$C$265*$C$262)*(1-MAX(0,MIN(L$43-1-Quesería!$B$43,(Quesería!$B$42-Quesería!$B$43)))/(Quesería!$B$42-Quesería!$B$43)))</f>
        <v>0</v>
      </c>
    </row>
    <row r="291" customFormat="false" ht="15" hidden="false" customHeight="false" outlineLevel="0" collapsed="false">
      <c r="A291" s="6" t="s">
        <v>307</v>
      </c>
      <c r="B291" s="35" t="n">
        <f aca="false">Quesería!$B$40*B265</f>
        <v>435.57053702568</v>
      </c>
      <c r="C291" s="35" t="n">
        <f aca="false">Quesería!$B$40*C265</f>
        <v>451.689062005035</v>
      </c>
      <c r="D291" s="35" t="n">
        <f aca="false">Quesería!$B$40*D265</f>
        <v>0</v>
      </c>
      <c r="E291" s="35" t="n">
        <f aca="false">Quesería!$B$40*E265</f>
        <v>0</v>
      </c>
      <c r="F291" s="35" t="n">
        <f aca="false">Quesería!$B$40*F265</f>
        <v>0</v>
      </c>
      <c r="G291" s="35" t="n">
        <f aca="false">Quesería!$B$40*G265</f>
        <v>0</v>
      </c>
      <c r="H291" s="35" t="n">
        <f aca="false">Quesería!$B$40*H265</f>
        <v>0</v>
      </c>
      <c r="I291" s="35" t="n">
        <f aca="false">Quesería!$B$40*I265</f>
        <v>0</v>
      </c>
      <c r="J291" s="35" t="n">
        <f aca="false">Quesería!$B$40*J265</f>
        <v>0</v>
      </c>
      <c r="K291" s="35" t="n">
        <f aca="false">Quesería!$B$40*K265</f>
        <v>0</v>
      </c>
      <c r="L291" s="35" t="n">
        <f aca="false">Quesería!$B$40*L265</f>
        <v>0</v>
      </c>
    </row>
    <row r="292" customFormat="false" ht="15" hidden="false" customHeight="false" outlineLevel="0" collapsed="false">
      <c r="A292" s="6" t="s">
        <v>308</v>
      </c>
      <c r="B292" s="35" t="n">
        <f aca="false">(IF(AND(B$43&gt;0,B$43&lt;=0+Quesería!$B$42),($G$14+$G$24)*((Quesería!$B$40*$B$265*$B$262)-(Quesería!$B$40*$B$265*$B$262)/(Quesería!$B$42-Quesería!$B$43)*MAX(0,MIN(B$43-1-0-Quesería!$B$43,(Quesería!$B$42-Quesería!$B$43)))),0)+IF(AND(B$43&gt;1,B$43&lt;=1+Quesería!$B$42),($G$14+$G$24)*((Quesería!$B$40*$C$265*$C$262)-(Quesería!$B$40*$C$265*$C$262)/(Quesería!$B$42-Quesería!$B$43)*MAX(0,MIN(B$43-1-1-Quesería!$B$43,(Quesería!$B$42-Quesería!$B$43)))),0))*B264</f>
        <v>0</v>
      </c>
      <c r="C292" s="35" t="n">
        <f aca="false">(IF(AND(C$43&gt;0,C$43&lt;=0+Quesería!$B$42),($G$14+$G$24)*((Quesería!$B$40*$B$265*$B$262)-(Quesería!$B$40*$B$265*$B$262)/(Quesería!$B$42-Quesería!$B$43)*MAX(0,MIN(C$43-1-0-Quesería!$B$43,(Quesería!$B$42-Quesería!$B$43)))),0)+IF(AND(C$43&gt;1,C$43&lt;=1+Quesería!$B$42),($G$14+$G$24)*((Quesería!$B$40*$C$265*$C$262)-(Quesería!$B$40*$C$265*$C$262)/(Quesería!$B$42-Quesería!$B$43)*MAX(0,MIN(C$43-1-1-Quesería!$B$43,(Quesería!$B$42-Quesería!$B$43)))),0))*C264</f>
        <v>58.4909006863056</v>
      </c>
      <c r="D292" s="35" t="n">
        <f aca="false">(IF(AND(D$43&gt;0,D$43&lt;=0+Quesería!$B$42),($G$14+$G$24)*((Quesería!$B$40*$B$265*$B$262)-(Quesería!$B$40*$B$265*$B$262)/(Quesería!$B$42-Quesería!$B$43)*MAX(0,MIN(D$43-1-0-Quesería!$B$43,(Quesería!$B$42-Quesería!$B$43)))),0)+IF(AND(D$43&gt;1,D$43&lt;=1+Quesería!$B$42),($G$14+$G$24)*((Quesería!$B$40*$C$265*$C$262)-(Quesería!$B$40*$C$265*$C$262)/(Quesería!$B$42-Quesería!$B$43)*MAX(0,MIN(D$43-1-1-Quesería!$B$43,(Quesería!$B$42-Quesería!$B$43)))),0))*D264</f>
        <v>116.917759262216</v>
      </c>
      <c r="E292" s="35" t="n">
        <f aca="false">(IF(AND(E$43&gt;0,E$43&lt;=0+Quesería!$B$42),($G$14+$G$24)*((Quesería!$B$40*$B$265*$B$262)-(Quesería!$B$40*$B$265*$B$262)/(Quesería!$B$42-Quesería!$B$43)*MAX(0,MIN(E$43-1-0-Quesería!$B$43,(Quesería!$B$42-Quesería!$B$43)))),0)+IF(AND(E$43&gt;1,E$43&lt;=1+Quesería!$B$42),($G$14+$G$24)*((Quesería!$B$40*$C$265*$C$262)-(Quesería!$B$40*$C$265*$C$262)/(Quesería!$B$42-Quesería!$B$43)*MAX(0,MIN(E$43-1-1-Quesería!$B$43,(Quesería!$B$42-Quesería!$B$43)))),0))*E264</f>
        <v>103.451025930528</v>
      </c>
      <c r="F292" s="35" t="n">
        <f aca="false">(IF(AND(F$43&gt;0,F$43&lt;=0+Quesería!$B$42),($G$14+$G$24)*((Quesería!$B$40*$B$265*$B$262)-(Quesería!$B$40*$B$265*$B$262)/(Quesería!$B$42-Quesería!$B$43)*MAX(0,MIN(F$43-1-0-Quesería!$B$43,(Quesería!$B$42-Quesería!$B$43)))),0)+IF(AND(F$43&gt;1,F$43&lt;=1+Quesería!$B$42),($G$14+$G$24)*((Quesería!$B$40*$C$265*$C$262)-(Quesería!$B$40*$C$265*$C$262)/(Quesería!$B$42-Quesería!$B$43)*MAX(0,MIN(F$43-1-1-Quesería!$B$43,(Quesería!$B$42-Quesería!$B$43)))),0))*F264</f>
        <v>81.455966861483</v>
      </c>
      <c r="G292" s="35" t="n">
        <f aca="false">(IF(AND(G$43&gt;0,G$43&lt;=0+Quesería!$B$42),($G$14+$G$24)*((Quesería!$B$40*$B$265*$B$262)-(Quesería!$B$40*$B$265*$B$262)/(Quesería!$B$42-Quesería!$B$43)*MAX(0,MIN(G$43-1-0-Quesería!$B$43,(Quesería!$B$42-Quesería!$B$43)))),0)+IF(AND(G$43&gt;1,G$43&lt;=1+Quesería!$B$42),($G$14+$G$24)*((Quesería!$B$40*$C$265*$C$262)-(Quesería!$B$40*$C$265*$C$262)/(Quesería!$B$42-Quesería!$B$43)*MAX(0,MIN(G$43-1-1-Quesería!$B$43,(Quesería!$B$42-Quesería!$B$43)))),0))*G264</f>
        <v>60.9998013511061</v>
      </c>
      <c r="H292" s="35" t="n">
        <f aca="false">(IF(AND(H$43&gt;0,H$43&lt;=0+Quesería!$B$42),($G$14+$G$24)*((Quesería!$B$40*$B$265*$B$262)-(Quesería!$B$40*$B$265*$B$262)/(Quesería!$B$42-Quesería!$B$43)*MAX(0,MIN(H$43-1-0-Quesería!$B$43,(Quesería!$B$42-Quesería!$B$43)))),0)+IF(AND(H$43&gt;1,H$43&lt;=1+Quesería!$B$42),($G$14+$G$24)*((Quesería!$B$40*$C$265*$C$262)-(Quesería!$B$40*$C$265*$C$262)/(Quesería!$B$42-Quesería!$B$43)*MAX(0,MIN(H$43-1-1-Quesería!$B$43,(Quesería!$B$42-Quesería!$B$43)))),0))*H264</f>
        <v>41.9966900414366</v>
      </c>
      <c r="I292" s="35" t="n">
        <f aca="false">(IF(AND(I$43&gt;0,I$43&lt;=0+Quesería!$B$42),($G$14+$G$24)*((Quesería!$B$40*$B$265*$B$262)-(Quesería!$B$40*$B$265*$B$262)/(Quesería!$B$42-Quesería!$B$43)*MAX(0,MIN(I$43-1-0-Quesería!$B$43,(Quesería!$B$42-Quesería!$B$43)))),0)+IF(AND(I$43&gt;1,I$43&lt;=1+Quesería!$B$42),($G$14+$G$24)*((Quesería!$B$40*$C$265*$C$262)-(Quesería!$B$40*$C$265*$C$262)/(Quesería!$B$42-Quesería!$B$43)*MAX(0,MIN(I$43-1-1-Quesería!$B$43,(Quesería!$B$42-Quesería!$B$43)))),0))*I264</f>
        <v>24.3651201322873</v>
      </c>
      <c r="J292" s="35" t="n">
        <f aca="false">(IF(AND(J$43&gt;0,J$43&lt;=0+Quesería!$B$42),($G$14+$G$24)*((Quesería!$B$40*$B$265*$B$262)-(Quesería!$B$40*$B$265*$B$262)/(Quesería!$B$42-Quesería!$B$43)*MAX(0,MIN(J$43-1-0-Quesería!$B$43,(Quesería!$B$42-Quesería!$B$43)))),0)+IF(AND(J$43&gt;1,J$43&lt;=1+Quesería!$B$42),($G$14+$G$24)*((Quesería!$B$40*$C$265*$C$262)-(Quesería!$B$40*$C$265*$C$262)/(Quesería!$B$42-Quesería!$B$43)*MAX(0,MIN(J$43-1-1-Quesería!$B$43,(Quesería!$B$42-Quesería!$B$43)))),0))*J264</f>
        <v>8.02769955040774</v>
      </c>
      <c r="K292" s="35" t="n">
        <f aca="false">(IF(AND(K$43&gt;0,K$43&lt;=0+Quesería!$B$42),($G$14+$G$24)*((Quesería!$B$40*$B$265*$B$262)-(Quesería!$B$40*$B$265*$B$262)/(Quesería!$B$42-Quesería!$B$43)*MAX(0,MIN(K$43-1-0-Quesería!$B$43,(Quesería!$B$42-Quesería!$B$43)))),0)+IF(AND(K$43&gt;1,K$43&lt;=1+Quesería!$B$42),($G$14+$G$24)*((Quesería!$B$40*$C$265*$C$262)-(Quesería!$B$40*$C$265*$C$262)/(Quesería!$B$42-Quesería!$B$43)*MAX(0,MIN(K$43-1-1-Quesería!$B$43,(Quesería!$B$42-Quesería!$B$43)))),0))*K264</f>
        <v>0</v>
      </c>
      <c r="L292" s="35" t="n">
        <f aca="false">(IF(AND(L$43&gt;0,L$43&lt;=0+Quesería!$B$42),($G$14+$G$24)*((Quesería!$B$40*$B$265*$B$262)-(Quesería!$B$40*$B$265*$B$262)/(Quesería!$B$42-Quesería!$B$43)*MAX(0,MIN(L$43-1-0-Quesería!$B$43,(Quesería!$B$42-Quesería!$B$43)))),0)+IF(AND(L$43&gt;1,L$43&lt;=1+Quesería!$B$42),($G$14+$G$24)*((Quesería!$B$40*$C$265*$C$262)-(Quesería!$B$40*$C$265*$C$262)/(Quesería!$B$42-Quesería!$B$43)*MAX(0,MIN(L$43-1-1-Quesería!$B$43,(Quesería!$B$42-Quesería!$B$43)))),0))*L264</f>
        <v>0</v>
      </c>
    </row>
    <row r="293" customFormat="false" ht="15" hidden="false" customHeight="false" outlineLevel="0" collapsed="false">
      <c r="A293" s="6" t="s">
        <v>309</v>
      </c>
      <c r="B293" s="35" t="n">
        <f aca="false">(IF(AND(B$43&gt;0+Quesería!$B$43,B$43&lt;=0+Quesería!$B$42),(Quesería!$B$40*$B$265*$B$262)/(Quesería!$B$42-Quesería!$B$43),0)+IF(AND(B$43&gt;1+Quesería!$B$43,B$43&lt;=1+Quesería!$B$42),(Quesería!$B$40*$C$265*$C$262)/(Quesería!$B$42-Quesería!$B$43),0))*B264</f>
        <v>0</v>
      </c>
      <c r="C293" s="35" t="n">
        <f aca="false">(IF(AND(C$43&gt;0+Quesería!$B$43,C$43&lt;=0+Quesería!$B$42),(Quesería!$B$40*$B$265*$B$262)/(Quesería!$B$42-Quesería!$B$43),0)+IF(AND(C$43&gt;1+Quesería!$B$43,C$43&lt;=1+Quesería!$B$42),(Quesería!$B$40*$C$265*$C$262)/(Quesería!$B$42-Quesería!$B$43),0))*C264</f>
        <v>0</v>
      </c>
      <c r="D293" s="35" t="n">
        <f aca="false">(IF(AND(D$43&gt;0+Quesería!$B$43,D$43&lt;=0+Quesería!$B$42),(Quesería!$B$40*$B$265*$B$262)/(Quesería!$B$42-Quesería!$B$43),0)+IF(AND(D$43&gt;1+Quesería!$B$43,D$43&lt;=1+Quesería!$B$42),(Quesería!$B$40*$C$265*$C$262)/(Quesería!$B$42-Quesería!$B$43),0))*D264</f>
        <v>66.1609382586284</v>
      </c>
      <c r="E293" s="35" t="n">
        <f aca="false">(IF(AND(E$43&gt;0+Quesería!$B$43,E$43&lt;=0+Quesería!$B$42),(Quesería!$B$40*$B$265*$B$262)/(Quesería!$B$42-Quesería!$B$43),0)+IF(AND(E$43&gt;1+Quesería!$B$43,E$43&lt;=1+Quesería!$B$42),(Quesería!$B$40*$C$265*$C$262)/(Quesería!$B$42-Quesería!$B$43),0))*E264</f>
        <v>132.885251025432</v>
      </c>
      <c r="F293" s="35" t="n">
        <f aca="false">(IF(AND(F$43&gt;0+Quesería!$B$43,F$43&lt;=0+Quesería!$B$42),(Quesería!$B$40*$B$265*$B$262)/(Quesería!$B$42-Quesería!$B$43),0)+IF(AND(F$43&gt;1+Quesería!$B$43,F$43&lt;=1+Quesería!$B$42),(Quesería!$B$40*$C$265*$C$262)/(Quesería!$B$42-Quesería!$B$43),0))*F264</f>
        <v>127.774279832146</v>
      </c>
      <c r="G293" s="35" t="n">
        <f aca="false">(IF(AND(G$43&gt;0+Quesería!$B$43,G$43&lt;=0+Quesería!$B$42),(Quesería!$B$40*$B$265*$B$262)/(Quesería!$B$42-Quesería!$B$43),0)+IF(AND(G$43&gt;1+Quesería!$B$43,G$43&lt;=1+Quesería!$B$42),(Quesería!$B$40*$C$265*$C$262)/(Quesería!$B$42-Quesería!$B$43),0))*G264</f>
        <v>122.859884453986</v>
      </c>
      <c r="H293" s="35" t="n">
        <f aca="false">(IF(AND(H$43&gt;0+Quesería!$B$43,H$43&lt;=0+Quesería!$B$42),(Quesería!$B$40*$B$265*$B$262)/(Quesería!$B$42-Quesería!$B$43),0)+IF(AND(H$43&gt;1+Quesería!$B$43,H$43&lt;=1+Quesería!$B$42),(Quesería!$B$40*$C$265*$C$262)/(Quesería!$B$42-Quesería!$B$43),0))*H264</f>
        <v>118.134504282679</v>
      </c>
      <c r="I293" s="35" t="n">
        <f aca="false">(IF(AND(I$43&gt;0+Quesería!$B$43,I$43&lt;=0+Quesería!$B$42),(Quesería!$B$40*$B$265*$B$262)/(Quesería!$B$42-Quesería!$B$43),0)+IF(AND(I$43&gt;1+Quesería!$B$43,I$43&lt;=1+Quesería!$B$42),(Quesería!$B$40*$C$265*$C$262)/(Quesería!$B$42-Quesería!$B$43),0))*I264</f>
        <v>113.590869502576</v>
      </c>
      <c r="J293" s="35" t="n">
        <f aca="false">(IF(AND(J$43&gt;0+Quesería!$B$43,J$43&lt;=0+Quesería!$B$42),(Quesería!$B$40*$B$265*$B$262)/(Quesería!$B$42-Quesería!$B$43),0)+IF(AND(J$43&gt;1+Quesería!$B$43,J$43&lt;=1+Quesería!$B$42),(Quesería!$B$40*$C$265*$C$262)/(Quesería!$B$42-Quesería!$B$43),0))*J264</f>
        <v>56.9340393645939</v>
      </c>
      <c r="K293" s="35" t="n">
        <f aca="false">(IF(AND(K$43&gt;0+Quesería!$B$43,K$43&lt;=0+Quesería!$B$42),(Quesería!$B$40*$B$265*$B$262)/(Quesería!$B$42-Quesería!$B$43),0)+IF(AND(K$43&gt;1+Quesería!$B$43,K$43&lt;=1+Quesería!$B$42),(Quesería!$B$40*$C$265*$C$262)/(Quesería!$B$42-Quesería!$B$43),0))*K264</f>
        <v>0</v>
      </c>
      <c r="L293" s="35" t="n">
        <f aca="false">(IF(AND(L$43&gt;0+Quesería!$B$43,L$43&lt;=0+Quesería!$B$42),(Quesería!$B$40*$B$265*$B$262)/(Quesería!$B$42-Quesería!$B$43),0)+IF(AND(L$43&gt;1+Quesería!$B$43,L$43&lt;=1+Quesería!$B$42),(Quesería!$B$40*$C$265*$C$262)/(Quesería!$B$42-Quesería!$B$43),0))*L264</f>
        <v>0</v>
      </c>
    </row>
    <row r="294" customFormat="false" ht="15" hidden="false" customHeight="false" outlineLevel="0" collapsed="false">
      <c r="A294" s="6" t="s">
        <v>310</v>
      </c>
      <c r="B294" s="35" t="n">
        <f aca="false">$G$13*Quesería!$B$44*(1+0.19)*B290*B264+(1-$G$13)*IF(B$43=0,Quesería!$B$53,0)</f>
        <v>4</v>
      </c>
      <c r="C294" s="35" t="n">
        <f aca="false">$G$13*Quesería!$B$44*(1+0.19)*C290*C264+(1-$G$13)*IF(C$43=0,Quesería!$B$53,0)</f>
        <v>0</v>
      </c>
      <c r="D294" s="35" t="n">
        <f aca="false">$G$13*Quesería!$B$44*(1+0.19)*D290*D264+(1-$G$13)*IF(D$43=0,Quesería!$B$53,0)</f>
        <v>0</v>
      </c>
      <c r="E294" s="35" t="n">
        <f aca="false">$G$13*Quesería!$B$44*(1+0.19)*E290*E264+(1-$G$13)*IF(E$43=0,Quesería!$B$53,0)</f>
        <v>0</v>
      </c>
      <c r="F294" s="35" t="n">
        <f aca="false">$G$13*Quesería!$B$44*(1+0.19)*F290*F264+(1-$G$13)*IF(F$43=0,Quesería!$B$53,0)</f>
        <v>0</v>
      </c>
      <c r="G294" s="35" t="n">
        <f aca="false">$G$13*Quesería!$B$44*(1+0.19)*G290*G264+(1-$G$13)*IF(G$43=0,Quesería!$B$53,0)</f>
        <v>0</v>
      </c>
      <c r="H294" s="35" t="n">
        <f aca="false">$G$13*Quesería!$B$44*(1+0.19)*H290*H264+(1-$G$13)*IF(H$43=0,Quesería!$B$53,0)</f>
        <v>0</v>
      </c>
      <c r="I294" s="35" t="n">
        <f aca="false">$G$13*Quesería!$B$44*(1+0.19)*I290*I264+(1-$G$13)*IF(I$43=0,Quesería!$B$53,0)</f>
        <v>0</v>
      </c>
      <c r="J294" s="35" t="n">
        <f aca="false">$G$13*Quesería!$B$44*(1+0.19)*J290*J264+(1-$G$13)*IF(J$43=0,Quesería!$B$53,0)</f>
        <v>0</v>
      </c>
      <c r="K294" s="35" t="n">
        <f aca="false">$G$13*Quesería!$B$44*(1+0.19)*K290*K264+(1-$G$13)*IF(K$43=0,Quesería!$B$53,0)</f>
        <v>0</v>
      </c>
      <c r="L294" s="35" t="n">
        <f aca="false">$G$13*Quesería!$B$44*(1+0.19)*L290*L264+(1-$G$13)*IF(L$43=0,Quesería!$B$53,0)</f>
        <v>0</v>
      </c>
    </row>
    <row r="295" customFormat="false" ht="15" hidden="false" customHeight="false" outlineLevel="0" collapsed="false">
      <c r="A295" s="6" t="s">
        <v>311</v>
      </c>
      <c r="B295" s="35" t="n">
        <f aca="false">Quesería!$B$45*(B292+B293+B294)</f>
        <v>0.016</v>
      </c>
      <c r="C295" s="35" t="n">
        <f aca="false">Quesería!$B$45*(C292+C293+C294)</f>
        <v>0.233963602745223</v>
      </c>
      <c r="D295" s="35" t="n">
        <f aca="false">Quesería!$B$45*(D292+D293+D294)</f>
        <v>0.732314790083377</v>
      </c>
      <c r="E295" s="35" t="n">
        <f aca="false">Quesería!$B$45*(E292+E293+E294)</f>
        <v>0.94534510782384</v>
      </c>
      <c r="F295" s="35" t="n">
        <f aca="false">Quesería!$B$45*(F292+F293+F294)</f>
        <v>0.836920986774515</v>
      </c>
      <c r="G295" s="35" t="n">
        <f aca="false">Quesería!$B$45*(G292+G293+G294)</f>
        <v>0.73543874322037</v>
      </c>
      <c r="H295" s="35" t="n">
        <f aca="false">Quesería!$B$45*(H292+H293+H294)</f>
        <v>0.640524777296463</v>
      </c>
      <c r="I295" s="35" t="n">
        <f aca="false">Quesería!$B$45*(I292+I293+I294)</f>
        <v>0.551823958539454</v>
      </c>
      <c r="J295" s="35" t="n">
        <f aca="false">Quesería!$B$45*(J292+J293+J294)</f>
        <v>0.259846955660007</v>
      </c>
      <c r="K295" s="35" t="n">
        <f aca="false">Quesería!$B$45*(K292+K293+K294)</f>
        <v>0</v>
      </c>
      <c r="L295" s="35" t="n">
        <f aca="false">Quesería!$B$45*(L292+L293+L294)</f>
        <v>0</v>
      </c>
    </row>
    <row r="296" customFormat="false" ht="15" hidden="false" customHeight="false" outlineLevel="0" collapsed="false">
      <c r="A296" s="6" t="s">
        <v>312</v>
      </c>
      <c r="B296" s="35" t="n">
        <f aca="false">$G$17*(B292+B294+0.5*B295)</f>
        <v>1.4028</v>
      </c>
      <c r="C296" s="35" t="n">
        <f aca="false">$G$17*(C292+C294+0.5*C295)</f>
        <v>20.5127588706874</v>
      </c>
      <c r="D296" s="35" t="n">
        <f aca="false">$G$17*(D292+D294+0.5*D295)</f>
        <v>41.0493708300401</v>
      </c>
      <c r="E296" s="35" t="n">
        <f aca="false">$G$17*(E292+E294+0.5*E295)</f>
        <v>36.373294469554</v>
      </c>
      <c r="F296" s="35" t="n">
        <f aca="false">$G$17*(F292+F294+0.5*F295)</f>
        <v>28.6560495742046</v>
      </c>
      <c r="G296" s="35" t="n">
        <f aca="false">$G$17*(G292+G294+0.5*G295)</f>
        <v>21.4786322529507</v>
      </c>
      <c r="H296" s="35" t="n">
        <f aca="false">$G$17*(H292+H294+0.5*H295)</f>
        <v>14.8109333505297</v>
      </c>
      <c r="I296" s="35" t="n">
        <f aca="false">$G$17*(I292+I294+0.5*I295)</f>
        <v>8.62436123904496</v>
      </c>
      <c r="J296" s="35" t="n">
        <f aca="false">$G$17*(J292+J294+0.5*J295)</f>
        <v>2.85516805988321</v>
      </c>
      <c r="K296" s="35" t="n">
        <f aca="false">$G$17*(K292+K294+0.5*K295)</f>
        <v>0</v>
      </c>
      <c r="L296" s="35" t="n">
        <f aca="false">$G$17*(L292+L294+0.5*L295)</f>
        <v>0</v>
      </c>
    </row>
    <row r="297" customFormat="false" ht="15" hidden="false" customHeight="false" outlineLevel="0" collapsed="false">
      <c r="A297" s="5" t="s">
        <v>313</v>
      </c>
      <c r="B297" s="37" t="n">
        <f aca="false">B282+B291-B292-B293-B294-B295+B296</f>
        <v>-234.514844546078</v>
      </c>
      <c r="C297" s="37" t="n">
        <f aca="false">C282+C291-C292-C293-C294-C295+C296</f>
        <v>-22.2048437942814</v>
      </c>
      <c r="D297" s="37" t="n">
        <f aca="false">D282+D291-D292-D293-D294-D295+D296</f>
        <v>150.099360559816</v>
      </c>
      <c r="E297" s="37" t="n">
        <f aca="false">E282+E291-E292-E293-E294-E295+E296</f>
        <v>-5.0702146928759</v>
      </c>
      <c r="F297" s="37" t="n">
        <f aca="false">F282+F291-F292-F293-F294-F295+F296</f>
        <v>15.1486847469616</v>
      </c>
      <c r="G297" s="37" t="n">
        <f aca="false">G282+G291-G292-G293-G294-G295+G296</f>
        <v>0.416011215534205</v>
      </c>
      <c r="H297" s="37" t="n">
        <f aca="false">H282+H291-H292-H293-H294-H295+H296</f>
        <v>8.61228334697147</v>
      </c>
      <c r="I297" s="37" t="n">
        <f aca="false">I282+I291-I292-I293-I294-I295+I296</f>
        <v>69.8094280370046</v>
      </c>
      <c r="J297" s="37" t="n">
        <f aca="false">J282+J291-J292-J293-J294-J295+J296</f>
        <v>129.848897476633</v>
      </c>
      <c r="K297" s="37" t="n">
        <f aca="false">K282+K291-K292-K293-K294-K295+K296</f>
        <v>191.23858804812</v>
      </c>
      <c r="L297" s="37" t="n">
        <f aca="false">L282+L291-L292-L293-L294-L295+L296</f>
        <v>257.231953830497</v>
      </c>
    </row>
    <row r="298" customFormat="false" ht="15" hidden="false" customHeight="false" outlineLevel="0" collapsed="false">
      <c r="A298" s="9" t="s">
        <v>314</v>
      </c>
      <c r="B298" s="36" t="n">
        <f aca="false">B297*B262</f>
        <v>-248.585735218843</v>
      </c>
      <c r="C298" s="36" t="n">
        <f aca="false">C297*C262</f>
        <v>-24.7139911430352</v>
      </c>
      <c r="D298" s="36" t="n">
        <f aca="false">D297*D262</f>
        <v>174.578314776713</v>
      </c>
      <c r="E298" s="36" t="n">
        <f aca="false">E297*E262</f>
        <v>-6.13297428230611</v>
      </c>
      <c r="F298" s="36" t="n">
        <f aca="false">F297*F262</f>
        <v>19.0569353716316</v>
      </c>
      <c r="G298" s="36" t="n">
        <f aca="false">G297*G262</f>
        <v>0.544272650726023</v>
      </c>
      <c r="H298" s="36" t="n">
        <f aca="false">H297*H262</f>
        <v>11.7182597859584</v>
      </c>
      <c r="I298" s="36" t="n">
        <f aca="false">I297*I262</f>
        <v>98.7852790602658</v>
      </c>
      <c r="J298" s="36" t="n">
        <f aca="false">J297*J262</f>
        <v>191.095190591471</v>
      </c>
      <c r="K298" s="36" t="n">
        <f aca="false">K297*K262</f>
        <v>292.698406743104</v>
      </c>
      <c r="L298" s="36" t="n">
        <f aca="false">L297*L262</f>
        <v>409.452083759809</v>
      </c>
    </row>
    <row r="299" customFormat="false" ht="15" hidden="false" customHeight="false" outlineLevel="0" collapsed="false">
      <c r="A299" s="9" t="s">
        <v>315</v>
      </c>
      <c r="B299" s="34" t="n">
        <f aca="false">(B262/$B$262)/(1+Quesería!$B$46+$G$24)^B$43</f>
        <v>1</v>
      </c>
      <c r="C299" s="34" t="n">
        <f aca="false">(C262/$B$262)/(1+Quesería!$B$46+$G$24)^C$43</f>
        <v>0.84</v>
      </c>
      <c r="D299" s="34" t="n">
        <f aca="false">(D262/$B$262)/(1+Quesería!$B$46+$G$24)^D$43</f>
        <v>0.70224</v>
      </c>
      <c r="E299" s="34" t="n">
        <f aca="false">(E262/$B$262)/(1+Quesería!$B$46+$G$24)^E$43</f>
        <v>0.58426368</v>
      </c>
      <c r="F299" s="34" t="n">
        <f aca="false">(F262/$B$262)/(1+Quesería!$B$46+$G$24)^F$43</f>
        <v>0.48610738176</v>
      </c>
      <c r="G299" s="34" t="n">
        <f aca="false">(G262/$B$262)/(1+Quesería!$B$46+$G$24)^G$43</f>
        <v>0.40444134162432</v>
      </c>
      <c r="H299" s="34" t="n">
        <f aca="false">(H262/$B$262)/(1+Quesería!$B$46+$G$24)^H$43</f>
        <v>0.336495196231434</v>
      </c>
      <c r="I299" s="34" t="n">
        <f aca="false">(I262/$B$262)/(1+Quesería!$B$46+$G$24)^I$43</f>
        <v>0.279964003264553</v>
      </c>
      <c r="J299" s="34" t="n">
        <f aca="false">(J262/$B$262)/(1+Quesería!$B$46+$G$24)^J$43</f>
        <v>0.232930050716108</v>
      </c>
      <c r="K299" s="34" t="n">
        <f aca="false">(K262/$B$262)/(1+Quesería!$B$46+$G$24)^K$43</f>
        <v>0.193797802195802</v>
      </c>
      <c r="L299" s="34" t="n">
        <f aca="false">(L262/$B$262)/(1+Quesería!$B$46+$G$24)^L$43</f>
        <v>0.161239771426907</v>
      </c>
    </row>
    <row r="300" customFormat="false" ht="15" hidden="false" customHeight="false" outlineLevel="0" collapsed="false">
      <c r="A300" s="9" t="s">
        <v>316</v>
      </c>
      <c r="B300" s="36" t="n">
        <f aca="false">B282+B265+B267+B296</f>
        <v>55.5221182387349</v>
      </c>
      <c r="C300" s="36" t="n">
        <f aca="false">C282+C265+C267+C296</f>
        <v>352.702363898294</v>
      </c>
      <c r="D300" s="36" t="n">
        <f aca="false">D282+D265+D267+D296</f>
        <v>333.910372870743</v>
      </c>
      <c r="E300" s="36" t="n">
        <f aca="false">E282+E265+E267+E296</f>
        <v>232.211407370908</v>
      </c>
      <c r="F300" s="36" t="n">
        <f aca="false">F282+F265+F267+F296</f>
        <v>225.215852427365</v>
      </c>
      <c r="G300" s="36" t="n">
        <f aca="false">G282+G265+G267+G296</f>
        <v>190.077802430514</v>
      </c>
      <c r="H300" s="36" t="n">
        <f aca="false">H282+H265+H267+H296</f>
        <v>176.09186752915</v>
      </c>
      <c r="I300" s="36" t="n">
        <f aca="false">I282+I265+I267+I296</f>
        <v>208.317241630408</v>
      </c>
      <c r="J300" s="36" t="n">
        <f aca="false">J282+J265+J267+J296</f>
        <v>195.070483347295</v>
      </c>
      <c r="K300" s="36" t="n">
        <f aca="false">K282+K265+K267+K296</f>
        <v>191.23858804812</v>
      </c>
      <c r="L300" s="36" t="n">
        <f aca="false">L282+L265+L267+L296</f>
        <v>257.231953830497</v>
      </c>
    </row>
    <row r="301" customFormat="false" ht="15" hidden="false" customHeight="false" outlineLevel="0" collapsed="false">
      <c r="A301" s="5" t="s">
        <v>317</v>
      </c>
      <c r="B301" s="12" t="str">
        <f aca="false">IF(AND(B$43&gt;=1,(B292+B293+B294)&gt;0.001),B300/(B292+B293+B294),"")</f>
        <v/>
      </c>
      <c r="C301" s="12" t="n">
        <f aca="false">IF(AND(C$43&gt;=1,(C292+C293+C294)&gt;0.001),C300/(C292+C293+C294),"")</f>
        <v>6.03003817277294</v>
      </c>
      <c r="D301" s="12" t="n">
        <f aca="false">IF(AND(D$43&gt;=1,(D292+D293+D294)&gt;0.001),D300/(D292+D293+D294),"")</f>
        <v>1.82386251045251</v>
      </c>
      <c r="E301" s="12" t="n">
        <f aca="false">IF(AND(E$43&gt;=1,(E292+E293+E294)&gt;0.001),E300/(E292+E293+E294),"")</f>
        <v>0.982546608425161</v>
      </c>
      <c r="F301" s="12" t="n">
        <f aca="false">IF(AND(F$43&gt;=1,(F292+F293+F294)&gt;0.001),F300/(F292+F293+F294),"")</f>
        <v>1.07640198291762</v>
      </c>
      <c r="G301" s="12" t="n">
        <f aca="false">IF(AND(G$43&gt;=1,(G292+G293+G294)&gt;0.001),G300/(G292+G293+G294),"")</f>
        <v>1.03381990237932</v>
      </c>
      <c r="H301" s="12" t="n">
        <f aca="false">IF(AND(H$43&gt;=1,(H292+H293+H294)&gt;0.001),H300/(H292+H293+H294),"")</f>
        <v>1.09967247963398</v>
      </c>
      <c r="I301" s="12" t="n">
        <f aca="false">IF(AND(I$43&gt;=1,(I292+I293+I294)&gt;0.001),I300/(I292+I293+I294),"")</f>
        <v>1.51002680044392</v>
      </c>
      <c r="J301" s="12" t="n">
        <f aca="false">IF(AND(J$43&gt;=1,(J292+J293+J294)&gt;0.001),J300/(J292+J293+J294),"")</f>
        <v>3.00285193415978</v>
      </c>
      <c r="K301" s="12" t="str">
        <f aca="false">IF(AND(K$43&gt;=1,(K292+K293+K294)&gt;0.001),K300/(K292+K293+K294),"")</f>
        <v/>
      </c>
      <c r="L301" s="12" t="str">
        <f aca="false">IF(AND(L$43&gt;=1,(L292+L293+L294)&gt;0.001),L300/(L292+L293+L294),"")</f>
        <v/>
      </c>
    </row>
    <row r="303" customFormat="false" ht="15" hidden="false" customHeight="false" outlineLevel="0" collapsed="false">
      <c r="A303" s="66" t="s">
        <v>632</v>
      </c>
      <c r="B303" s="67"/>
      <c r="C303" s="67"/>
      <c r="D303" s="67"/>
      <c r="E303" s="67"/>
      <c r="F303" s="67"/>
      <c r="G303" s="67"/>
      <c r="H303" s="67"/>
      <c r="I303" s="67"/>
      <c r="J303" s="67"/>
      <c r="K303" s="67"/>
      <c r="L303" s="67"/>
    </row>
    <row r="304" customFormat="false" ht="15" hidden="false" customHeight="false" outlineLevel="0" collapsed="false">
      <c r="A304" s="9" t="s">
        <v>281</v>
      </c>
      <c r="B304" s="33" t="n">
        <f aca="false">CHOOSE($H$15,Entorno!B$7,Entorno!B$8,Entorno!B$9)</f>
        <v>0.06</v>
      </c>
      <c r="C304" s="33" t="n">
        <f aca="false">CHOOSE($H$15,Entorno!C$7,Entorno!C$8,Entorno!C$9)</f>
        <v>0.05</v>
      </c>
      <c r="D304" s="33" t="n">
        <f aca="false">CHOOSE($H$15,Entorno!D$7,Entorno!D$8,Entorno!D$9)</f>
        <v>0.045</v>
      </c>
      <c r="E304" s="33" t="n">
        <f aca="false">CHOOSE($H$15,Entorno!E$7,Entorno!E$8,Entorno!E$9)</f>
        <v>0.04</v>
      </c>
      <c r="F304" s="33" t="n">
        <f aca="false">CHOOSE($H$15,Entorno!F$7,Entorno!F$8,Entorno!F$9)</f>
        <v>0.04</v>
      </c>
      <c r="G304" s="33" t="n">
        <f aca="false">CHOOSE($H$15,Entorno!G$7,Entorno!G$8,Entorno!G$9)</f>
        <v>0.04</v>
      </c>
      <c r="H304" s="33" t="n">
        <f aca="false">CHOOSE($H$15,Entorno!H$7,Entorno!H$8,Entorno!H$9)</f>
        <v>0.04</v>
      </c>
      <c r="I304" s="33" t="n">
        <f aca="false">CHOOSE($H$15,Entorno!I$7,Entorno!I$8,Entorno!I$9)</f>
        <v>0.04</v>
      </c>
      <c r="J304" s="33" t="n">
        <f aca="false">CHOOSE($H$15,Entorno!J$7,Entorno!J$8,Entorno!J$9)</f>
        <v>0.04</v>
      </c>
      <c r="K304" s="33" t="n">
        <f aca="false">CHOOSE($H$15,Entorno!K$7,Entorno!K$8,Entorno!K$9)</f>
        <v>0.04</v>
      </c>
      <c r="L304" s="33" t="n">
        <f aca="false">CHOOSE($H$15,Entorno!L$7,Entorno!L$8,Entorno!L$9)</f>
        <v>0.04</v>
      </c>
    </row>
    <row r="305" customFormat="false" ht="15" hidden="false" customHeight="false" outlineLevel="0" collapsed="false">
      <c r="A305" s="9" t="s">
        <v>282</v>
      </c>
      <c r="B305" s="34" t="n">
        <f aca="false">1+B304</f>
        <v>1.06</v>
      </c>
      <c r="C305" s="34" t="n">
        <f aca="false">B305*(1+C304)</f>
        <v>1.113</v>
      </c>
      <c r="D305" s="34" t="n">
        <f aca="false">C305*(1+D304)</f>
        <v>1.163085</v>
      </c>
      <c r="E305" s="34" t="n">
        <f aca="false">D305*(1+E304)</f>
        <v>1.2096084</v>
      </c>
      <c r="F305" s="34" t="n">
        <f aca="false">E305*(1+F304)</f>
        <v>1.257992736</v>
      </c>
      <c r="G305" s="34" t="n">
        <f aca="false">F305*(1+G304)</f>
        <v>1.30831244544</v>
      </c>
      <c r="H305" s="34" t="n">
        <f aca="false">G305*(1+H304)</f>
        <v>1.3606449432576</v>
      </c>
      <c r="I305" s="34" t="n">
        <f aca="false">H305*(1+I304)</f>
        <v>1.4150707409879</v>
      </c>
      <c r="J305" s="34" t="n">
        <f aca="false">I305*(1+J304)</f>
        <v>1.47167357062742</v>
      </c>
      <c r="K305" s="34" t="n">
        <f aca="false">J305*(1+K304)</f>
        <v>1.53054051345252</v>
      </c>
      <c r="L305" s="34" t="n">
        <f aca="false">K305*(1+L304)</f>
        <v>1.59176213399062</v>
      </c>
    </row>
    <row r="306" customFormat="false" ht="15" hidden="false" customHeight="false" outlineLevel="0" collapsed="false">
      <c r="A306" s="9" t="s">
        <v>283</v>
      </c>
      <c r="B306" s="34" t="n">
        <f aca="false">(1+$H$16)/(1+B304)</f>
        <v>1.02358490566038</v>
      </c>
      <c r="C306" s="34" t="n">
        <f aca="false">B306*(1+Entorno!$B$13)</f>
        <v>1.02870283018868</v>
      </c>
      <c r="D306" s="34" t="n">
        <f aca="false">C306*(1+Entorno!$B$13)</f>
        <v>1.03384634433962</v>
      </c>
      <c r="E306" s="34" t="n">
        <f aca="false">D306*(1+Entorno!$B$13)</f>
        <v>1.03901557606132</v>
      </c>
      <c r="F306" s="34" t="n">
        <f aca="false">E306*(1+Entorno!$B$13)</f>
        <v>1.04421065394163</v>
      </c>
      <c r="G306" s="34" t="n">
        <f aca="false">F306*(1+Entorno!$B$13)</f>
        <v>1.04943170721133</v>
      </c>
      <c r="H306" s="34" t="n">
        <f aca="false">G306*(1+Entorno!$B$13)</f>
        <v>1.05467886574739</v>
      </c>
      <c r="I306" s="34" t="n">
        <f aca="false">H306*(1+Entorno!$B$13)</f>
        <v>1.05995226007613</v>
      </c>
      <c r="J306" s="34" t="n">
        <f aca="false">I306*(1+Entorno!$B$13)</f>
        <v>1.06525202137651</v>
      </c>
      <c r="K306" s="34" t="n">
        <f aca="false">J306*(1+Entorno!$B$13)</f>
        <v>1.07057828148339</v>
      </c>
      <c r="L306" s="34" t="n">
        <f aca="false">K306*(1+Entorno!$B$13)</f>
        <v>1.07593117289081</v>
      </c>
    </row>
    <row r="307" customFormat="false" ht="15" hidden="false" customHeight="false" outlineLevel="0" collapsed="false">
      <c r="A307" s="9" t="s">
        <v>284</v>
      </c>
      <c r="B307" s="34" t="n">
        <f aca="false">1/B305</f>
        <v>0.943396226415094</v>
      </c>
      <c r="C307" s="34" t="n">
        <f aca="false">1/C305</f>
        <v>0.898472596585804</v>
      </c>
      <c r="D307" s="34" t="n">
        <f aca="false">1/D305</f>
        <v>0.859782389077324</v>
      </c>
      <c r="E307" s="34" t="n">
        <f aca="false">1/E305</f>
        <v>0.826713835651273</v>
      </c>
      <c r="F307" s="34" t="n">
        <f aca="false">1/F305</f>
        <v>0.794917149664686</v>
      </c>
      <c r="G307" s="34" t="n">
        <f aca="false">1/G305</f>
        <v>0.764343413139121</v>
      </c>
      <c r="H307" s="34" t="n">
        <f aca="false">1/H305</f>
        <v>0.734945589556847</v>
      </c>
      <c r="I307" s="34" t="n">
        <f aca="false">1/I305</f>
        <v>0.706678451496968</v>
      </c>
      <c r="J307" s="34" t="n">
        <f aca="false">1/J305</f>
        <v>0.679498511054777</v>
      </c>
      <c r="K307" s="34" t="n">
        <f aca="false">1/K305</f>
        <v>0.653363952937286</v>
      </c>
      <c r="L307" s="34" t="n">
        <f aca="false">1/L305</f>
        <v>0.628234570132006</v>
      </c>
    </row>
    <row r="308" customFormat="false" ht="15" hidden="false" customHeight="false" outlineLevel="0" collapsed="false">
      <c r="A308" s="6" t="s">
        <v>202</v>
      </c>
      <c r="B308" s="35" t="n">
        <f aca="false">IF(B$43=0,Quesería!$F$80,IF(B$43=1,Quesería!$F$81*$H$21,0))*$H$11</f>
        <v>622.243624322401</v>
      </c>
      <c r="C308" s="35" t="n">
        <f aca="false">IF(C$43=0,Quesería!$F$80,IF(C$43=1,Quesería!$F$81*$H$21,0))*$H$11</f>
        <v>645.270088578622</v>
      </c>
      <c r="D308" s="35" t="n">
        <f aca="false">IF(D$43=0,Quesería!$F$80,IF(D$43=1,Quesería!$F$81*$H$21,0))*$H$11</f>
        <v>0</v>
      </c>
      <c r="E308" s="35" t="n">
        <f aca="false">IF(E$43=0,Quesería!$F$80,IF(E$43=1,Quesería!$F$81*$H$21,0))*$H$11</f>
        <v>0</v>
      </c>
      <c r="F308" s="35" t="n">
        <f aca="false">IF(F$43=0,Quesería!$F$80,IF(F$43=1,Quesería!$F$81*$H$21,0))*$H$11</f>
        <v>0</v>
      </c>
      <c r="G308" s="35" t="n">
        <f aca="false">IF(G$43=0,Quesería!$F$80,IF(G$43=1,Quesería!$F$81*$H$21,0))*$H$11</f>
        <v>0</v>
      </c>
      <c r="H308" s="35" t="n">
        <f aca="false">IF(H$43=0,Quesería!$F$80,IF(H$43=1,Quesería!$F$81*$H$21,0))*$H$11</f>
        <v>0</v>
      </c>
      <c r="I308" s="35" t="n">
        <f aca="false">IF(I$43=0,Quesería!$F$80,IF(I$43=1,Quesería!$F$81*$H$21,0))*$H$11</f>
        <v>0</v>
      </c>
      <c r="J308" s="35" t="n">
        <f aca="false">IF(J$43=0,Quesería!$F$80,IF(J$43=1,Quesería!$F$81*$H$21,0))*$H$11</f>
        <v>0</v>
      </c>
      <c r="K308" s="35" t="n">
        <f aca="false">IF(K$43=0,Quesería!$F$80,IF(K$43=1,Quesería!$F$81*$H$21,0))*$H$11</f>
        <v>0</v>
      </c>
      <c r="L308" s="35" t="n">
        <f aca="false">IF(L$43=0,Quesería!$F$80,IF(L$43=1,Quesería!$F$81*$H$21,0))*$H$11</f>
        <v>0</v>
      </c>
    </row>
    <row r="309" customFormat="false" ht="15" hidden="false" customHeight="false" outlineLevel="0" collapsed="false">
      <c r="A309" s="6" t="s">
        <v>285</v>
      </c>
      <c r="B309" s="35" t="n">
        <f aca="false">IF(B$43=5,Quesería!$F$87,IF(B$43=6,Quesería!$F$88,0))*$H$11</f>
        <v>0</v>
      </c>
      <c r="C309" s="35" t="n">
        <f aca="false">IF(C$43=5,Quesería!$F$87,IF(C$43=6,Quesería!$F$88,0))*$H$11</f>
        <v>0</v>
      </c>
      <c r="D309" s="35" t="n">
        <f aca="false">IF(D$43=5,Quesería!$F$87,IF(D$43=6,Quesería!$F$88,0))*$H$11</f>
        <v>0</v>
      </c>
      <c r="E309" s="35" t="n">
        <f aca="false">IF(E$43=5,Quesería!$F$87,IF(E$43=6,Quesería!$F$88,0))*$H$11</f>
        <v>0</v>
      </c>
      <c r="F309" s="35" t="n">
        <f aca="false">IF(F$43=5,Quesería!$F$87,IF(F$43=6,Quesería!$F$88,0))*$H$11</f>
        <v>0</v>
      </c>
      <c r="G309" s="35" t="n">
        <f aca="false">IF(G$43=5,Quesería!$F$87,IF(G$43=6,Quesería!$F$88,0))*$H$11</f>
        <v>26.6666666666667</v>
      </c>
      <c r="H309" s="35" t="n">
        <f aca="false">IF(H$43=5,Quesería!$F$87,IF(H$43=6,Quesería!$F$88,0))*$H$11</f>
        <v>35.3045530566667</v>
      </c>
      <c r="I309" s="35" t="n">
        <f aca="false">IF(I$43=5,Quesería!$F$87,IF(I$43=6,Quesería!$F$88,0))*$H$11</f>
        <v>0</v>
      </c>
      <c r="J309" s="35" t="n">
        <f aca="false">IF(J$43=5,Quesería!$F$87,IF(J$43=6,Quesería!$F$88,0))*$H$11</f>
        <v>0</v>
      </c>
      <c r="K309" s="35" t="n">
        <f aca="false">IF(K$43=5,Quesería!$F$87,IF(K$43=6,Quesería!$F$88,0))*$H$11</f>
        <v>0</v>
      </c>
      <c r="L309" s="35" t="n">
        <f aca="false">IF(L$43=5,Quesería!$F$87,IF(L$43=6,Quesería!$F$88,0))*$H$11</f>
        <v>0</v>
      </c>
    </row>
    <row r="310" customFormat="false" ht="15" hidden="false" customHeight="false" outlineLevel="0" collapsed="false">
      <c r="A310" s="6" t="s">
        <v>286</v>
      </c>
      <c r="B310" s="35" t="n">
        <f aca="false">Quesería!$B$36*(IF(B$43=0,SUMPRODUCT((Quesería!$C$62:$C$77=0)*(Quesería!$H$62:$H$77&gt;0)*(Quesería!$J$62:$J$77&gt;0)*Quesería!$F$62:$F$77*(1+Quesería!$I$62:$I$77)),IF(B$43=1,SUMPRODUCT((Quesería!$C$62:$C$77=1)*(Quesería!$H$62:$H$77&gt;0)*(Quesería!$J$62:$J$77&gt;0)*Quesería!$F$62:$F$77*(1+Quesería!$I$62:$I$77))*$H$21,0))*$H$11+B309)</f>
        <v>99.347875488093</v>
      </c>
      <c r="C310" s="35" t="n">
        <f aca="false">Quesería!$B$36*(IF(C$43=0,SUMPRODUCT((Quesería!$C$62:$C$77=0)*(Quesería!$H$62:$H$77&gt;0)*(Quesería!$J$62:$J$77&gt;0)*Quesería!$F$62:$F$77*(1+Quesería!$I$62:$I$77)),IF(C$43=1,SUMPRODUCT((Quesería!$C$62:$C$77=1)*(Quesería!$H$62:$H$77&gt;0)*(Quesería!$J$62:$J$77&gt;0)*Quesería!$F$62:$F$77*(1+Quesería!$I$62:$I$77))*$H$21,0))*$H$11+C309)</f>
        <v>122.601316829938</v>
      </c>
      <c r="D310" s="35" t="n">
        <f aca="false">Quesería!$B$36*(IF(D$43=0,SUMPRODUCT((Quesería!$C$62:$C$77=0)*(Quesería!$H$62:$H$77&gt;0)*(Quesería!$J$62:$J$77&gt;0)*Quesería!$F$62:$F$77*(1+Quesería!$I$62:$I$77)),IF(D$43=1,SUMPRODUCT((Quesería!$C$62:$C$77=1)*(Quesería!$H$62:$H$77&gt;0)*(Quesería!$J$62:$J$77&gt;0)*Quesería!$F$62:$F$77*(1+Quesería!$I$62:$I$77))*$H$21,0))*$H$11+D309)</f>
        <v>0</v>
      </c>
      <c r="E310" s="35" t="n">
        <f aca="false">Quesería!$B$36*(IF(E$43=0,SUMPRODUCT((Quesería!$C$62:$C$77=0)*(Quesería!$H$62:$H$77&gt;0)*(Quesería!$J$62:$J$77&gt;0)*Quesería!$F$62:$F$77*(1+Quesería!$I$62:$I$77)),IF(E$43=1,SUMPRODUCT((Quesería!$C$62:$C$77=1)*(Quesería!$H$62:$H$77&gt;0)*(Quesería!$J$62:$J$77&gt;0)*Quesería!$F$62:$F$77*(1+Quesería!$I$62:$I$77))*$H$21,0))*$H$11+E309)</f>
        <v>0</v>
      </c>
      <c r="F310" s="35" t="n">
        <f aca="false">Quesería!$B$36*(IF(F$43=0,SUMPRODUCT((Quesería!$C$62:$C$77=0)*(Quesería!$H$62:$H$77&gt;0)*(Quesería!$J$62:$J$77&gt;0)*Quesería!$F$62:$F$77*(1+Quesería!$I$62:$I$77)),IF(F$43=1,SUMPRODUCT((Quesería!$C$62:$C$77=1)*(Quesería!$H$62:$H$77&gt;0)*(Quesería!$J$62:$J$77&gt;0)*Quesería!$F$62:$F$77*(1+Quesería!$I$62:$I$77))*$H$21,0))*$H$11+F309)</f>
        <v>0</v>
      </c>
      <c r="G310" s="35" t="n">
        <f aca="false">Quesería!$B$36*(IF(G$43=0,SUMPRODUCT((Quesería!$C$62:$C$77=0)*(Quesería!$H$62:$H$77&gt;0)*(Quesería!$J$62:$J$77&gt;0)*Quesería!$F$62:$F$77*(1+Quesería!$I$62:$I$77)),IF(G$43=1,SUMPRODUCT((Quesería!$C$62:$C$77=1)*(Quesería!$H$62:$H$77&gt;0)*(Quesería!$J$62:$J$77&gt;0)*Quesería!$F$62:$F$77*(1+Quesería!$I$62:$I$77))*$H$21,0))*$H$11+G309)</f>
        <v>5.06666666666667</v>
      </c>
      <c r="H310" s="35" t="n">
        <f aca="false">Quesería!$B$36*(IF(H$43=0,SUMPRODUCT((Quesería!$C$62:$C$77=0)*(Quesería!$H$62:$H$77&gt;0)*(Quesería!$J$62:$J$77&gt;0)*Quesería!$F$62:$F$77*(1+Quesería!$I$62:$I$77)),IF(H$43=1,SUMPRODUCT((Quesería!$C$62:$C$77=1)*(Quesería!$H$62:$H$77&gt;0)*(Quesería!$J$62:$J$77&gt;0)*Quesería!$F$62:$F$77*(1+Quesería!$I$62:$I$77))*$H$21,0))*$H$11+H309)</f>
        <v>6.70786508076667</v>
      </c>
      <c r="I310" s="35" t="n">
        <f aca="false">Quesería!$B$36*(IF(I$43=0,SUMPRODUCT((Quesería!$C$62:$C$77=0)*(Quesería!$H$62:$H$77&gt;0)*(Quesería!$J$62:$J$77&gt;0)*Quesería!$F$62:$F$77*(1+Quesería!$I$62:$I$77)),IF(I$43=1,SUMPRODUCT((Quesería!$C$62:$C$77=1)*(Quesería!$H$62:$H$77&gt;0)*(Quesería!$J$62:$J$77&gt;0)*Quesería!$F$62:$F$77*(1+Quesería!$I$62:$I$77))*$H$21,0))*$H$11+I309)</f>
        <v>0</v>
      </c>
      <c r="J310" s="35" t="n">
        <f aca="false">Quesería!$B$36*(IF(J$43=0,SUMPRODUCT((Quesería!$C$62:$C$77=0)*(Quesería!$H$62:$H$77&gt;0)*(Quesería!$J$62:$J$77&gt;0)*Quesería!$F$62:$F$77*(1+Quesería!$I$62:$I$77)),IF(J$43=1,SUMPRODUCT((Quesería!$C$62:$C$77=1)*(Quesería!$H$62:$H$77&gt;0)*(Quesería!$J$62:$J$77&gt;0)*Quesería!$F$62:$F$77*(1+Quesería!$I$62:$I$77))*$H$21,0))*$H$11+J309)</f>
        <v>0</v>
      </c>
      <c r="K310" s="35" t="n">
        <f aca="false">Quesería!$B$36*(IF(K$43=0,SUMPRODUCT((Quesería!$C$62:$C$77=0)*(Quesería!$H$62:$H$77&gt;0)*(Quesería!$J$62:$J$77&gt;0)*Quesería!$F$62:$F$77*(1+Quesería!$I$62:$I$77)),IF(K$43=1,SUMPRODUCT((Quesería!$C$62:$C$77=1)*(Quesería!$H$62:$H$77&gt;0)*(Quesería!$J$62:$J$77&gt;0)*Quesería!$F$62:$F$77*(1+Quesería!$I$62:$I$77))*$H$21,0))*$H$11+K309)</f>
        <v>0</v>
      </c>
      <c r="L310" s="35" t="n">
        <f aca="false">Quesería!$B$36*(IF(L$43=0,SUMPRODUCT((Quesería!$C$62:$C$77=0)*(Quesería!$H$62:$H$77&gt;0)*(Quesería!$J$62:$J$77&gt;0)*Quesería!$F$62:$F$77*(1+Quesería!$I$62:$I$77)),IF(L$43=1,SUMPRODUCT((Quesería!$C$62:$C$77=1)*(Quesería!$H$62:$H$77&gt;0)*(Quesería!$J$62:$J$77&gt;0)*Quesería!$F$62:$F$77*(1+Quesería!$I$62:$I$77))*$H$21,0))*$H$11+L309)</f>
        <v>0</v>
      </c>
    </row>
    <row r="311" customFormat="false" ht="15" hidden="false" customHeight="false" outlineLevel="0" collapsed="false">
      <c r="A311" s="6" t="s">
        <v>260</v>
      </c>
      <c r="B311" s="35" t="n">
        <f aca="false">IF(B$43=0,($H$22*Quesería!$J$109+(1-$H$22)*Quesería!$E$105)*Quesería!$B$12*Quesería!$B$13/12*$H$23,(($H$22*Quesería!$J$109+(1-$H$22)*Quesería!$E$105)+($H$22*Quesería!$J$92+(1-$H$22)*Quesería!$E$92)*(B306-1))*IF(B$43=1,Quesería!$B$12,1))*$H$10</f>
        <v>54.7648478523167</v>
      </c>
      <c r="C311" s="35" t="n">
        <f aca="false">IF(C$43=0,($H$22*Quesería!$J$109+(1-$H$22)*Quesería!$E$105)*Quesería!$B$12*Quesería!$B$13/12*$H$23,(($H$22*Quesería!$J$109+(1-$H$22)*Quesería!$E$105)+($H$22*Quesería!$J$92+(1-$H$22)*Quesería!$E$92)*(C306-1))*IF(C$43=1,Quesería!$B$12,1))*$H$10</f>
        <v>164.598334311667</v>
      </c>
      <c r="D311" s="35" t="n">
        <f aca="false">IF(D$43=0,($H$22*Quesería!$J$109+(1-$H$22)*Quesería!$E$105)*Quesería!$B$12*Quesería!$B$13/12*$H$23,(($H$22*Quesería!$J$109+(1-$H$22)*Quesería!$E$105)+($H$22*Quesería!$J$92+(1-$H$22)*Quesería!$E$92)*(D306-1))*IF(D$43=1,Quesería!$B$12,1))*$H$10</f>
        <v>219.537031020587</v>
      </c>
      <c r="E311" s="35" t="n">
        <f aca="false">IF(E$43=0,($H$22*Quesería!$J$109+(1-$H$22)*Quesería!$E$105)*Quesería!$B$12*Quesería!$B$13/12*$H$23,(($H$22*Quesería!$J$109+(1-$H$22)*Quesería!$E$105)+($H$22*Quesería!$J$92+(1-$H$22)*Quesería!$E$92)*(E306-1))*IF(E$43=1,Quesería!$B$12,1))*$H$10</f>
        <v>219.609979218644</v>
      </c>
      <c r="F311" s="35" t="n">
        <f aca="false">IF(F$43=0,($H$22*Quesería!$J$109+(1-$H$22)*Quesería!$E$105)*Quesería!$B$12*Quesería!$B$13/12*$H$23,(($H$22*Quesería!$J$109+(1-$H$22)*Quesería!$E$105)+($H$22*Quesería!$J$92+(1-$H$22)*Quesería!$E$92)*(F306-1))*IF(F$43=1,Quesería!$B$12,1))*$H$10</f>
        <v>219.683292157691</v>
      </c>
      <c r="G311" s="35" t="n">
        <f aca="false">IF(G$43=0,($H$22*Quesería!$J$109+(1-$H$22)*Quesería!$E$105)*Quesería!$B$12*Quesería!$B$13/12*$H$23,(($H$22*Quesería!$J$109+(1-$H$22)*Quesería!$E$105)+($H$22*Quesería!$J$92+(1-$H$22)*Quesería!$E$92)*(G306-1))*IF(G$43=1,Quesería!$B$12,1))*$H$10</f>
        <v>219.756971661433</v>
      </c>
      <c r="H311" s="35" t="n">
        <f aca="false">IF(H$43=0,($H$22*Quesería!$J$109+(1-$H$22)*Quesería!$E$105)*Quesería!$B$12*Quesería!$B$13/12*$H$23,(($H$22*Quesería!$J$109+(1-$H$22)*Quesería!$E$105)+($H$22*Quesería!$J$92+(1-$H$22)*Quesería!$E$92)*(H306-1))*IF(H$43=1,Quesería!$B$12,1))*$H$10</f>
        <v>219.831019562694</v>
      </c>
      <c r="I311" s="35" t="n">
        <f aca="false">IF(I$43=0,($H$22*Quesería!$J$109+(1-$H$22)*Quesería!$E$105)*Quesería!$B$12*Quesería!$B$13/12*$H$23,(($H$22*Quesería!$J$109+(1-$H$22)*Quesería!$E$105)+($H$22*Quesería!$J$92+(1-$H$22)*Quesería!$E$92)*(I306-1))*IF(I$43=1,Quesería!$B$12,1))*$H$10</f>
        <v>219.905437703461</v>
      </c>
      <c r="J311" s="35" t="n">
        <f aca="false">IF(J$43=0,($H$22*Quesería!$J$109+(1-$H$22)*Quesería!$E$105)*Quesería!$B$12*Quesería!$B$13/12*$H$23,(($H$22*Quesería!$J$109+(1-$H$22)*Quesería!$E$105)+($H$22*Quesería!$J$92+(1-$H$22)*Quesería!$E$92)*(J306-1))*IF(J$43=1,Quesería!$B$12,1))*$H$10</f>
        <v>219.980227934932</v>
      </c>
      <c r="K311" s="35" t="n">
        <f aca="false">IF(K$43=0,($H$22*Quesería!$J$109+(1-$H$22)*Quesería!$E$105)*Quesería!$B$12*Quesería!$B$13/12*$H$23,(($H$22*Quesería!$J$109+(1-$H$22)*Quesería!$E$105)+($H$22*Quesería!$J$92+(1-$H$22)*Quesería!$E$92)*(K306-1))*IF(K$43=1,Quesería!$B$12,1))*$H$10</f>
        <v>220.05539211756</v>
      </c>
      <c r="L311" s="35" t="n">
        <f aca="false">IF(L$43=0,($H$22*Quesería!$J$109+(1-$H$22)*Quesería!$E$105)*Quesería!$B$12*Quesería!$B$13/12*$H$23,(($H$22*Quesería!$J$109+(1-$H$22)*Quesería!$E$105)+($H$22*Quesería!$J$92+(1-$H$22)*Quesería!$E$92)*(L306-1))*IF(L$43=1,Quesería!$B$12,1))*$H$10</f>
        <v>220.130932121102</v>
      </c>
    </row>
    <row r="312" customFormat="false" ht="15" hidden="false" customHeight="false" outlineLevel="0" collapsed="false">
      <c r="A312" s="6" t="s">
        <v>261</v>
      </c>
      <c r="B312" s="35" t="n">
        <f aca="false">IF(B$43&lt;=1,0,((($H$22*Quesería!$J$110+(1-$H$22)*Quesería!$E$106)-($H$22*Quesería!$J$99+(1-$H$22)*Quesería!$E$99)+$H$6*($H$22*Quesería!$J$99+(1-$H$22)*Quesería!$E$99)-(1-$H$9)*($H$22*Quesería!$J$102+(1-$H$22)*Quesería!$E$102))+($H$6*($H$22*Quesería!$J$99+(1-$H$22)*Quesería!$E$99)+$H$9*($H$22*Quesería!$J$102+(1-$H$22)*Quesería!$E$102))*(B306-1))*IF(B$43=2,Quesería!$B$12,1)+IF(B$43=2,Quesería!$B$14*$H$9*($H$22*Quesería!$J$102+(1-$H$22)*Quesería!$E$102)*B306,0))*$H$10*$H$21</f>
        <v>0</v>
      </c>
      <c r="C312" s="35" t="n">
        <f aca="false">IF(C$43&lt;=1,0,((($H$22*Quesería!$J$110+(1-$H$22)*Quesería!$E$106)-($H$22*Quesería!$J$99+(1-$H$22)*Quesería!$E$99)+$H$6*($H$22*Quesería!$J$99+(1-$H$22)*Quesería!$E$99)-(1-$H$9)*($H$22*Quesería!$J$102+(1-$H$22)*Quesería!$E$102))+($H$6*($H$22*Quesería!$J$99+(1-$H$22)*Quesería!$E$99)+$H$9*($H$22*Quesería!$J$102+(1-$H$22)*Quesería!$E$102))*(C306-1))*IF(C$43=2,Quesería!$B$12,1)+IF(C$43=2,Quesería!$B$14*$H$9*($H$22*Quesería!$J$102+(1-$H$22)*Quesería!$E$102)*C306,0))*$H$10*$H$21</f>
        <v>0</v>
      </c>
      <c r="D312" s="35" t="n">
        <f aca="false">IF(D$43&lt;=1,0,((($H$22*Quesería!$J$110+(1-$H$22)*Quesería!$E$106)-($H$22*Quesería!$J$99+(1-$H$22)*Quesería!$E$99)+$H$6*($H$22*Quesería!$J$99+(1-$H$22)*Quesería!$E$99)-(1-$H$9)*($H$22*Quesería!$J$102+(1-$H$22)*Quesería!$E$102))+($H$6*($H$22*Quesería!$J$99+(1-$H$22)*Quesería!$E$99)+$H$9*($H$22*Quesería!$J$102+(1-$H$22)*Quesería!$E$102))*(D306-1))*IF(D$43=2,Quesería!$B$12,1)+IF(D$43=2,Quesería!$B$14*$H$9*($H$22*Quesería!$J$102+(1-$H$22)*Quesería!$E$102)*D306,0))*$H$10*$H$21</f>
        <v>237.405365023508</v>
      </c>
      <c r="E312" s="35" t="n">
        <f aca="false">IF(E$43&lt;=1,0,((($H$22*Quesería!$J$110+(1-$H$22)*Quesería!$E$106)-($H$22*Quesería!$J$99+(1-$H$22)*Quesería!$E$99)+$H$6*($H$22*Quesería!$J$99+(1-$H$22)*Quesería!$E$99)-(1-$H$9)*($H$22*Quesería!$J$102+(1-$H$22)*Quesería!$E$102))+($H$6*($H$22*Quesería!$J$99+(1-$H$22)*Quesería!$E$99)+$H$9*($H$22*Quesería!$J$102+(1-$H$22)*Quesería!$E$102))*(E306-1))*IF(E$43=2,Quesería!$B$12,1)+IF(E$43=2,Quesería!$B$14*$H$9*($H$22*Quesería!$J$102+(1-$H$22)*Quesería!$E$102)*E306,0))*$H$10*$H$21</f>
        <v>281.330326856445</v>
      </c>
      <c r="F312" s="35" t="n">
        <f aca="false">IF(F$43&lt;=1,0,((($H$22*Quesería!$J$110+(1-$H$22)*Quesería!$E$106)-($H$22*Quesería!$J$99+(1-$H$22)*Quesería!$E$99)+$H$6*($H$22*Quesería!$J$99+(1-$H$22)*Quesería!$E$99)-(1-$H$9)*($H$22*Quesería!$J$102+(1-$H$22)*Quesería!$E$102))+($H$6*($H$22*Quesería!$J$99+(1-$H$22)*Quesería!$E$99)+$H$9*($H$22*Quesería!$J$102+(1-$H$22)*Quesería!$E$102))*(F306-1))*IF(F$43=2,Quesería!$B$12,1)+IF(F$43=2,Quesería!$B$14*$H$9*($H$22*Quesería!$J$102+(1-$H$22)*Quesería!$E$102)*F306,0))*$H$10*$H$21</f>
        <v>281.852494524351</v>
      </c>
      <c r="G312" s="35" t="n">
        <f aca="false">IF(G$43&lt;=1,0,((($H$22*Quesería!$J$110+(1-$H$22)*Quesería!$E$106)-($H$22*Quesería!$J$99+(1-$H$22)*Quesería!$E$99)+$H$6*($H$22*Quesería!$J$99+(1-$H$22)*Quesería!$E$99)-(1-$H$9)*($H$22*Quesería!$J$102+(1-$H$22)*Quesería!$E$102))+($H$6*($H$22*Quesería!$J$99+(1-$H$22)*Quesería!$E$99)+$H$9*($H$22*Quesería!$J$102+(1-$H$22)*Quesería!$E$102))*(G306-1))*IF(G$43=2,Quesería!$B$12,1)+IF(G$43=2,Quesería!$B$14*$H$9*($H$22*Quesería!$J$102+(1-$H$22)*Quesería!$E$102)*G306,0))*$H$10*$H$21</f>
        <v>282.377273030595</v>
      </c>
      <c r="H312" s="35" t="n">
        <f aca="false">IF(H$43&lt;=1,0,((($H$22*Quesería!$J$110+(1-$H$22)*Quesería!$E$106)-($H$22*Quesería!$J$99+(1-$H$22)*Quesería!$E$99)+$H$6*($H$22*Quesería!$J$99+(1-$H$22)*Quesería!$E$99)-(1-$H$9)*($H$22*Quesería!$J$102+(1-$H$22)*Quesería!$E$102))+($H$6*($H$22*Quesería!$J$99+(1-$H$22)*Quesería!$E$99)+$H$9*($H$22*Quesería!$J$102+(1-$H$22)*Quesería!$E$102))*(H306-1))*IF(H$43=2,Quesería!$B$12,1)+IF(H$43=2,Quesería!$B$14*$H$9*($H$22*Quesería!$J$102+(1-$H$22)*Quesería!$E$102)*H306,0))*$H$10*$H$21</f>
        <v>282.904675429372</v>
      </c>
      <c r="I312" s="35" t="n">
        <f aca="false">IF(I$43&lt;=1,0,((($H$22*Quesería!$J$110+(1-$H$22)*Quesería!$E$106)-($H$22*Quesería!$J$99+(1-$H$22)*Quesería!$E$99)+$H$6*($H$22*Quesería!$J$99+(1-$H$22)*Quesería!$E$99)-(1-$H$9)*($H$22*Quesería!$J$102+(1-$H$22)*Quesería!$E$102))+($H$6*($H$22*Quesería!$J$99+(1-$H$22)*Quesería!$E$99)+$H$9*($H$22*Quesería!$J$102+(1-$H$22)*Quesería!$E$102))*(I306-1))*IF(I$43=2,Quesería!$B$12,1)+IF(I$43=2,Quesería!$B$14*$H$9*($H$22*Quesería!$J$102+(1-$H$22)*Quesería!$E$102)*I306,0))*$H$10*$H$21</f>
        <v>283.434714840142</v>
      </c>
      <c r="J312" s="35" t="n">
        <f aca="false">IF(J$43&lt;=1,0,((($H$22*Quesería!$J$110+(1-$H$22)*Quesería!$E$106)-($H$22*Quesería!$J$99+(1-$H$22)*Quesería!$E$99)+$H$6*($H$22*Quesería!$J$99+(1-$H$22)*Quesería!$E$99)-(1-$H$9)*($H$22*Quesería!$J$102+(1-$H$22)*Quesería!$E$102))+($H$6*($H$22*Quesería!$J$99+(1-$H$22)*Quesería!$E$99)+$H$9*($H$22*Quesería!$J$102+(1-$H$22)*Quesería!$E$102))*(J306-1))*IF(J$43=2,Quesería!$B$12,1)+IF(J$43=2,Quesería!$B$14*$H$9*($H$22*Quesería!$J$102+(1-$H$22)*Quesería!$E$102)*J306,0))*$H$10*$H$21</f>
        <v>283.967404447965</v>
      </c>
      <c r="K312" s="35" t="n">
        <f aca="false">IF(K$43&lt;=1,0,((($H$22*Quesería!$J$110+(1-$H$22)*Quesería!$E$106)-($H$22*Quesería!$J$99+(1-$H$22)*Quesería!$E$99)+$H$6*($H$22*Quesería!$J$99+(1-$H$22)*Quesería!$E$99)-(1-$H$9)*($H$22*Quesería!$J$102+(1-$H$22)*Quesería!$E$102))+($H$6*($H$22*Quesería!$J$99+(1-$H$22)*Quesería!$E$99)+$H$9*($H$22*Quesería!$J$102+(1-$H$22)*Quesería!$E$102))*(K306-1))*IF(K$43=2,Quesería!$B$12,1)+IF(K$43=2,Quesería!$B$14*$H$9*($H$22*Quesería!$J$102+(1-$H$22)*Quesería!$E$102)*K306,0))*$H$10*$H$21</f>
        <v>284.502757503828</v>
      </c>
      <c r="L312" s="35" t="n">
        <f aca="false">IF(L$43&lt;=1,0,((($H$22*Quesería!$J$110+(1-$H$22)*Quesería!$E$106)-($H$22*Quesería!$J$99+(1-$H$22)*Quesería!$E$99)+$H$6*($H$22*Quesería!$J$99+(1-$H$22)*Quesería!$E$99)-(1-$H$9)*($H$22*Quesería!$J$102+(1-$H$22)*Quesería!$E$102))+($H$6*($H$22*Quesería!$J$99+(1-$H$22)*Quesería!$E$99)+$H$9*($H$22*Quesería!$J$102+(1-$H$22)*Quesería!$E$102))*(L306-1))*IF(L$43=2,Quesería!$B$12,1)+IF(L$43=2,Quesería!$B$14*$H$9*($H$22*Quesería!$J$102+(1-$H$22)*Quesería!$E$102)*L306,0))*$H$10*$H$21</f>
        <v>285.040787324971</v>
      </c>
    </row>
    <row r="313" customFormat="false" ht="15" hidden="false" customHeight="false" outlineLevel="0" collapsed="false">
      <c r="A313" s="5" t="s">
        <v>287</v>
      </c>
      <c r="B313" s="10" t="n">
        <f aca="false">B311+B312</f>
        <v>54.7648478523167</v>
      </c>
      <c r="C313" s="10" t="n">
        <f aca="false">C311+C312</f>
        <v>164.598334311667</v>
      </c>
      <c r="D313" s="10" t="n">
        <f aca="false">D311+D312</f>
        <v>456.942396044096</v>
      </c>
      <c r="E313" s="10" t="n">
        <f aca="false">E311+E312</f>
        <v>500.940306075089</v>
      </c>
      <c r="F313" s="10" t="n">
        <f aca="false">F311+F312</f>
        <v>501.535786682041</v>
      </c>
      <c r="G313" s="10" t="n">
        <f aca="false">G311+G312</f>
        <v>502.134244692028</v>
      </c>
      <c r="H313" s="10" t="n">
        <f aca="false">H311+H312</f>
        <v>502.735694992065</v>
      </c>
      <c r="I313" s="10" t="n">
        <f aca="false">I311+I312</f>
        <v>503.340152543603</v>
      </c>
      <c r="J313" s="10" t="n">
        <f aca="false">J311+J312</f>
        <v>503.947632382897</v>
      </c>
      <c r="K313" s="10" t="n">
        <f aca="false">K311+K312</f>
        <v>504.558149621389</v>
      </c>
      <c r="L313" s="10" t="n">
        <f aca="false">L311+L312</f>
        <v>505.171719446072</v>
      </c>
    </row>
    <row r="314" customFormat="false" ht="15" hidden="false" customHeight="false" outlineLevel="0" collapsed="false">
      <c r="A314" s="6" t="s">
        <v>288</v>
      </c>
      <c r="B314" s="35" t="n">
        <f aca="false">(IF(B$43&gt;=1,(Quesería!$B$21+Quesería!$B$54)*Quesería!$F$82*$H$11+Quesería!$B$22+'Beneficios y costos'!$B$118,0)+IF(B$43&gt;=2,((Quesería!$B$21+Quesería!$B$54)*Quesería!$F$83*$H$11+'Beneficios y costos'!$C$118)*$H$21,0))*$H$12</f>
        <v>0</v>
      </c>
      <c r="C314" s="35" t="n">
        <f aca="false">(IF(C$43&gt;=1,(Quesería!$B$21+Quesería!$B$54)*Quesería!$F$82*$H$11+Quesería!$B$22+'Beneficios y costos'!$B$118,0)+IF(C$43&gt;=2,((Quesería!$B$21+Quesería!$B$54)*Quesería!$F$83*$H$11+'Beneficios y costos'!$C$118)*$H$21,0))*$H$12</f>
        <v>36.8921528634167</v>
      </c>
      <c r="D314" s="35" t="n">
        <f aca="false">(IF(D$43&gt;=1,(Quesería!$B$21+Quesería!$B$54)*Quesería!$F$82*$H$11+Quesería!$B$22+'Beneficios y costos'!$B$118,0)+IF(D$43&gt;=2,((Quesería!$B$21+Quesería!$B$54)*Quesería!$F$83*$H$11+'Beneficios y costos'!$C$118)*$H$21,0))*$H$12</f>
        <v>88.8065043646377</v>
      </c>
      <c r="E314" s="35" t="n">
        <f aca="false">(IF(E$43&gt;=1,(Quesería!$B$21+Quesería!$B$54)*Quesería!$F$82*$H$11+Quesería!$B$22+'Beneficios y costos'!$B$118,0)+IF(E$43&gt;=2,((Quesería!$B$21+Quesería!$B$54)*Quesería!$F$83*$H$11+'Beneficios y costos'!$C$118)*$H$21,0))*$H$12</f>
        <v>88.8065043646377</v>
      </c>
      <c r="F314" s="35" t="n">
        <f aca="false">(IF(F$43&gt;=1,(Quesería!$B$21+Quesería!$B$54)*Quesería!$F$82*$H$11+Quesería!$B$22+'Beneficios y costos'!$B$118,0)+IF(F$43&gt;=2,((Quesería!$B$21+Quesería!$B$54)*Quesería!$F$83*$H$11+'Beneficios y costos'!$C$118)*$H$21,0))*$H$12</f>
        <v>88.8065043646377</v>
      </c>
      <c r="G314" s="35" t="n">
        <f aca="false">(IF(G$43&gt;=1,(Quesería!$B$21+Quesería!$B$54)*Quesería!$F$82*$H$11+Quesería!$B$22+'Beneficios y costos'!$B$118,0)+IF(G$43&gt;=2,((Quesería!$B$21+Quesería!$B$54)*Quesería!$F$83*$H$11+'Beneficios y costos'!$C$118)*$H$21,0))*$H$12</f>
        <v>88.8065043646377</v>
      </c>
      <c r="H314" s="35" t="n">
        <f aca="false">(IF(H$43&gt;=1,(Quesería!$B$21+Quesería!$B$54)*Quesería!$F$82*$H$11+Quesería!$B$22+'Beneficios y costos'!$B$118,0)+IF(H$43&gt;=2,((Quesería!$B$21+Quesería!$B$54)*Quesería!$F$83*$H$11+'Beneficios y costos'!$C$118)*$H$21,0))*$H$12</f>
        <v>88.8065043646377</v>
      </c>
      <c r="I314" s="35" t="n">
        <f aca="false">(IF(I$43&gt;=1,(Quesería!$B$21+Quesería!$B$54)*Quesería!$F$82*$H$11+Quesería!$B$22+'Beneficios y costos'!$B$118,0)+IF(I$43&gt;=2,((Quesería!$B$21+Quesería!$B$54)*Quesería!$F$83*$H$11+'Beneficios y costos'!$C$118)*$H$21,0))*$H$12</f>
        <v>88.8065043646377</v>
      </c>
      <c r="J314" s="35" t="n">
        <f aca="false">(IF(J$43&gt;=1,(Quesería!$B$21+Quesería!$B$54)*Quesería!$F$82*$H$11+Quesería!$B$22+'Beneficios y costos'!$B$118,0)+IF(J$43&gt;=2,((Quesería!$B$21+Quesería!$B$54)*Quesería!$F$83*$H$11+'Beneficios y costos'!$C$118)*$H$21,0))*$H$12</f>
        <v>88.8065043646377</v>
      </c>
      <c r="K314" s="35" t="n">
        <f aca="false">(IF(K$43&gt;=1,(Quesería!$B$21+Quesería!$B$54)*Quesería!$F$82*$H$11+Quesería!$B$22+'Beneficios y costos'!$B$118,0)+IF(K$43&gt;=2,((Quesería!$B$21+Quesería!$B$54)*Quesería!$F$83*$H$11+'Beneficios y costos'!$C$118)*$H$21,0))*$H$12</f>
        <v>88.8065043646377</v>
      </c>
      <c r="L314" s="35" t="n">
        <f aca="false">(IF(L$43&gt;=1,(Quesería!$B$21+Quesería!$B$54)*Quesería!$F$82*$H$11+Quesería!$B$22+'Beneficios y costos'!$B$118,0)+IF(L$43&gt;=2,((Quesería!$B$21+Quesería!$B$54)*Quesería!$F$83*$H$11+'Beneficios y costos'!$C$118)*$H$21,0))*$H$12</f>
        <v>88.8065043646377</v>
      </c>
    </row>
    <row r="315" customFormat="false" ht="15" hidden="false" customHeight="false" outlineLevel="0" collapsed="false">
      <c r="A315" s="6" t="s">
        <v>289</v>
      </c>
      <c r="B315" s="35" t="n">
        <f aca="false">IF(B$43=1,2*Quesería!$B$33*Quesería!$B$34/12*B306,0)*$H$21</f>
        <v>0</v>
      </c>
      <c r="C315" s="35" t="n">
        <f aca="false">IF(C$43=1,2*Quesería!$B$33*Quesería!$B$34/12*C306,0)*$H$21</f>
        <v>18.5166509433962</v>
      </c>
      <c r="D315" s="35" t="n">
        <f aca="false">IF(D$43=1,2*Quesería!$B$33*Quesería!$B$34/12*D306,0)*$H$21</f>
        <v>0</v>
      </c>
      <c r="E315" s="35" t="n">
        <f aca="false">IF(E$43=1,2*Quesería!$B$33*Quesería!$B$34/12*E306,0)*$H$21</f>
        <v>0</v>
      </c>
      <c r="F315" s="35" t="n">
        <f aca="false">IF(F$43=1,2*Quesería!$B$33*Quesería!$B$34/12*F306,0)*$H$21</f>
        <v>0</v>
      </c>
      <c r="G315" s="35" t="n">
        <f aca="false">IF(G$43=1,2*Quesería!$B$33*Quesería!$B$34/12*G306,0)*$H$21</f>
        <v>0</v>
      </c>
      <c r="H315" s="35" t="n">
        <f aca="false">IF(H$43=1,2*Quesería!$B$33*Quesería!$B$34/12*H306,0)*$H$21</f>
        <v>0</v>
      </c>
      <c r="I315" s="35" t="n">
        <f aca="false">IF(I$43=1,2*Quesería!$B$33*Quesería!$B$34/12*I306,0)*$H$21</f>
        <v>0</v>
      </c>
      <c r="J315" s="35" t="n">
        <f aca="false">IF(J$43=1,2*Quesería!$B$33*Quesería!$B$34/12*J306,0)*$H$21</f>
        <v>0</v>
      </c>
      <c r="K315" s="35" t="n">
        <f aca="false">IF(K$43=1,2*Quesería!$B$33*Quesería!$B$34/12*K306,0)*$H$21</f>
        <v>0</v>
      </c>
      <c r="L315" s="35" t="n">
        <f aca="false">IF(L$43=1,2*Quesería!$B$33*Quesería!$B$34/12*L306,0)*$H$21</f>
        <v>0</v>
      </c>
    </row>
    <row r="316" customFormat="false" ht="15" hidden="false" customHeight="false" outlineLevel="0" collapsed="false">
      <c r="A316" s="6" t="s">
        <v>290</v>
      </c>
      <c r="B316" s="35" t="n">
        <f aca="false">Quesería!$B$45*(B308+B309+B310+B314+B315)</f>
        <v>2.88636599924197</v>
      </c>
      <c r="C316" s="35" t="n">
        <f aca="false">Quesería!$B$45*(C308+C309+C310+C314+C315)</f>
        <v>3.29312083686149</v>
      </c>
      <c r="D316" s="35" t="n">
        <f aca="false">Quesería!$B$45*(D308+D309+D310+D314+D315)</f>
        <v>0.355226017458551</v>
      </c>
      <c r="E316" s="35" t="n">
        <f aca="false">Quesería!$B$45*(E308+E309+E310+E314+E315)</f>
        <v>0.355226017458551</v>
      </c>
      <c r="F316" s="35" t="n">
        <f aca="false">Quesería!$B$45*(F308+F309+F310+F314+F315)</f>
        <v>0.355226017458551</v>
      </c>
      <c r="G316" s="35" t="n">
        <f aca="false">Quesería!$B$45*(G308+G309+G310+G314+G315)</f>
        <v>0.482159350791884</v>
      </c>
      <c r="H316" s="35" t="n">
        <f aca="false">Quesería!$B$45*(H308+H309+H310+H314+H315)</f>
        <v>0.523275690008284</v>
      </c>
      <c r="I316" s="35" t="n">
        <f aca="false">Quesería!$B$45*(I308+I309+I310+I314+I315)</f>
        <v>0.355226017458551</v>
      </c>
      <c r="J316" s="35" t="n">
        <f aca="false">Quesería!$B$45*(J308+J309+J310+J314+J315)</f>
        <v>0.355226017458551</v>
      </c>
      <c r="K316" s="35" t="n">
        <f aca="false">Quesería!$B$45*(K308+K309+K310+K314+K315)</f>
        <v>0.355226017458551</v>
      </c>
      <c r="L316" s="35" t="n">
        <f aca="false">Quesería!$B$45*(L308+L309+L310+L314+L315)</f>
        <v>0.355226017458551</v>
      </c>
    </row>
    <row r="317" customFormat="false" ht="15" hidden="false" customHeight="false" outlineLevel="0" collapsed="false">
      <c r="A317" s="6" t="s">
        <v>291</v>
      </c>
      <c r="B317" s="35" t="n">
        <f aca="false">(IF($H$19=1,(SUMPRODUCT((Quesería!$C$62:$C$77=0)*(Quesería!$J$62:$J$77&gt;0)*(B$43&gt;=1)*(B$43&lt;=Quesería!$J$62:$J$77)*(Quesería!$H$62:$H$77&gt;0)*Quesería!$F$62:$F$77*(1+Quesería!$I$62:$I$77)/(Quesería!$J$62:$J$77+(Quesería!$J$62:$J$77=0)))+SUMPRODUCT((Quesería!$C$62:$C$77=0)*(Quesería!$J$62:$J$77=0)*(B$43=0)*(Quesería!$H$62:$H$77&gt;0)*Quesería!$F$62:$F$77*(1+Quesería!$I$62:$I$77)))*$B$305+(SUMPRODUCT((Quesería!$C$62:$C$77=1)*(Quesería!$J$62:$J$77&gt;0)*(B$43&gt;=2)*(B$43&lt;=Quesería!$J$62:$J$77+1)*(Quesería!$H$62:$H$77&gt;0)*Quesería!$F$62:$F$77*(1+Quesería!$I$62:$I$77)/(Quesería!$J$62:$J$77+(Quesería!$J$62:$J$77=0)))+SUMPRODUCT((Quesería!$C$62:$C$77=1)*(Quesería!$J$62:$J$77=0)*(B$43=1)*(Quesería!$H$62:$H$77&gt;0)*Quesería!$F$62:$F$77*(1+Quesería!$I$62:$I$77)))*$C$305*$H$21,IF(AND(B$43&gt;=1,B$43&lt;=Quesería!$B$11),Quesería!$F$80/Quesería!$B$11,0)*$B$305+IF(AND(B$43&gt;=2,B$43&lt;=Quesería!$B$11+1),Quesería!$F$81/Quesería!$B$11,0)*$C$305*$H$21)*$H$11+IF(AND(B$43&gt;=6,B$43&lt;=10),$G309*$G305/5,0)+IF(AND(B$43&gt;=7,B$43&lt;=11),$H309*$H305/5,0))*B307</f>
        <v>99.3600691219113</v>
      </c>
      <c r="C317" s="35" t="n">
        <f aca="false">(IF($H$19=1,(SUMPRODUCT((Quesería!$C$62:$C$77=0)*(Quesería!$J$62:$J$77&gt;0)*(C$43&gt;=1)*(C$43&lt;=Quesería!$J$62:$J$77)*(Quesería!$H$62:$H$77&gt;0)*Quesería!$F$62:$F$77*(1+Quesería!$I$62:$I$77)/(Quesería!$J$62:$J$77+(Quesería!$J$62:$J$77=0)))+SUMPRODUCT((Quesería!$C$62:$C$77=0)*(Quesería!$J$62:$J$77=0)*(C$43=0)*(Quesería!$H$62:$H$77&gt;0)*Quesería!$F$62:$F$77*(1+Quesería!$I$62:$I$77)))*$B$305+(SUMPRODUCT((Quesería!$C$62:$C$77=1)*(Quesería!$J$62:$J$77&gt;0)*(C$43&gt;=2)*(C$43&lt;=Quesería!$J$62:$J$77+1)*(Quesería!$H$62:$H$77&gt;0)*Quesería!$F$62:$F$77*(1+Quesería!$I$62:$I$77)/(Quesería!$J$62:$J$77+(Quesería!$J$62:$J$77=0)))+SUMPRODUCT((Quesería!$C$62:$C$77=1)*(Quesería!$J$62:$J$77=0)*(C$43=1)*(Quesería!$H$62:$H$77&gt;0)*Quesería!$F$62:$F$77*(1+Quesería!$I$62:$I$77)))*$C$305*$H$21,IF(AND(C$43&gt;=1,C$43&lt;=Quesería!$B$11),Quesería!$F$80/Quesería!$B$11,0)*$B$305+IF(AND(C$43&gt;=2,C$43&lt;=Quesería!$B$11+1),Quesería!$F$81/Quesería!$B$11,0)*$C$305*$H$21)*$H$11+IF(AND(C$43&gt;=6,C$43&lt;=10),$G309*$G305/5,0)+IF(AND(C$43&gt;=7,C$43&lt;=11),$H309*$H305/5,0))*C307</f>
        <v>57.1000211302053</v>
      </c>
      <c r="D317" s="35" t="n">
        <f aca="false">(IF($H$19=1,(SUMPRODUCT((Quesería!$C$62:$C$77=0)*(Quesería!$J$62:$J$77&gt;0)*(D$43&gt;=1)*(D$43&lt;=Quesería!$J$62:$J$77)*(Quesería!$H$62:$H$77&gt;0)*Quesería!$F$62:$F$77*(1+Quesería!$I$62:$I$77)/(Quesería!$J$62:$J$77+(Quesería!$J$62:$J$77=0)))+SUMPRODUCT((Quesería!$C$62:$C$77=0)*(Quesería!$J$62:$J$77=0)*(D$43=0)*(Quesería!$H$62:$H$77&gt;0)*Quesería!$F$62:$F$77*(1+Quesería!$I$62:$I$77)))*$B$305+(SUMPRODUCT((Quesería!$C$62:$C$77=1)*(Quesería!$J$62:$J$77&gt;0)*(D$43&gt;=2)*(D$43&lt;=Quesería!$J$62:$J$77+1)*(Quesería!$H$62:$H$77&gt;0)*Quesería!$F$62:$F$77*(1+Quesería!$I$62:$I$77)/(Quesería!$J$62:$J$77+(Quesería!$J$62:$J$77=0)))+SUMPRODUCT((Quesería!$C$62:$C$77=1)*(Quesería!$J$62:$J$77=0)*(D$43=1)*(Quesería!$H$62:$H$77&gt;0)*Quesería!$F$62:$F$77*(1+Quesería!$I$62:$I$77)))*$C$305*$H$21,IF(AND(D$43&gt;=1,D$43&lt;=Quesería!$B$11),Quesería!$F$80/Quesería!$B$11,0)*$B$305+IF(AND(D$43&gt;=2,D$43&lt;=Quesería!$B$11+1),Quesería!$F$81/Quesería!$B$11,0)*$C$305*$H$21)*$H$11+IF(AND(D$43&gt;=6,D$43&lt;=10),$G309*$G305/5,0)+IF(AND(D$43&gt;=7,D$43&lt;=11),$H309*$H305/5,0))*D307</f>
        <v>116.389502380926</v>
      </c>
      <c r="E317" s="35" t="n">
        <f aca="false">(IF($H$19=1,(SUMPRODUCT((Quesería!$C$62:$C$77=0)*(Quesería!$J$62:$J$77&gt;0)*(E$43&gt;=1)*(E$43&lt;=Quesería!$J$62:$J$77)*(Quesería!$H$62:$H$77&gt;0)*Quesería!$F$62:$F$77*(1+Quesería!$I$62:$I$77)/(Quesería!$J$62:$J$77+(Quesería!$J$62:$J$77=0)))+SUMPRODUCT((Quesería!$C$62:$C$77=0)*(Quesería!$J$62:$J$77=0)*(E$43=0)*(Quesería!$H$62:$H$77&gt;0)*Quesería!$F$62:$F$77*(1+Quesería!$I$62:$I$77)))*$B$305+(SUMPRODUCT((Quesería!$C$62:$C$77=1)*(Quesería!$J$62:$J$77&gt;0)*(E$43&gt;=2)*(E$43&lt;=Quesería!$J$62:$J$77+1)*(Quesería!$H$62:$H$77&gt;0)*Quesería!$F$62:$F$77*(1+Quesería!$I$62:$I$77)/(Quesería!$J$62:$J$77+(Quesería!$J$62:$J$77=0)))+SUMPRODUCT((Quesería!$C$62:$C$77=1)*(Quesería!$J$62:$J$77=0)*(E$43=1)*(Quesería!$H$62:$H$77&gt;0)*Quesería!$F$62:$F$77*(1+Quesería!$I$62:$I$77)))*$C$305*$H$21,IF(AND(E$43&gt;=1,E$43&lt;=Quesería!$B$11),Quesería!$F$80/Quesería!$B$11,0)*$B$305+IF(AND(E$43&gt;=2,E$43&lt;=Quesería!$B$11+1),Quesería!$F$81/Quesería!$B$11,0)*$C$305*$H$21)*$H$11+IF(AND(E$43&gt;=6,E$43&lt;=10),$G309*$G305/5,0)+IF(AND(E$43&gt;=7,E$43&lt;=11),$H309*$H305/5,0))*E307</f>
        <v>111.912983058583</v>
      </c>
      <c r="F317" s="35" t="n">
        <f aca="false">(IF($H$19=1,(SUMPRODUCT((Quesería!$C$62:$C$77=0)*(Quesería!$J$62:$J$77&gt;0)*(F$43&gt;=1)*(F$43&lt;=Quesería!$J$62:$J$77)*(Quesería!$H$62:$H$77&gt;0)*Quesería!$F$62:$F$77*(1+Quesería!$I$62:$I$77)/(Quesería!$J$62:$J$77+(Quesería!$J$62:$J$77=0)))+SUMPRODUCT((Quesería!$C$62:$C$77=0)*(Quesería!$J$62:$J$77=0)*(F$43=0)*(Quesería!$H$62:$H$77&gt;0)*Quesería!$F$62:$F$77*(1+Quesería!$I$62:$I$77)))*$B$305+(SUMPRODUCT((Quesería!$C$62:$C$77=1)*(Quesería!$J$62:$J$77&gt;0)*(F$43&gt;=2)*(F$43&lt;=Quesería!$J$62:$J$77+1)*(Quesería!$H$62:$H$77&gt;0)*Quesería!$F$62:$F$77*(1+Quesería!$I$62:$I$77)/(Quesería!$J$62:$J$77+(Quesería!$J$62:$J$77=0)))+SUMPRODUCT((Quesería!$C$62:$C$77=1)*(Quesería!$J$62:$J$77=0)*(F$43=1)*(Quesería!$H$62:$H$77&gt;0)*Quesería!$F$62:$F$77*(1+Quesería!$I$62:$I$77)))*$C$305*$H$21,IF(AND(F$43&gt;=1,F$43&lt;=Quesería!$B$11),Quesería!$F$80/Quesería!$B$11,0)*$B$305+IF(AND(F$43&gt;=2,F$43&lt;=Quesería!$B$11+1),Quesería!$F$81/Quesería!$B$11,0)*$C$305*$H$21)*$H$11+IF(AND(F$43&gt;=6,F$43&lt;=10),$G309*$G305/5,0)+IF(AND(F$43&gt;=7,F$43&lt;=11),$H309*$H305/5,0))*F307</f>
        <v>107.608637556329</v>
      </c>
      <c r="G317" s="35" t="n">
        <f aca="false">(IF($H$19=1,(SUMPRODUCT((Quesería!$C$62:$C$77=0)*(Quesería!$J$62:$J$77&gt;0)*(G$43&gt;=1)*(G$43&lt;=Quesería!$J$62:$J$77)*(Quesería!$H$62:$H$77&gt;0)*Quesería!$F$62:$F$77*(1+Quesería!$I$62:$I$77)/(Quesería!$J$62:$J$77+(Quesería!$J$62:$J$77=0)))+SUMPRODUCT((Quesería!$C$62:$C$77=0)*(Quesería!$J$62:$J$77=0)*(G$43=0)*(Quesería!$H$62:$H$77&gt;0)*Quesería!$F$62:$F$77*(1+Quesería!$I$62:$I$77)))*$B$305+(SUMPRODUCT((Quesería!$C$62:$C$77=1)*(Quesería!$J$62:$J$77&gt;0)*(G$43&gt;=2)*(G$43&lt;=Quesería!$J$62:$J$77+1)*(Quesería!$H$62:$H$77&gt;0)*Quesería!$F$62:$F$77*(1+Quesería!$I$62:$I$77)/(Quesería!$J$62:$J$77+(Quesería!$J$62:$J$77=0)))+SUMPRODUCT((Quesería!$C$62:$C$77=1)*(Quesería!$J$62:$J$77=0)*(G$43=1)*(Quesería!$H$62:$H$77&gt;0)*Quesería!$F$62:$F$77*(1+Quesería!$I$62:$I$77)))*$C$305*$H$21,IF(AND(G$43&gt;=1,G$43&lt;=Quesería!$B$11),Quesería!$F$80/Quesería!$B$11,0)*$B$305+IF(AND(G$43&gt;=2,G$43&lt;=Quesería!$B$11+1),Quesería!$F$81/Quesería!$B$11,0)*$C$305*$H$21)*$H$11+IF(AND(G$43&gt;=6,G$43&lt;=10),$G309*$G305/5,0)+IF(AND(G$43&gt;=7,G$43&lt;=11),$H309*$H305/5,0))*G307</f>
        <v>103.469843804163</v>
      </c>
      <c r="H317" s="35" t="n">
        <f aca="false">(IF($H$19=1,(SUMPRODUCT((Quesería!$C$62:$C$77=0)*(Quesería!$J$62:$J$77&gt;0)*(H$43&gt;=1)*(H$43&lt;=Quesería!$J$62:$J$77)*(Quesería!$H$62:$H$77&gt;0)*Quesería!$F$62:$F$77*(1+Quesería!$I$62:$I$77)/(Quesería!$J$62:$J$77+(Quesería!$J$62:$J$77=0)))+SUMPRODUCT((Quesería!$C$62:$C$77=0)*(Quesería!$J$62:$J$77=0)*(H$43=0)*(Quesería!$H$62:$H$77&gt;0)*Quesería!$F$62:$F$77*(1+Quesería!$I$62:$I$77)))*$B$305+(SUMPRODUCT((Quesería!$C$62:$C$77=1)*(Quesería!$J$62:$J$77&gt;0)*(H$43&gt;=2)*(H$43&lt;=Quesería!$J$62:$J$77+1)*(Quesería!$H$62:$H$77&gt;0)*Quesería!$F$62:$F$77*(1+Quesería!$I$62:$I$77)/(Quesería!$J$62:$J$77+(Quesería!$J$62:$J$77=0)))+SUMPRODUCT((Quesería!$C$62:$C$77=1)*(Quesería!$J$62:$J$77=0)*(H$43=1)*(Quesería!$H$62:$H$77&gt;0)*Quesería!$F$62:$F$77*(1+Quesería!$I$62:$I$77)))*$C$305*$H$21,IF(AND(H$43&gt;=1,H$43&lt;=Quesería!$B$11),Quesería!$F$80/Quesería!$B$11,0)*$B$305+IF(AND(H$43&gt;=2,H$43&lt;=Quesería!$B$11+1),Quesería!$F$81/Quesería!$B$11,0)*$C$305*$H$21)*$H$11+IF(AND(H$43&gt;=6,H$43&lt;=10),$G309*$G305/5,0)+IF(AND(H$43&gt;=7,H$43&lt;=11),$H309*$H305/5,0))*H307</f>
        <v>92.6731239063542</v>
      </c>
      <c r="I317" s="35" t="n">
        <f aca="false">(IF($H$19=1,(SUMPRODUCT((Quesería!$C$62:$C$77=0)*(Quesería!$J$62:$J$77&gt;0)*(I$43&gt;=1)*(I$43&lt;=Quesería!$J$62:$J$77)*(Quesería!$H$62:$H$77&gt;0)*Quesería!$F$62:$F$77*(1+Quesería!$I$62:$I$77)/(Quesería!$J$62:$J$77+(Quesería!$J$62:$J$77=0)))+SUMPRODUCT((Quesería!$C$62:$C$77=0)*(Quesería!$J$62:$J$77=0)*(I$43=0)*(Quesería!$H$62:$H$77&gt;0)*Quesería!$F$62:$F$77*(1+Quesería!$I$62:$I$77)))*$B$305+(SUMPRODUCT((Quesería!$C$62:$C$77=1)*(Quesería!$J$62:$J$77&gt;0)*(I$43&gt;=2)*(I$43&lt;=Quesería!$J$62:$J$77+1)*(Quesería!$H$62:$H$77&gt;0)*Quesería!$F$62:$F$77*(1+Quesería!$I$62:$I$77)/(Quesería!$J$62:$J$77+(Quesería!$J$62:$J$77=0)))+SUMPRODUCT((Quesería!$C$62:$C$77=1)*(Quesería!$J$62:$J$77=0)*(I$43=1)*(Quesería!$H$62:$H$77&gt;0)*Quesería!$F$62:$F$77*(1+Quesería!$I$62:$I$77)))*$C$305*$H$21,IF(AND(I$43&gt;=1,I$43&lt;=Quesería!$B$11),Quesería!$F$80/Quesería!$B$11,0)*$B$305+IF(AND(I$43&gt;=2,I$43&lt;=Quesería!$B$11+1),Quesería!$F$81/Quesería!$B$11,0)*$C$305*$H$21)*$H$11+IF(AND(I$43&gt;=6,I$43&lt;=10),$G309*$G305/5,0)+IF(AND(I$43&gt;=7,I$43&lt;=11),$H309*$H305/5,0))*I307</f>
        <v>95.8981101131611</v>
      </c>
      <c r="J317" s="35" t="n">
        <f aca="false">(IF($H$19=1,(SUMPRODUCT((Quesería!$C$62:$C$77=0)*(Quesería!$J$62:$J$77&gt;0)*(J$43&gt;=1)*(J$43&lt;=Quesería!$J$62:$J$77)*(Quesería!$H$62:$H$77&gt;0)*Quesería!$F$62:$F$77*(1+Quesería!$I$62:$I$77)/(Quesería!$J$62:$J$77+(Quesería!$J$62:$J$77=0)))+SUMPRODUCT((Quesería!$C$62:$C$77=0)*(Quesería!$J$62:$J$77=0)*(J$43=0)*(Quesería!$H$62:$H$77&gt;0)*Quesería!$F$62:$F$77*(1+Quesería!$I$62:$I$77)))*$B$305+(SUMPRODUCT((Quesería!$C$62:$C$77=1)*(Quesería!$J$62:$J$77&gt;0)*(J$43&gt;=2)*(J$43&lt;=Quesería!$J$62:$J$77+1)*(Quesería!$H$62:$H$77&gt;0)*Quesería!$F$62:$F$77*(1+Quesería!$I$62:$I$77)/(Quesería!$J$62:$J$77+(Quesería!$J$62:$J$77=0)))+SUMPRODUCT((Quesería!$C$62:$C$77=1)*(Quesería!$J$62:$J$77=0)*(J$43=1)*(Quesería!$H$62:$H$77&gt;0)*Quesería!$F$62:$F$77*(1+Quesería!$I$62:$I$77)))*$C$305*$H$21,IF(AND(J$43&gt;=1,J$43&lt;=Quesería!$B$11),Quesería!$F$80/Quesería!$B$11,0)*$B$305+IF(AND(J$43&gt;=2,J$43&lt;=Quesería!$B$11+1),Quesería!$F$81/Quesería!$B$11,0)*$C$305*$H$21)*$H$11+IF(AND(J$43&gt;=6,J$43&lt;=10),$G309*$G305/5,0)+IF(AND(J$43&gt;=7,J$43&lt;=11),$H309*$H305/5,0))*J307</f>
        <v>92.2097212626549</v>
      </c>
      <c r="K317" s="35" t="n">
        <f aca="false">(IF($H$19=1,(SUMPRODUCT((Quesería!$C$62:$C$77=0)*(Quesería!$J$62:$J$77&gt;0)*(K$43&gt;=1)*(K$43&lt;=Quesería!$J$62:$J$77)*(Quesería!$H$62:$H$77&gt;0)*Quesería!$F$62:$F$77*(1+Quesería!$I$62:$I$77)/(Quesería!$J$62:$J$77+(Quesería!$J$62:$J$77=0)))+SUMPRODUCT((Quesería!$C$62:$C$77=0)*(Quesería!$J$62:$J$77=0)*(K$43=0)*(Quesería!$H$62:$H$77&gt;0)*Quesería!$F$62:$F$77*(1+Quesería!$I$62:$I$77)))*$B$305+(SUMPRODUCT((Quesería!$C$62:$C$77=1)*(Quesería!$J$62:$J$77&gt;0)*(K$43&gt;=2)*(K$43&lt;=Quesería!$J$62:$J$77+1)*(Quesería!$H$62:$H$77&gt;0)*Quesería!$F$62:$F$77*(1+Quesería!$I$62:$I$77)/(Quesería!$J$62:$J$77+(Quesería!$J$62:$J$77=0)))+SUMPRODUCT((Quesería!$C$62:$C$77=1)*(Quesería!$J$62:$J$77=0)*(K$43=1)*(Quesería!$H$62:$H$77&gt;0)*Quesería!$F$62:$F$77*(1+Quesería!$I$62:$I$77)))*$C$305*$H$21,IF(AND(K$43&gt;=1,K$43&lt;=Quesería!$B$11),Quesería!$F$80/Quesería!$B$11,0)*$B$305+IF(AND(K$43&gt;=2,K$43&lt;=Quesería!$B$11+1),Quesería!$F$81/Quesería!$B$11,0)*$C$305*$H$21)*$H$11+IF(AND(K$43&gt;=6,K$43&lt;=10),$G309*$G305/5,0)+IF(AND(K$43&gt;=7,K$43&lt;=11),$H309*$H305/5,0))*K307</f>
        <v>88.6631935217835</v>
      </c>
      <c r="L317" s="35" t="n">
        <f aca="false">(IF($H$19=1,(SUMPRODUCT((Quesería!$C$62:$C$77=0)*(Quesería!$J$62:$J$77&gt;0)*(L$43&gt;=1)*(L$43&lt;=Quesería!$J$62:$J$77)*(Quesería!$H$62:$H$77&gt;0)*Quesería!$F$62:$F$77*(1+Quesería!$I$62:$I$77)/(Quesería!$J$62:$J$77+(Quesería!$J$62:$J$77=0)))+SUMPRODUCT((Quesería!$C$62:$C$77=0)*(Quesería!$J$62:$J$77=0)*(L$43=0)*(Quesería!$H$62:$H$77&gt;0)*Quesería!$F$62:$F$77*(1+Quesería!$I$62:$I$77)))*$B$305+(SUMPRODUCT((Quesería!$C$62:$C$77=1)*(Quesería!$J$62:$J$77&gt;0)*(L$43&gt;=2)*(L$43&lt;=Quesería!$J$62:$J$77+1)*(Quesería!$H$62:$H$77&gt;0)*Quesería!$F$62:$F$77*(1+Quesería!$I$62:$I$77)/(Quesería!$J$62:$J$77+(Quesería!$J$62:$J$77=0)))+SUMPRODUCT((Quesería!$C$62:$C$77=1)*(Quesería!$J$62:$J$77=0)*(L$43=1)*(Quesería!$H$62:$H$77&gt;0)*Quesería!$F$62:$F$77*(1+Quesería!$I$62:$I$77)))*$C$305*$H$21,IF(AND(L$43&gt;=1,L$43&lt;=Quesería!$B$11),Quesería!$F$80/Quesería!$B$11,0)*$B$305+IF(AND(L$43&gt;=2,L$43&lt;=Quesería!$B$11+1),Quesería!$F$81/Quesería!$B$11,0)*$C$305*$H$21)*$H$11+IF(AND(L$43&gt;=6,L$43&lt;=10),$G309*$G305/5,0)+IF(AND(L$43&gt;=7,L$43&lt;=11),$H309*$H305/5,0))*L307</f>
        <v>85.2530706940226</v>
      </c>
    </row>
    <row r="318" customFormat="false" ht="15" hidden="false" customHeight="false" outlineLevel="0" collapsed="false">
      <c r="A318" s="9" t="s">
        <v>292</v>
      </c>
      <c r="B318" s="36" t="n">
        <f aca="false">IF(B$43=1,MIN($H$7*Quesería!$B$35*Quesería!$F$75*$H$11*$H$21,Quesería!$B$50*Quesería!$B$51),0)</f>
        <v>0</v>
      </c>
      <c r="C318" s="36" t="n">
        <f aca="false">IF(C$43=1,MIN($H$7*Quesería!$B$35*Quesería!$F$75*$H$11*$H$21,Quesería!$B$50*Quesería!$B$51),0)</f>
        <v>20</v>
      </c>
      <c r="D318" s="36" t="n">
        <f aca="false">IF(D$43=1,MIN($H$7*Quesería!$B$35*Quesería!$F$75*$H$11*$H$21,Quesería!$B$50*Quesería!$B$51),0)</f>
        <v>0</v>
      </c>
      <c r="E318" s="36" t="n">
        <f aca="false">IF(E$43=1,MIN($H$7*Quesería!$B$35*Quesería!$F$75*$H$11*$H$21,Quesería!$B$50*Quesería!$B$51),0)</f>
        <v>0</v>
      </c>
      <c r="F318" s="36" t="n">
        <f aca="false">IF(F$43=1,MIN($H$7*Quesería!$B$35*Quesería!$F$75*$H$11*$H$21,Quesería!$B$50*Quesería!$B$51),0)</f>
        <v>0</v>
      </c>
      <c r="G318" s="36" t="n">
        <f aca="false">IF(G$43=1,MIN($H$7*Quesería!$B$35*Quesería!$F$75*$H$11*$H$21,Quesería!$B$50*Quesería!$B$51),0)</f>
        <v>0</v>
      </c>
      <c r="H318" s="36" t="n">
        <f aca="false">IF(H$43=1,MIN($H$7*Quesería!$B$35*Quesería!$F$75*$H$11*$H$21,Quesería!$B$50*Quesería!$B$51),0)</f>
        <v>0</v>
      </c>
      <c r="I318" s="36" t="n">
        <f aca="false">IF(I$43=1,MIN($H$7*Quesería!$B$35*Quesería!$F$75*$H$11*$H$21,Quesería!$B$50*Quesería!$B$51),0)</f>
        <v>0</v>
      </c>
      <c r="J318" s="36" t="n">
        <f aca="false">IF(J$43=1,MIN($H$7*Quesería!$B$35*Quesería!$F$75*$H$11*$H$21,Quesería!$B$50*Quesería!$B$51),0)</f>
        <v>0</v>
      </c>
      <c r="K318" s="36" t="n">
        <f aca="false">IF(K$43=1,MIN($H$7*Quesería!$B$35*Quesería!$F$75*$H$11*$H$21,Quesería!$B$50*Quesería!$B$51),0)</f>
        <v>0</v>
      </c>
      <c r="L318" s="36" t="n">
        <f aca="false">IF(L$43=1,MIN($H$7*Quesería!$B$35*Quesería!$F$75*$H$11*$H$21,Quesería!$B$50*Quesería!$B$51),0)</f>
        <v>0</v>
      </c>
    </row>
    <row r="319" customFormat="false" ht="15" hidden="false" customHeight="false" outlineLevel="0" collapsed="false">
      <c r="A319" s="9" t="s">
        <v>293</v>
      </c>
      <c r="B319" s="36" t="n">
        <v>0</v>
      </c>
      <c r="C319" s="36" t="n">
        <f aca="false">$H$20*Quesería!$B$52*Quesería!$F$86*$H$11*$B$305/C305</f>
        <v>166.879881289715</v>
      </c>
      <c r="D319" s="36" t="n">
        <v>0</v>
      </c>
      <c r="E319" s="36" t="n">
        <v>0</v>
      </c>
      <c r="F319" s="36" t="n">
        <v>0</v>
      </c>
      <c r="G319" s="36" t="n">
        <v>0</v>
      </c>
      <c r="H319" s="36" t="n">
        <v>0</v>
      </c>
      <c r="I319" s="36" t="n">
        <v>0</v>
      </c>
      <c r="J319" s="36" t="n">
        <v>0</v>
      </c>
      <c r="K319" s="36" t="n">
        <v>0</v>
      </c>
      <c r="L319" s="36" t="n">
        <v>0</v>
      </c>
    </row>
    <row r="320" customFormat="false" ht="15" hidden="false" customHeight="false" outlineLevel="0" collapsed="false">
      <c r="A320" s="9" t="s">
        <v>294</v>
      </c>
      <c r="B320" s="36" t="n">
        <f aca="false">0</f>
        <v>0</v>
      </c>
      <c r="C320" s="36" t="n">
        <f aca="false">B310*B305/C305</f>
        <v>94.6170242743742</v>
      </c>
      <c r="D320" s="36" t="n">
        <f aca="false">C310*C305/D305</f>
        <v>117.321834287022</v>
      </c>
      <c r="E320" s="36" t="n">
        <f aca="false">D310*D305/E305</f>
        <v>0</v>
      </c>
      <c r="F320" s="36" t="n">
        <f aca="false">E310*E305/F305</f>
        <v>0</v>
      </c>
      <c r="G320" s="36" t="n">
        <f aca="false">F310*F305/G305</f>
        <v>0</v>
      </c>
      <c r="H320" s="36" t="n">
        <f aca="false">G310*G305/H305</f>
        <v>4.87179487179487</v>
      </c>
      <c r="I320" s="36" t="n">
        <f aca="false">H310*H305/I305</f>
        <v>6.44987026996795</v>
      </c>
      <c r="J320" s="36" t="n">
        <f aca="false">I310*I305/J305</f>
        <v>0</v>
      </c>
      <c r="K320" s="36" t="n">
        <f aca="false">J310*J305/K305</f>
        <v>0</v>
      </c>
      <c r="L320" s="36" t="n">
        <f aca="false">K310*K305/L305</f>
        <v>0</v>
      </c>
    </row>
    <row r="321" customFormat="false" ht="15" hidden="false" customHeight="false" outlineLevel="0" collapsed="false">
      <c r="A321" s="6" t="s">
        <v>86</v>
      </c>
      <c r="B321" s="35" t="n">
        <f aca="false">$H$17*(B313-B314-B315-0.5*B316-B317)-B318-B319-B320</f>
        <v>-16.1134414942255</v>
      </c>
      <c r="C321" s="35" t="n">
        <f aca="false">$H$17*(C313-C314-C315-0.5*C316-C317)-C318-C319-C320</f>
        <v>-263.841873429413</v>
      </c>
      <c r="D321" s="35" t="n">
        <f aca="false">$H$17*(D313-D314-D315-0.5*D316-D317)-D318-D319-D320</f>
        <v>-29.2727625855911</v>
      </c>
      <c r="E321" s="35" t="n">
        <f aca="false">$H$17*(E313-E314-E315-0.5*E316-E317)-E318-E319-E320</f>
        <v>105.015121975099</v>
      </c>
      <c r="F321" s="35" t="n">
        <f aca="false">$H$17*(F313-F314-F315-0.5*F316-F317)-F318-F319-F320</f>
        <v>106.730061113321</v>
      </c>
      <c r="G321" s="35" t="n">
        <f aca="false">$H$17*(G313-G314-G315-0.5*G316-G317)-G318-G319-G320</f>
        <v>108.365885896741</v>
      </c>
      <c r="H321" s="35" t="n">
        <f aca="false">$H$17*(H313-H314-H315-0.5*H316-H317)-H318-H319-H320</f>
        <v>107.476255234829</v>
      </c>
      <c r="I321" s="35" t="n">
        <f aca="false">$H$17*(I313-I314-I315-0.5*I316-I317)-I318-I319-I320</f>
        <v>105.010403500008</v>
      </c>
      <c r="J321" s="35" t="n">
        <f aca="false">$H$17*(J313-J314-J315-0.5*J316-J317)-J318-J319-J320</f>
        <v>112.963827811406</v>
      </c>
      <c r="K321" s="35" t="n">
        <f aca="false">$H$17*(K313-K314-K315-0.5*K316-K317)-K318-K319-K320</f>
        <v>114.418793554183</v>
      </c>
      <c r="L321" s="35" t="n">
        <f aca="false">$H$17*(L313-L314-L315-0.5*L316-L317)-L318-L319-L320</f>
        <v>115.827085982539</v>
      </c>
    </row>
    <row r="322" customFormat="false" ht="15" hidden="false" customHeight="false" outlineLevel="0" collapsed="false">
      <c r="A322" s="9" t="s">
        <v>295</v>
      </c>
      <c r="B322" s="36" t="n">
        <f aca="false">(IF(B$43&gt;=1,Quesería!$G$107*IF(B$43=1,Quesería!$B$12,1),Quesería!$G$107*Quesería!$B$12*Quesería!$B$13/12*$H$23)+IF(B$43&gt;=2,Quesería!$G$108*$H$21*IF(B$43=2,Quesería!$B$12,1),0))*$H$10</f>
        <v>32.2220299254678</v>
      </c>
      <c r="C322" s="36" t="n">
        <f aca="false">(IF(C$43&gt;=1,Quesería!$G$107*IF(C$43=1,Quesería!$B$12,1),Quesería!$G$107*Quesería!$B$12*Quesería!$B$13/12*$H$23)+IF(C$43&gt;=2,Quesería!$G$108*$H$21*IF(C$43=2,Quesería!$B$12,1),0))*$H$10</f>
        <v>96.6660897764033</v>
      </c>
      <c r="D322" s="36" t="n">
        <f aca="false">(IF(D$43&gt;=1,Quesería!$G$107*IF(D$43=1,Quesería!$B$12,1),Quesería!$G$107*Quesería!$B$12*Quesería!$B$13/12*$H$23)+IF(D$43&gt;=2,Quesería!$G$108*$H$21*IF(D$43=2,Quesería!$B$12,1),0))*$H$10</f>
        <v>227.581467685151</v>
      </c>
      <c r="E322" s="36" t="n">
        <f aca="false">(IF(E$43&gt;=1,Quesería!$G$107*IF(E$43=1,Quesería!$B$12,1),Quesería!$G$107*Quesería!$B$12*Quesería!$B$13/12*$H$23)+IF(E$43&gt;=2,Quesería!$G$108*$H$21*IF(E$43=2,Quesería!$B$12,1),0))*$H$10</f>
        <v>260.479250346244</v>
      </c>
      <c r="F322" s="36" t="n">
        <f aca="false">(IF(F$43&gt;=1,Quesería!$G$107*IF(F$43=1,Quesería!$B$12,1),Quesería!$G$107*Quesería!$B$12*Quesería!$B$13/12*$H$23)+IF(F$43&gt;=2,Quesería!$G$108*$H$21*IF(F$43=2,Quesería!$B$12,1),0))*$H$10</f>
        <v>260.479250346244</v>
      </c>
      <c r="G322" s="36" t="n">
        <f aca="false">(IF(G$43&gt;=1,Quesería!$G$107*IF(G$43=1,Quesería!$B$12,1),Quesería!$G$107*Quesería!$B$12*Quesería!$B$13/12*$H$23)+IF(G$43&gt;=2,Quesería!$G$108*$H$21*IF(G$43=2,Quesería!$B$12,1),0))*$H$10</f>
        <v>260.479250346244</v>
      </c>
      <c r="H322" s="36" t="n">
        <f aca="false">(IF(H$43&gt;=1,Quesería!$G$107*IF(H$43=1,Quesería!$B$12,1),Quesería!$G$107*Quesería!$B$12*Quesería!$B$13/12*$H$23)+IF(H$43&gt;=2,Quesería!$G$108*$H$21*IF(H$43=2,Quesería!$B$12,1),0))*$H$10</f>
        <v>260.479250346244</v>
      </c>
      <c r="I322" s="36" t="n">
        <f aca="false">(IF(I$43&gt;=1,Quesería!$G$107*IF(I$43=1,Quesería!$B$12,1),Quesería!$G$107*Quesería!$B$12*Quesería!$B$13/12*$H$23)+IF(I$43&gt;=2,Quesería!$G$108*$H$21*IF(I$43=2,Quesería!$B$12,1),0))*$H$10</f>
        <v>260.479250346244</v>
      </c>
      <c r="J322" s="36" t="n">
        <f aca="false">(IF(J$43&gt;=1,Quesería!$G$107*IF(J$43=1,Quesería!$B$12,1),Quesería!$G$107*Quesería!$B$12*Quesería!$B$13/12*$H$23)+IF(J$43&gt;=2,Quesería!$G$108*$H$21*IF(J$43=2,Quesería!$B$12,1),0))*$H$10</f>
        <v>260.479250346244</v>
      </c>
      <c r="K322" s="36" t="n">
        <f aca="false">(IF(K$43&gt;=1,Quesería!$G$107*IF(K$43=1,Quesería!$B$12,1),Quesería!$G$107*Quesería!$B$12*Quesería!$B$13/12*$H$23)+IF(K$43&gt;=2,Quesería!$G$108*$H$21*IF(K$43=2,Quesería!$B$12,1),0))*$H$10</f>
        <v>260.479250346244</v>
      </c>
      <c r="L322" s="36" t="n">
        <f aca="false">(IF(L$43&gt;=1,Quesería!$G$107*IF(L$43=1,Quesería!$B$12,1),Quesería!$G$107*Quesería!$B$12*Quesería!$B$13/12*$H$23)+IF(L$43&gt;=2,Quesería!$G$108*$H$21*IF(L$43=2,Quesería!$B$12,1),0))*$H$10</f>
        <v>260.479250346244</v>
      </c>
    </row>
    <row r="323" customFormat="false" ht="15" hidden="false" customHeight="false" outlineLevel="0" collapsed="false">
      <c r="A323" s="6" t="s">
        <v>296</v>
      </c>
      <c r="B323" s="35" t="n">
        <f aca="false">(B322*(Quesería!$B$23+Quesería!$B$25*Quesería!$B$24)/365-B314*Quesería!$B$26/365)</f>
        <v>3.01033211084507</v>
      </c>
      <c r="C323" s="35" t="n">
        <f aca="false">(C322*(Quesería!$B$23+Quesería!$B$25*Quesería!$B$24)/365-C314*Quesería!$B$26/365)-(B322*(Quesería!$B$23+Quesería!$B$25*Quesería!$B$24)/365-B314*Quesería!$B$26/365)*B305/C305</f>
        <v>3.94037675887996</v>
      </c>
      <c r="D323" s="35" t="n">
        <f aca="false">(D322*(Quesería!$B$23+Quesería!$B$25*Quesería!$B$24)/365-D314*Quesería!$B$26/365)-(C322*(Quesería!$B$23+Quesería!$B$25*Quesería!$B$24)/365-C314*Quesería!$B$26/365)*C305/D305</f>
        <v>9.39478003933487</v>
      </c>
      <c r="E323" s="35" t="n">
        <f aca="false">(E322*(Quesería!$B$23+Quesería!$B$25*Quesería!$B$24)/365-E314*Quesería!$B$26/365)-(D322*(Quesería!$B$23+Quesería!$B$25*Quesería!$B$24)/365-D314*Quesería!$B$26/365)*D305/E305</f>
        <v>3.68534868907976</v>
      </c>
      <c r="F323" s="35" t="n">
        <f aca="false">(F322*(Quesería!$B$23+Quesería!$B$25*Quesería!$B$24)/365-F314*Quesería!$B$26/365)-(E322*(Quesería!$B$23+Quesería!$B$25*Quesería!$B$24)/365-E314*Quesería!$B$26/365)*E305/F305</f>
        <v>0.730094767205998</v>
      </c>
      <c r="G323" s="35" t="n">
        <f aca="false">(G322*(Quesería!$B$23+Quesería!$B$25*Quesería!$B$24)/365-G314*Quesería!$B$26/365)-(F322*(Quesería!$B$23+Quesería!$B$25*Quesería!$B$24)/365-F314*Quesería!$B$26/365)*F305/G305</f>
        <v>0.730094767205994</v>
      </c>
      <c r="H323" s="35" t="n">
        <f aca="false">(H322*(Quesería!$B$23+Quesería!$B$25*Quesería!$B$24)/365-H314*Quesería!$B$26/365)-(G322*(Quesería!$B$23+Quesería!$B$25*Quesería!$B$24)/365-G314*Quesería!$B$26/365)*G305/H305</f>
        <v>0.730094767205998</v>
      </c>
      <c r="I323" s="35" t="n">
        <f aca="false">(I322*(Quesería!$B$23+Quesería!$B$25*Quesería!$B$24)/365-I314*Quesería!$B$26/365)-(H322*(Quesería!$B$23+Quesería!$B$25*Quesería!$B$24)/365-H314*Quesería!$B$26/365)*H305/I305</f>
        <v>0.730094767205994</v>
      </c>
      <c r="J323" s="35" t="n">
        <f aca="false">(J322*(Quesería!$B$23+Quesería!$B$25*Quesería!$B$24)/365-J314*Quesería!$B$26/365)-(I322*(Quesería!$B$23+Quesería!$B$25*Quesería!$B$24)/365-I314*Quesería!$B$26/365)*I305/J305</f>
        <v>0.730094767205998</v>
      </c>
      <c r="K323" s="35" t="n">
        <f aca="false">(K322*(Quesería!$B$23+Quesería!$B$25*Quesería!$B$24)/365-K314*Quesería!$B$26/365)-(J322*(Quesería!$B$23+Quesería!$B$25*Quesería!$B$24)/365-J314*Quesería!$B$26/365)*J305/K305</f>
        <v>0.730094767205998</v>
      </c>
      <c r="L323" s="35" t="n">
        <f aca="false">-(K322*(Quesería!$B$23+Quesería!$B$25*Quesería!$B$24)/365-K314*Quesería!$B$26/365)*K305/L305</f>
        <v>-18.2523691801499</v>
      </c>
    </row>
    <row r="324" customFormat="false" ht="15" hidden="false" customHeight="false" outlineLevel="0" collapsed="false">
      <c r="A324" s="6" t="s">
        <v>297</v>
      </c>
      <c r="B324" s="35" t="n">
        <v>0</v>
      </c>
      <c r="C324" s="35" t="n">
        <v>0</v>
      </c>
      <c r="D324" s="35" t="n">
        <v>0</v>
      </c>
      <c r="E324" s="35" t="n">
        <v>0</v>
      </c>
      <c r="F324" s="35" t="n">
        <v>0</v>
      </c>
      <c r="G324" s="35" t="n">
        <v>0</v>
      </c>
      <c r="H324" s="35" t="n">
        <v>0</v>
      </c>
      <c r="I324" s="35" t="n">
        <v>0</v>
      </c>
      <c r="J324" s="35" t="n">
        <v>0</v>
      </c>
      <c r="K324" s="35" t="n">
        <v>0</v>
      </c>
      <c r="L324" s="35" t="n">
        <f aca="false">$H$8*Quesería!$B$39*(Quesería!$F$82+Quesería!$F$83*$H$21)*$H$11*(1-$H$17)</f>
        <v>56.0502928201667</v>
      </c>
    </row>
    <row r="325" customFormat="false" ht="15" hidden="false" customHeight="false" outlineLevel="0" collapsed="false">
      <c r="A325" s="5" t="s">
        <v>298</v>
      </c>
      <c r="B325" s="37" t="n">
        <f aca="false">B313-B314-B315-B316-B321-B308-B309-B310-B323+B324</f>
        <v>-656.609908574039</v>
      </c>
      <c r="C325" s="37" t="n">
        <f aca="false">C313-C314-C315-C316-C321-C308-C309-C310-C323+C324</f>
        <v>-402.073499070034</v>
      </c>
      <c r="D325" s="37" t="n">
        <f aca="false">D313-D314-D315-D316-D321-D308-D309-D310-D323+D324</f>
        <v>387.658648208256</v>
      </c>
      <c r="E325" s="37" t="n">
        <f aca="false">E313-E314-E315-E316-E321-E308-E309-E310-E323+E324</f>
        <v>303.078105028814</v>
      </c>
      <c r="F325" s="37" t="n">
        <f aca="false">F313-F314-F315-F316-F321-F308-F309-F310-F323+F324</f>
        <v>304.913900419418</v>
      </c>
      <c r="G325" s="37" t="n">
        <f aca="false">G313-G314-G315-G316-G321-G308-G309-G310-G323+G324</f>
        <v>272.016266979318</v>
      </c>
      <c r="H325" s="37" t="n">
        <f aca="false">H313-H314-H315-H316-H321-H308-H309-H310-H323+H324</f>
        <v>263.187146797951</v>
      </c>
      <c r="I325" s="37" t="n">
        <f aca="false">I313-I314-I315-I316-I321-I308-I309-I310-I323+I324</f>
        <v>308.437923894292</v>
      </c>
      <c r="J325" s="37" t="n">
        <f aca="false">J313-J314-J315-J316-J321-J308-J309-J310-J323+J324</f>
        <v>301.091979422189</v>
      </c>
      <c r="K325" s="37" t="n">
        <f aca="false">K313-K314-K315-K316-K321-K308-K309-K310-K323+K324</f>
        <v>300.247530917903</v>
      </c>
      <c r="L325" s="37" t="n">
        <f aca="false">L313-L314-L315-L316-L321-L308-L309-L310-L323+L324</f>
        <v>374.485565081754</v>
      </c>
    </row>
    <row r="326" customFormat="false" ht="15" hidden="false" customHeight="false" outlineLevel="0" collapsed="false">
      <c r="A326" s="9" t="s">
        <v>299</v>
      </c>
      <c r="B326" s="36" t="n">
        <f aca="false">B325*B305</f>
        <v>-696.006503088481</v>
      </c>
      <c r="C326" s="36" t="n">
        <f aca="false">C325*C305</f>
        <v>-447.507804464948</v>
      </c>
      <c r="D326" s="36" t="n">
        <f aca="false">D325*D305</f>
        <v>450.879958851299</v>
      </c>
      <c r="E326" s="36" t="n">
        <f aca="false">E325*E305</f>
        <v>366.605821698936</v>
      </c>
      <c r="F326" s="36" t="n">
        <f aca="false">F325*F305</f>
        <v>383.579471833056</v>
      </c>
      <c r="G326" s="36" t="n">
        <f aca="false">G325*G305</f>
        <v>355.882267451172</v>
      </c>
      <c r="H326" s="36" t="n">
        <f aca="false">H325*H305</f>
        <v>358.104260421027</v>
      </c>
      <c r="I326" s="36" t="n">
        <f aca="false">I325*I305</f>
        <v>436.461481513867</v>
      </c>
      <c r="J326" s="36" t="n">
        <f aca="false">J325*J305</f>
        <v>443.10910844353</v>
      </c>
      <c r="K326" s="36" t="n">
        <f aca="false">K325*K305</f>
        <v>459.541010133938</v>
      </c>
      <c r="L326" s="36" t="n">
        <f aca="false">L325*L305</f>
        <v>596.091942223215</v>
      </c>
    </row>
    <row r="327" customFormat="false" ht="15" hidden="false" customHeight="false" outlineLevel="0" collapsed="false">
      <c r="A327" s="6" t="s">
        <v>300</v>
      </c>
      <c r="B327" s="35" t="n">
        <f aca="false">B325</f>
        <v>-656.609908574039</v>
      </c>
      <c r="C327" s="35" t="n">
        <f aca="false">B327+C325</f>
        <v>-1058.68340764407</v>
      </c>
      <c r="D327" s="35" t="n">
        <f aca="false">C327+D325</f>
        <v>-671.024759435817</v>
      </c>
      <c r="E327" s="35" t="n">
        <f aca="false">D327+E325</f>
        <v>-367.946654407002</v>
      </c>
      <c r="F327" s="35" t="n">
        <f aca="false">E327+F325</f>
        <v>-63.032753987584</v>
      </c>
      <c r="G327" s="35" t="n">
        <f aca="false">F327+G325</f>
        <v>208.983512991734</v>
      </c>
      <c r="H327" s="35" t="n">
        <f aca="false">G327+H325</f>
        <v>472.170659789685</v>
      </c>
      <c r="I327" s="35" t="n">
        <f aca="false">H327+I325</f>
        <v>780.608583683977</v>
      </c>
      <c r="J327" s="35" t="n">
        <f aca="false">I327+J325</f>
        <v>1081.70056310617</v>
      </c>
      <c r="K327" s="35" t="n">
        <f aca="false">J327+K325</f>
        <v>1381.94809402407</v>
      </c>
      <c r="L327" s="35" t="n">
        <f aca="false">K327+L325</f>
        <v>1756.43365910582</v>
      </c>
    </row>
    <row r="328" customFormat="false" ht="15" hidden="false" customHeight="false" outlineLevel="0" collapsed="false">
      <c r="A328" s="9" t="s">
        <v>301</v>
      </c>
      <c r="B328" s="38" t="n">
        <v>0</v>
      </c>
      <c r="C328" s="38" t="n">
        <f aca="false">IF(AND(B327&lt;0,C327&gt;=0),B$43+(-B327)/C325,0)</f>
        <v>0</v>
      </c>
      <c r="D328" s="38" t="n">
        <f aca="false">IF(AND(C327&lt;0,D327&gt;=0),C$43+(-C327)/D325,0)</f>
        <v>0</v>
      </c>
      <c r="E328" s="38" t="n">
        <f aca="false">IF(AND(D327&lt;0,E327&gt;=0),D$43+(-D327)/E325,0)</f>
        <v>0</v>
      </c>
      <c r="F328" s="38" t="n">
        <f aca="false">IF(AND(E327&lt;0,F327&gt;=0),E$43+(-E327)/F325,0)</f>
        <v>0</v>
      </c>
      <c r="G328" s="38" t="n">
        <f aca="false">IF(AND(F327&lt;0,G327&gt;=0),F$43+(-F327)/G325,0)</f>
        <v>4.23172420784812</v>
      </c>
      <c r="H328" s="38" t="n">
        <f aca="false">IF(AND(G327&lt;0,H327&gt;=0),G$43+(-G327)/H325,0)</f>
        <v>0</v>
      </c>
      <c r="I328" s="38" t="n">
        <f aca="false">IF(AND(H327&lt;0,I327&gt;=0),H$43+(-H327)/I325,0)</f>
        <v>0</v>
      </c>
      <c r="J328" s="38" t="n">
        <f aca="false">IF(AND(I327&lt;0,J327&gt;=0),I$43+(-I327)/J325,0)</f>
        <v>0</v>
      </c>
      <c r="K328" s="38" t="n">
        <f aca="false">IF(AND(J327&lt;0,K327&gt;=0),J$43+(-J327)/K325,0)</f>
        <v>0</v>
      </c>
      <c r="L328" s="38" t="n">
        <f aca="false">IF(AND(K327&lt;0,L327&gt;=0),K$43+(-K327)/L325,0)</f>
        <v>0</v>
      </c>
    </row>
    <row r="329" customFormat="false" ht="15" hidden="false" customHeight="false" outlineLevel="0" collapsed="false">
      <c r="A329" s="9" t="s">
        <v>302</v>
      </c>
      <c r="B329" s="34" t="n">
        <f aca="false">(B305/$B$305)/(1+$H$25)^B$43</f>
        <v>1</v>
      </c>
      <c r="C329" s="34" t="n">
        <f aca="false">(C305/$B$305)/(1+$H$25)^C$43</f>
        <v>0.921735848062819</v>
      </c>
      <c r="D329" s="34" t="n">
        <f aca="false">(D305/$B$305)/(1+$H$25)^D$43</f>
        <v>0.845551273729778</v>
      </c>
      <c r="E329" s="34" t="n">
        <f aca="false">(E305/$B$305)/(1+$H$25)^E$43</f>
        <v>0.771952302082657</v>
      </c>
      <c r="F329" s="34" t="n">
        <f aca="false">(F305/$B$305)/(1+$H$25)^F$43</f>
        <v>0.704759575444925</v>
      </c>
      <c r="G329" s="34" t="n">
        <f aca="false">(G305/$B$305)/(1+$H$25)^G$43</f>
        <v>0.643415477667852</v>
      </c>
      <c r="H329" s="34" t="n">
        <f aca="false">(H305/$B$305)/(1+$H$25)^H$43</f>
        <v>0.587410928955732</v>
      </c>
      <c r="I329" s="34" t="n">
        <f aca="false">(I305/$B$305)/(1+$H$25)^I$43</f>
        <v>0.536281161136071</v>
      </c>
      <c r="J329" s="34" t="n">
        <f aca="false">(J305/$B$305)/(1+$H$25)^J$43</f>
        <v>0.489601860661204</v>
      </c>
      <c r="K329" s="34" t="n">
        <f aca="false">(K305/$B$305)/(1+$H$25)^K$43</f>
        <v>0.446985647333025</v>
      </c>
      <c r="L329" s="34" t="n">
        <f aca="false">(L305/$B$305)/(1+$H$25)^L$43</f>
        <v>0.408078859528639</v>
      </c>
    </row>
    <row r="330" customFormat="false" ht="15" hidden="false" customHeight="false" outlineLevel="0" collapsed="false">
      <c r="A330" s="9" t="s">
        <v>303</v>
      </c>
      <c r="B330" s="36" t="n">
        <f aca="false">B325*B329</f>
        <v>-656.609908574039</v>
      </c>
      <c r="C330" s="36" t="n">
        <f aca="false">C325*C329</f>
        <v>-370.605557648902</v>
      </c>
      <c r="D330" s="36" t="n">
        <f aca="false">D325*D329</f>
        <v>327.785263764855</v>
      </c>
      <c r="E330" s="36" t="n">
        <f aca="false">E325*E329</f>
        <v>233.961840887843</v>
      </c>
      <c r="F330" s="36" t="n">
        <f aca="false">F325*F329</f>
        <v>214.890991006845</v>
      </c>
      <c r="G330" s="36" t="n">
        <f aca="false">G325*G329</f>
        <v>175.019476351924</v>
      </c>
      <c r="H330" s="36" t="n">
        <f aca="false">H325*H329</f>
        <v>154.599006389793</v>
      </c>
      <c r="I330" s="36" t="n">
        <f aca="false">I325*I329</f>
        <v>165.40944796443</v>
      </c>
      <c r="J330" s="36" t="n">
        <f aca="false">J325*J329</f>
        <v>147.415193355268</v>
      </c>
      <c r="K330" s="36" t="n">
        <f aca="false">K325*K329</f>
        <v>134.206336967481</v>
      </c>
      <c r="L330" s="36" t="n">
        <f aca="false">L325*L329</f>
        <v>152.8196423085</v>
      </c>
    </row>
    <row r="331" customFormat="false" ht="15" hidden="false" customHeight="false" outlineLevel="0" collapsed="false">
      <c r="A331" s="9" t="s">
        <v>304</v>
      </c>
      <c r="B331" s="36" t="n">
        <f aca="false">B330</f>
        <v>-656.609908574039</v>
      </c>
      <c r="C331" s="36" t="n">
        <f aca="false">B331+C330</f>
        <v>-1027.21546622294</v>
      </c>
      <c r="D331" s="36" t="n">
        <f aca="false">C331+D330</f>
        <v>-699.430202458086</v>
      </c>
      <c r="E331" s="36" t="n">
        <f aca="false">D331+E330</f>
        <v>-465.468361570244</v>
      </c>
      <c r="F331" s="36" t="n">
        <f aca="false">E331+F330</f>
        <v>-250.577370563398</v>
      </c>
      <c r="G331" s="36" t="n">
        <f aca="false">F331+G330</f>
        <v>-75.5578942114743</v>
      </c>
      <c r="H331" s="36" t="n">
        <f aca="false">G331+H330</f>
        <v>79.0411121783184</v>
      </c>
      <c r="I331" s="36" t="n">
        <f aca="false">H331+I330</f>
        <v>244.450560142748</v>
      </c>
      <c r="J331" s="36" t="n">
        <f aca="false">I331+J330</f>
        <v>391.865753498017</v>
      </c>
      <c r="K331" s="36" t="n">
        <f aca="false">J331+K330</f>
        <v>526.072090465498</v>
      </c>
      <c r="L331" s="36" t="n">
        <f aca="false">K331+L330</f>
        <v>678.891732773998</v>
      </c>
    </row>
    <row r="332" customFormat="false" ht="15" hidden="false" customHeight="false" outlineLevel="0" collapsed="false">
      <c r="A332" s="9" t="s">
        <v>305</v>
      </c>
      <c r="B332" s="38" t="n">
        <v>0</v>
      </c>
      <c r="C332" s="38" t="n">
        <f aca="false">IF(AND(B331&lt;0,C331&gt;=0),B$43+(-B331)/C330,0)</f>
        <v>0</v>
      </c>
      <c r="D332" s="38" t="n">
        <f aca="false">IF(AND(C331&lt;0,D331&gt;=0),C$43+(-C331)/D330,0)</f>
        <v>0</v>
      </c>
      <c r="E332" s="38" t="n">
        <f aca="false">IF(AND(D331&lt;0,E331&gt;=0),D$43+(-D331)/E330,0)</f>
        <v>0</v>
      </c>
      <c r="F332" s="38" t="n">
        <f aca="false">IF(AND(E331&lt;0,F331&gt;=0),E$43+(-E331)/F330,0)</f>
        <v>0</v>
      </c>
      <c r="G332" s="38" t="n">
        <f aca="false">IF(AND(F331&lt;0,G331&gt;=0),F$43+(-F331)/G330,0)</f>
        <v>0</v>
      </c>
      <c r="H332" s="38" t="n">
        <f aca="false">IF(AND(G331&lt;0,H331&gt;=0),G$43+(-G331)/H330,0)</f>
        <v>5.48873466897303</v>
      </c>
      <c r="I332" s="38" t="n">
        <f aca="false">IF(AND(H331&lt;0,I331&gt;=0),H$43+(-H331)/I330,0)</f>
        <v>0</v>
      </c>
      <c r="J332" s="38" t="n">
        <f aca="false">IF(AND(I331&lt;0,J331&gt;=0),I$43+(-I331)/J330,0)</f>
        <v>0</v>
      </c>
      <c r="K332" s="38" t="n">
        <f aca="false">IF(AND(J331&lt;0,K331&gt;=0),J$43+(-J331)/K330,0)</f>
        <v>0</v>
      </c>
      <c r="L332" s="38" t="n">
        <f aca="false">IF(AND(K331&lt;0,L331&gt;=0),K$43+(-K331)/L330,0)</f>
        <v>0</v>
      </c>
    </row>
    <row r="333" customFormat="false" ht="15" hidden="false" customHeight="false" outlineLevel="0" collapsed="false">
      <c r="A333" s="9" t="s">
        <v>306</v>
      </c>
      <c r="B333" s="36" t="n">
        <f aca="false">IF(B$43&lt;0,0,(Quesería!$B$40*$B$308*$B$305)*(1-MAX(0,MIN(B$43-0-Quesería!$B$43,(Quesería!$B$42-Quesería!$B$43)))/(Quesería!$B$42-Quesería!$B$43)))+IF(B$43&lt;1,0,(Quesería!$B$40*$C$308*$C$305)*(1-MAX(0,MIN(B$43-1-Quesería!$B$43,(Quesería!$B$42-Quesería!$B$43)))/(Quesería!$B$42-Quesería!$B$43)))</f>
        <v>461.704769247221</v>
      </c>
      <c r="C333" s="36" t="n">
        <f aca="false">IF(C$43&lt;0,0,(Quesería!$B$40*$B$308*$B$305)*(1-MAX(0,MIN(C$43-0-Quesería!$B$43,(Quesería!$B$42-Quesería!$B$43)))/(Quesería!$B$42-Quesería!$B$43)))+IF(C$43&lt;1,0,(Quesería!$B$40*$C$308*$C$305)*(1-MAX(0,MIN(C$43-1-Quesería!$B$43,(Quesería!$B$42-Quesería!$B$43)))/(Quesería!$B$42-Quesería!$B$43)))</f>
        <v>964.434695258825</v>
      </c>
      <c r="D333" s="36" t="n">
        <f aca="false">IF(D$43&lt;0,0,(Quesería!$B$40*$B$308*$B$305)*(1-MAX(0,MIN(D$43-0-Quesería!$B$43,(Quesería!$B$42-Quesería!$B$43)))/(Quesería!$B$42-Quesería!$B$43)))+IF(D$43&lt;1,0,(Quesería!$B$40*$C$308*$C$305)*(1-MAX(0,MIN(D$43-1-Quesería!$B$43,(Quesería!$B$42-Quesería!$B$43)))/(Quesería!$B$42-Quesería!$B$43)))</f>
        <v>887.483900384289</v>
      </c>
      <c r="E333" s="36" t="n">
        <f aca="false">IF(E$43&lt;0,0,(Quesería!$B$40*$B$308*$B$305)*(1-MAX(0,MIN(E$43-0-Quesería!$B$43,(Quesería!$B$42-Quesería!$B$43)))/(Quesería!$B$42-Quesería!$B$43)))+IF(E$43&lt;1,0,(Quesería!$B$40*$C$308*$C$305)*(1-MAX(0,MIN(E$43-1-Quesería!$B$43,(Quesería!$B$42-Quesería!$B$43)))/(Quesería!$B$42-Quesería!$B$43)))</f>
        <v>726.744784507818</v>
      </c>
      <c r="F333" s="36" t="n">
        <f aca="false">IF(F$43&lt;0,0,(Quesería!$B$40*$B$308*$B$305)*(1-MAX(0,MIN(F$43-0-Quesería!$B$43,(Quesería!$B$42-Quesería!$B$43)))/(Quesería!$B$42-Quesería!$B$43)))+IF(F$43&lt;1,0,(Quesería!$B$40*$C$308*$C$305)*(1-MAX(0,MIN(F$43-1-Quesería!$B$43,(Quesería!$B$42-Quesería!$B$43)))/(Quesería!$B$42-Quesería!$B$43)))</f>
        <v>566.005668631347</v>
      </c>
      <c r="G333" s="36" t="n">
        <f aca="false">IF(G$43&lt;0,0,(Quesería!$B$40*$B$308*$B$305)*(1-MAX(0,MIN(G$43-0-Quesería!$B$43,(Quesería!$B$42-Quesería!$B$43)))/(Quesería!$B$42-Quesería!$B$43)))+IF(G$43&lt;1,0,(Quesería!$B$40*$C$308*$C$305)*(1-MAX(0,MIN(G$43-1-Quesería!$B$43,(Quesería!$B$42-Quesería!$B$43)))/(Quesería!$B$42-Quesería!$B$43)))</f>
        <v>405.266552754876</v>
      </c>
      <c r="H333" s="36" t="n">
        <f aca="false">IF(H$43&lt;0,0,(Quesería!$B$40*$B$308*$B$305)*(1-MAX(0,MIN(H$43-0-Quesería!$B$43,(Quesería!$B$42-Quesería!$B$43)))/(Quesería!$B$42-Quesería!$B$43)))+IF(H$43&lt;1,0,(Quesería!$B$40*$C$308*$C$305)*(1-MAX(0,MIN(H$43-1-Quesería!$B$43,(Quesería!$B$42-Quesería!$B$43)))/(Quesería!$B$42-Quesería!$B$43)))</f>
        <v>244.527436878405</v>
      </c>
      <c r="I333" s="36" t="n">
        <f aca="false">IF(I$43&lt;0,0,(Quesería!$B$40*$B$308*$B$305)*(1-MAX(0,MIN(I$43-0-Quesería!$B$43,(Quesería!$B$42-Quesería!$B$43)))/(Quesería!$B$42-Quesería!$B$43)))+IF(I$43&lt;1,0,(Quesería!$B$40*$C$308*$C$305)*(1-MAX(0,MIN(I$43-1-Quesería!$B$43,(Quesería!$B$42-Quesería!$B$43)))/(Quesería!$B$42-Quesería!$B$43)))</f>
        <v>83.788321001934</v>
      </c>
      <c r="J333" s="36" t="n">
        <f aca="false">IF(J$43&lt;0,0,(Quesería!$B$40*$B$308*$B$305)*(1-MAX(0,MIN(J$43-0-Quesería!$B$43,(Quesería!$B$42-Quesería!$B$43)))/(Quesería!$B$42-Quesería!$B$43)))+IF(J$43&lt;1,0,(Quesería!$B$40*$C$308*$C$305)*(1-MAX(0,MIN(J$43-1-Quesería!$B$43,(Quesería!$B$42-Quesería!$B$43)))/(Quesería!$B$42-Quesería!$B$43)))</f>
        <v>0</v>
      </c>
      <c r="K333" s="36" t="n">
        <f aca="false">IF(K$43&lt;0,0,(Quesería!$B$40*$B$308*$B$305)*(1-MAX(0,MIN(K$43-0-Quesería!$B$43,(Quesería!$B$42-Quesería!$B$43)))/(Quesería!$B$42-Quesería!$B$43)))+IF(K$43&lt;1,0,(Quesería!$B$40*$C$308*$C$305)*(1-MAX(0,MIN(K$43-1-Quesería!$B$43,(Quesería!$B$42-Quesería!$B$43)))/(Quesería!$B$42-Quesería!$B$43)))</f>
        <v>0</v>
      </c>
      <c r="L333" s="36" t="n">
        <f aca="false">IF(L$43&lt;0,0,(Quesería!$B$40*$B$308*$B$305)*(1-MAX(0,MIN(L$43-0-Quesería!$B$43,(Quesería!$B$42-Quesería!$B$43)))/(Quesería!$B$42-Quesería!$B$43)))+IF(L$43&lt;1,0,(Quesería!$B$40*$C$308*$C$305)*(1-MAX(0,MIN(L$43-1-Quesería!$B$43,(Quesería!$B$42-Quesería!$B$43)))/(Quesería!$B$42-Quesería!$B$43)))</f>
        <v>0</v>
      </c>
    </row>
    <row r="334" customFormat="false" ht="15" hidden="false" customHeight="false" outlineLevel="0" collapsed="false">
      <c r="A334" s="6" t="s">
        <v>307</v>
      </c>
      <c r="B334" s="35" t="n">
        <f aca="false">Quesería!$B$40*B308</f>
        <v>435.57053702568</v>
      </c>
      <c r="C334" s="35" t="n">
        <f aca="false">Quesería!$B$40*C308</f>
        <v>451.689062005035</v>
      </c>
      <c r="D334" s="35" t="n">
        <f aca="false">Quesería!$B$40*D308</f>
        <v>0</v>
      </c>
      <c r="E334" s="35" t="n">
        <f aca="false">Quesería!$B$40*E308</f>
        <v>0</v>
      </c>
      <c r="F334" s="35" t="n">
        <f aca="false">Quesería!$B$40*F308</f>
        <v>0</v>
      </c>
      <c r="G334" s="35" t="n">
        <f aca="false">Quesería!$B$40*G308</f>
        <v>0</v>
      </c>
      <c r="H334" s="35" t="n">
        <f aca="false">Quesería!$B$40*H308</f>
        <v>0</v>
      </c>
      <c r="I334" s="35" t="n">
        <f aca="false">Quesería!$B$40*I308</f>
        <v>0</v>
      </c>
      <c r="J334" s="35" t="n">
        <f aca="false">Quesería!$B$40*J308</f>
        <v>0</v>
      </c>
      <c r="K334" s="35" t="n">
        <f aca="false">Quesería!$B$40*K308</f>
        <v>0</v>
      </c>
      <c r="L334" s="35" t="n">
        <f aca="false">Quesería!$B$40*L308</f>
        <v>0</v>
      </c>
    </row>
    <row r="335" customFormat="false" ht="15" hidden="false" customHeight="false" outlineLevel="0" collapsed="false">
      <c r="A335" s="6" t="s">
        <v>308</v>
      </c>
      <c r="B335" s="35" t="n">
        <f aca="false">(IF(AND(B$43&gt;0,B$43&lt;=0+Quesería!$B$42),($H$14+$H$24)*((Quesería!$B$40*$B$308*$B$305)-(Quesería!$B$40*$B$308*$B$305)/(Quesería!$B$42-Quesería!$B$43)*MAX(0,MIN(B$43-1-0-Quesería!$B$43,(Quesería!$B$42-Quesería!$B$43)))),0)+IF(AND(B$43&gt;1,B$43&lt;=1+Quesería!$B$42),($H$14+$H$24)*((Quesería!$B$40*$C$308*$C$305)-(Quesería!$B$40*$C$308*$C$305)/(Quesería!$B$42-Quesería!$B$43)*MAX(0,MIN(B$43-1-1-Quesería!$B$43,(Quesería!$B$42-Quesería!$B$43)))),0))*B307</f>
        <v>0</v>
      </c>
      <c r="C335" s="35" t="n">
        <f aca="false">(IF(AND(C$43&gt;0,C$43&lt;=0+Quesería!$B$42),($H$14+$H$24)*((Quesería!$B$40*$B$308*$B$305)-(Quesería!$B$40*$B$308*$B$305)/(Quesería!$B$42-Quesería!$B$43)*MAX(0,MIN(C$43-1-0-Quesería!$B$43,(Quesería!$B$42-Quesería!$B$43)))),0)+IF(AND(C$43&gt;1,C$43&lt;=1+Quesería!$B$42),($H$14+$H$24)*((Quesería!$B$40*$C$308*$C$305)-(Quesería!$B$40*$C$308*$C$305)/(Quesería!$B$42-Quesería!$B$43)*MAX(0,MIN(C$43-1-1-Quesería!$B$43,(Quesería!$B$42-Quesería!$B$43)))),0))*C307</f>
        <v>58.4909006863056</v>
      </c>
      <c r="D335" s="35" t="n">
        <f aca="false">(IF(AND(D$43&gt;0,D$43&lt;=0+Quesería!$B$42),($H$14+$H$24)*((Quesería!$B$40*$B$308*$B$305)-(Quesería!$B$40*$B$308*$B$305)/(Quesería!$B$42-Quesería!$B$43)*MAX(0,MIN(D$43-1-0-Quesería!$B$43,(Quesería!$B$42-Quesería!$B$43)))),0)+IF(AND(D$43&gt;1,D$43&lt;=1+Quesería!$B$42),($H$14+$H$24)*((Quesería!$B$40*$C$308*$C$305)-(Quesería!$B$40*$C$308*$C$305)/(Quesería!$B$42-Quesería!$B$43)*MAX(0,MIN(D$43-1-1-Quesería!$B$43,(Quesería!$B$42-Quesería!$B$43)))),0))*D307</f>
        <v>116.917759262216</v>
      </c>
      <c r="E335" s="35" t="n">
        <f aca="false">(IF(AND(E$43&gt;0,E$43&lt;=0+Quesería!$B$42),($H$14+$H$24)*((Quesería!$B$40*$B$308*$B$305)-(Quesería!$B$40*$B$308*$B$305)/(Quesería!$B$42-Quesería!$B$43)*MAX(0,MIN(E$43-1-0-Quesería!$B$43,(Quesería!$B$42-Quesería!$B$43)))),0)+IF(AND(E$43&gt;1,E$43&lt;=1+Quesería!$B$42),($H$14+$H$24)*((Quesería!$B$40*$C$308*$C$305)-(Quesería!$B$40*$C$308*$C$305)/(Quesería!$B$42-Quesería!$B$43)*MAX(0,MIN(E$43-1-1-Quesería!$B$43,(Quesería!$B$42-Quesería!$B$43)))),0))*E307</f>
        <v>103.451025930528</v>
      </c>
      <c r="F335" s="35" t="n">
        <f aca="false">(IF(AND(F$43&gt;0,F$43&lt;=0+Quesería!$B$42),($H$14+$H$24)*((Quesería!$B$40*$B$308*$B$305)-(Quesería!$B$40*$B$308*$B$305)/(Quesería!$B$42-Quesería!$B$43)*MAX(0,MIN(F$43-1-0-Quesería!$B$43,(Quesería!$B$42-Quesería!$B$43)))),0)+IF(AND(F$43&gt;1,F$43&lt;=1+Quesería!$B$42),($H$14+$H$24)*((Quesería!$B$40*$C$308*$C$305)-(Quesería!$B$40*$C$308*$C$305)/(Quesería!$B$42-Quesería!$B$43)*MAX(0,MIN(F$43-1-1-Quesería!$B$43,(Quesería!$B$42-Quesería!$B$43)))),0))*F307</f>
        <v>81.455966861483</v>
      </c>
      <c r="G335" s="35" t="n">
        <f aca="false">(IF(AND(G$43&gt;0,G$43&lt;=0+Quesería!$B$42),($H$14+$H$24)*((Quesería!$B$40*$B$308*$B$305)-(Quesería!$B$40*$B$308*$B$305)/(Quesería!$B$42-Quesería!$B$43)*MAX(0,MIN(G$43-1-0-Quesería!$B$43,(Quesería!$B$42-Quesería!$B$43)))),0)+IF(AND(G$43&gt;1,G$43&lt;=1+Quesería!$B$42),($H$14+$H$24)*((Quesería!$B$40*$C$308*$C$305)-(Quesería!$B$40*$C$308*$C$305)/(Quesería!$B$42-Quesería!$B$43)*MAX(0,MIN(G$43-1-1-Quesería!$B$43,(Quesería!$B$42-Quesería!$B$43)))),0))*G307</f>
        <v>60.9998013511061</v>
      </c>
      <c r="H335" s="35" t="n">
        <f aca="false">(IF(AND(H$43&gt;0,H$43&lt;=0+Quesería!$B$42),($H$14+$H$24)*((Quesería!$B$40*$B$308*$B$305)-(Quesería!$B$40*$B$308*$B$305)/(Quesería!$B$42-Quesería!$B$43)*MAX(0,MIN(H$43-1-0-Quesería!$B$43,(Quesería!$B$42-Quesería!$B$43)))),0)+IF(AND(H$43&gt;1,H$43&lt;=1+Quesería!$B$42),($H$14+$H$24)*((Quesería!$B$40*$C$308*$C$305)-(Quesería!$B$40*$C$308*$C$305)/(Quesería!$B$42-Quesería!$B$43)*MAX(0,MIN(H$43-1-1-Quesería!$B$43,(Quesería!$B$42-Quesería!$B$43)))),0))*H307</f>
        <v>41.9966900414366</v>
      </c>
      <c r="I335" s="35" t="n">
        <f aca="false">(IF(AND(I$43&gt;0,I$43&lt;=0+Quesería!$B$42),($H$14+$H$24)*((Quesería!$B$40*$B$308*$B$305)-(Quesería!$B$40*$B$308*$B$305)/(Quesería!$B$42-Quesería!$B$43)*MAX(0,MIN(I$43-1-0-Quesería!$B$43,(Quesería!$B$42-Quesería!$B$43)))),0)+IF(AND(I$43&gt;1,I$43&lt;=1+Quesería!$B$42),($H$14+$H$24)*((Quesería!$B$40*$C$308*$C$305)-(Quesería!$B$40*$C$308*$C$305)/(Quesería!$B$42-Quesería!$B$43)*MAX(0,MIN(I$43-1-1-Quesería!$B$43,(Quesería!$B$42-Quesería!$B$43)))),0))*I307</f>
        <v>24.3651201322873</v>
      </c>
      <c r="J335" s="35" t="n">
        <f aca="false">(IF(AND(J$43&gt;0,J$43&lt;=0+Quesería!$B$42),($H$14+$H$24)*((Quesería!$B$40*$B$308*$B$305)-(Quesería!$B$40*$B$308*$B$305)/(Quesería!$B$42-Quesería!$B$43)*MAX(0,MIN(J$43-1-0-Quesería!$B$43,(Quesería!$B$42-Quesería!$B$43)))),0)+IF(AND(J$43&gt;1,J$43&lt;=1+Quesería!$B$42),($H$14+$H$24)*((Quesería!$B$40*$C$308*$C$305)-(Quesería!$B$40*$C$308*$C$305)/(Quesería!$B$42-Quesería!$B$43)*MAX(0,MIN(J$43-1-1-Quesería!$B$43,(Quesería!$B$42-Quesería!$B$43)))),0))*J307</f>
        <v>8.02769955040774</v>
      </c>
      <c r="K335" s="35" t="n">
        <f aca="false">(IF(AND(K$43&gt;0,K$43&lt;=0+Quesería!$B$42),($H$14+$H$24)*((Quesería!$B$40*$B$308*$B$305)-(Quesería!$B$40*$B$308*$B$305)/(Quesería!$B$42-Quesería!$B$43)*MAX(0,MIN(K$43-1-0-Quesería!$B$43,(Quesería!$B$42-Quesería!$B$43)))),0)+IF(AND(K$43&gt;1,K$43&lt;=1+Quesería!$B$42),($H$14+$H$24)*((Quesería!$B$40*$C$308*$C$305)-(Quesería!$B$40*$C$308*$C$305)/(Quesería!$B$42-Quesería!$B$43)*MAX(0,MIN(K$43-1-1-Quesería!$B$43,(Quesería!$B$42-Quesería!$B$43)))),0))*K307</f>
        <v>0</v>
      </c>
      <c r="L335" s="35" t="n">
        <f aca="false">(IF(AND(L$43&gt;0,L$43&lt;=0+Quesería!$B$42),($H$14+$H$24)*((Quesería!$B$40*$B$308*$B$305)-(Quesería!$B$40*$B$308*$B$305)/(Quesería!$B$42-Quesería!$B$43)*MAX(0,MIN(L$43-1-0-Quesería!$B$43,(Quesería!$B$42-Quesería!$B$43)))),0)+IF(AND(L$43&gt;1,L$43&lt;=1+Quesería!$B$42),($H$14+$H$24)*((Quesería!$B$40*$C$308*$C$305)-(Quesería!$B$40*$C$308*$C$305)/(Quesería!$B$42-Quesería!$B$43)*MAX(0,MIN(L$43-1-1-Quesería!$B$43,(Quesería!$B$42-Quesería!$B$43)))),0))*L307</f>
        <v>0</v>
      </c>
    </row>
    <row r="336" customFormat="false" ht="15" hidden="false" customHeight="false" outlineLevel="0" collapsed="false">
      <c r="A336" s="6" t="s">
        <v>309</v>
      </c>
      <c r="B336" s="35" t="n">
        <f aca="false">(IF(AND(B$43&gt;0+Quesería!$B$43,B$43&lt;=0+Quesería!$B$42),(Quesería!$B$40*$B$308*$B$305)/(Quesería!$B$42-Quesería!$B$43),0)+IF(AND(B$43&gt;1+Quesería!$B$43,B$43&lt;=1+Quesería!$B$42),(Quesería!$B$40*$C$308*$C$305)/(Quesería!$B$42-Quesería!$B$43),0))*B307</f>
        <v>0</v>
      </c>
      <c r="C336" s="35" t="n">
        <f aca="false">(IF(AND(C$43&gt;0+Quesería!$B$43,C$43&lt;=0+Quesería!$B$42),(Quesería!$B$40*$B$308*$B$305)/(Quesería!$B$42-Quesería!$B$43),0)+IF(AND(C$43&gt;1+Quesería!$B$43,C$43&lt;=1+Quesería!$B$42),(Quesería!$B$40*$C$308*$C$305)/(Quesería!$B$42-Quesería!$B$43),0))*C307</f>
        <v>0</v>
      </c>
      <c r="D336" s="35" t="n">
        <f aca="false">(IF(AND(D$43&gt;0+Quesería!$B$43,D$43&lt;=0+Quesería!$B$42),(Quesería!$B$40*$B$308*$B$305)/(Quesería!$B$42-Quesería!$B$43),0)+IF(AND(D$43&gt;1+Quesería!$B$43,D$43&lt;=1+Quesería!$B$42),(Quesería!$B$40*$C$308*$C$305)/(Quesería!$B$42-Quesería!$B$43),0))*D307</f>
        <v>66.1609382586284</v>
      </c>
      <c r="E336" s="35" t="n">
        <f aca="false">(IF(AND(E$43&gt;0+Quesería!$B$43,E$43&lt;=0+Quesería!$B$42),(Quesería!$B$40*$B$308*$B$305)/(Quesería!$B$42-Quesería!$B$43),0)+IF(AND(E$43&gt;1+Quesería!$B$43,E$43&lt;=1+Quesería!$B$42),(Quesería!$B$40*$C$308*$C$305)/(Quesería!$B$42-Quesería!$B$43),0))*E307</f>
        <v>132.885251025432</v>
      </c>
      <c r="F336" s="35" t="n">
        <f aca="false">(IF(AND(F$43&gt;0+Quesería!$B$43,F$43&lt;=0+Quesería!$B$42),(Quesería!$B$40*$B$308*$B$305)/(Quesería!$B$42-Quesería!$B$43),0)+IF(AND(F$43&gt;1+Quesería!$B$43,F$43&lt;=1+Quesería!$B$42),(Quesería!$B$40*$C$308*$C$305)/(Quesería!$B$42-Quesería!$B$43),0))*F307</f>
        <v>127.774279832146</v>
      </c>
      <c r="G336" s="35" t="n">
        <f aca="false">(IF(AND(G$43&gt;0+Quesería!$B$43,G$43&lt;=0+Quesería!$B$42),(Quesería!$B$40*$B$308*$B$305)/(Quesería!$B$42-Quesería!$B$43),0)+IF(AND(G$43&gt;1+Quesería!$B$43,G$43&lt;=1+Quesería!$B$42),(Quesería!$B$40*$C$308*$C$305)/(Quesería!$B$42-Quesería!$B$43),0))*G307</f>
        <v>122.859884453986</v>
      </c>
      <c r="H336" s="35" t="n">
        <f aca="false">(IF(AND(H$43&gt;0+Quesería!$B$43,H$43&lt;=0+Quesería!$B$42),(Quesería!$B$40*$B$308*$B$305)/(Quesería!$B$42-Quesería!$B$43),0)+IF(AND(H$43&gt;1+Quesería!$B$43,H$43&lt;=1+Quesería!$B$42),(Quesería!$B$40*$C$308*$C$305)/(Quesería!$B$42-Quesería!$B$43),0))*H307</f>
        <v>118.134504282679</v>
      </c>
      <c r="I336" s="35" t="n">
        <f aca="false">(IF(AND(I$43&gt;0+Quesería!$B$43,I$43&lt;=0+Quesería!$B$42),(Quesería!$B$40*$B$308*$B$305)/(Quesería!$B$42-Quesería!$B$43),0)+IF(AND(I$43&gt;1+Quesería!$B$43,I$43&lt;=1+Quesería!$B$42),(Quesería!$B$40*$C$308*$C$305)/(Quesería!$B$42-Quesería!$B$43),0))*I307</f>
        <v>113.590869502576</v>
      </c>
      <c r="J336" s="35" t="n">
        <f aca="false">(IF(AND(J$43&gt;0+Quesería!$B$43,J$43&lt;=0+Quesería!$B$42),(Quesería!$B$40*$B$308*$B$305)/(Quesería!$B$42-Quesería!$B$43),0)+IF(AND(J$43&gt;1+Quesería!$B$43,J$43&lt;=1+Quesería!$B$42),(Quesería!$B$40*$C$308*$C$305)/(Quesería!$B$42-Quesería!$B$43),0))*J307</f>
        <v>56.9340393645939</v>
      </c>
      <c r="K336" s="35" t="n">
        <f aca="false">(IF(AND(K$43&gt;0+Quesería!$B$43,K$43&lt;=0+Quesería!$B$42),(Quesería!$B$40*$B$308*$B$305)/(Quesería!$B$42-Quesería!$B$43),0)+IF(AND(K$43&gt;1+Quesería!$B$43,K$43&lt;=1+Quesería!$B$42),(Quesería!$B$40*$C$308*$C$305)/(Quesería!$B$42-Quesería!$B$43),0))*K307</f>
        <v>0</v>
      </c>
      <c r="L336" s="35" t="n">
        <f aca="false">(IF(AND(L$43&gt;0+Quesería!$B$43,L$43&lt;=0+Quesería!$B$42),(Quesería!$B$40*$B$308*$B$305)/(Quesería!$B$42-Quesería!$B$43),0)+IF(AND(L$43&gt;1+Quesería!$B$43,L$43&lt;=1+Quesería!$B$42),(Quesería!$B$40*$C$308*$C$305)/(Quesería!$B$42-Quesería!$B$43),0))*L307</f>
        <v>0</v>
      </c>
    </row>
    <row r="337" customFormat="false" ht="15" hidden="false" customHeight="false" outlineLevel="0" collapsed="false">
      <c r="A337" s="6" t="s">
        <v>310</v>
      </c>
      <c r="B337" s="35" t="n">
        <f aca="false">$H$13*Quesería!$B$44*(1+0.19)*B333*B307+(1-$H$13)*IF(B$43=0,Quesería!$B$53,0)</f>
        <v>4</v>
      </c>
      <c r="C337" s="35" t="n">
        <f aca="false">$H$13*Quesería!$B$44*(1+0.19)*C333*C307+(1-$H$13)*IF(C$43=0,Quesería!$B$53,0)</f>
        <v>0</v>
      </c>
      <c r="D337" s="35" t="n">
        <f aca="false">$H$13*Quesería!$B$44*(1+0.19)*D333*D307+(1-$H$13)*IF(D$43=0,Quesería!$B$53,0)</f>
        <v>0</v>
      </c>
      <c r="E337" s="35" t="n">
        <f aca="false">$H$13*Quesería!$B$44*(1+0.19)*E333*E307+(1-$H$13)*IF(E$43=0,Quesería!$B$53,0)</f>
        <v>0</v>
      </c>
      <c r="F337" s="35" t="n">
        <f aca="false">$H$13*Quesería!$B$44*(1+0.19)*F333*F307+(1-$H$13)*IF(F$43=0,Quesería!$B$53,0)</f>
        <v>0</v>
      </c>
      <c r="G337" s="35" t="n">
        <f aca="false">$H$13*Quesería!$B$44*(1+0.19)*G333*G307+(1-$H$13)*IF(G$43=0,Quesería!$B$53,0)</f>
        <v>0</v>
      </c>
      <c r="H337" s="35" t="n">
        <f aca="false">$H$13*Quesería!$B$44*(1+0.19)*H333*H307+(1-$H$13)*IF(H$43=0,Quesería!$B$53,0)</f>
        <v>0</v>
      </c>
      <c r="I337" s="35" t="n">
        <f aca="false">$H$13*Quesería!$B$44*(1+0.19)*I333*I307+(1-$H$13)*IF(I$43=0,Quesería!$B$53,0)</f>
        <v>0</v>
      </c>
      <c r="J337" s="35" t="n">
        <f aca="false">$H$13*Quesería!$B$44*(1+0.19)*J333*J307+(1-$H$13)*IF(J$43=0,Quesería!$B$53,0)</f>
        <v>0</v>
      </c>
      <c r="K337" s="35" t="n">
        <f aca="false">$H$13*Quesería!$B$44*(1+0.19)*K333*K307+(1-$H$13)*IF(K$43=0,Quesería!$B$53,0)</f>
        <v>0</v>
      </c>
      <c r="L337" s="35" t="n">
        <f aca="false">$H$13*Quesería!$B$44*(1+0.19)*L333*L307+(1-$H$13)*IF(L$43=0,Quesería!$B$53,0)</f>
        <v>0</v>
      </c>
    </row>
    <row r="338" customFormat="false" ht="15" hidden="false" customHeight="false" outlineLevel="0" collapsed="false">
      <c r="A338" s="6" t="s">
        <v>311</v>
      </c>
      <c r="B338" s="35" t="n">
        <f aca="false">Quesería!$B$45*(B335+B336+B337)</f>
        <v>0.016</v>
      </c>
      <c r="C338" s="35" t="n">
        <f aca="false">Quesería!$B$45*(C335+C336+C337)</f>
        <v>0.233963602745223</v>
      </c>
      <c r="D338" s="35" t="n">
        <f aca="false">Quesería!$B$45*(D335+D336+D337)</f>
        <v>0.732314790083377</v>
      </c>
      <c r="E338" s="35" t="n">
        <f aca="false">Quesería!$B$45*(E335+E336+E337)</f>
        <v>0.94534510782384</v>
      </c>
      <c r="F338" s="35" t="n">
        <f aca="false">Quesería!$B$45*(F335+F336+F337)</f>
        <v>0.836920986774515</v>
      </c>
      <c r="G338" s="35" t="n">
        <f aca="false">Quesería!$B$45*(G335+G336+G337)</f>
        <v>0.73543874322037</v>
      </c>
      <c r="H338" s="35" t="n">
        <f aca="false">Quesería!$B$45*(H335+H336+H337)</f>
        <v>0.640524777296463</v>
      </c>
      <c r="I338" s="35" t="n">
        <f aca="false">Quesería!$B$45*(I335+I336+I337)</f>
        <v>0.551823958539454</v>
      </c>
      <c r="J338" s="35" t="n">
        <f aca="false">Quesería!$B$45*(J335+J336+J337)</f>
        <v>0.259846955660007</v>
      </c>
      <c r="K338" s="35" t="n">
        <f aca="false">Quesería!$B$45*(K335+K336+K337)</f>
        <v>0</v>
      </c>
      <c r="L338" s="35" t="n">
        <f aca="false">Quesería!$B$45*(L335+L336+L337)</f>
        <v>0</v>
      </c>
    </row>
    <row r="339" customFormat="false" ht="15" hidden="false" customHeight="false" outlineLevel="0" collapsed="false">
      <c r="A339" s="6" t="s">
        <v>312</v>
      </c>
      <c r="B339" s="35" t="n">
        <f aca="false">$H$17*(B335+B337+0.5*B338)</f>
        <v>1.4028</v>
      </c>
      <c r="C339" s="35" t="n">
        <f aca="false">$H$17*(C335+C337+0.5*C338)</f>
        <v>20.5127588706874</v>
      </c>
      <c r="D339" s="35" t="n">
        <f aca="false">$H$17*(D335+D337+0.5*D338)</f>
        <v>41.0493708300401</v>
      </c>
      <c r="E339" s="35" t="n">
        <f aca="false">$H$17*(E335+E337+0.5*E338)</f>
        <v>36.373294469554</v>
      </c>
      <c r="F339" s="35" t="n">
        <f aca="false">$H$17*(F335+F337+0.5*F338)</f>
        <v>28.6560495742046</v>
      </c>
      <c r="G339" s="35" t="n">
        <f aca="false">$H$17*(G335+G337+0.5*G338)</f>
        <v>21.4786322529507</v>
      </c>
      <c r="H339" s="35" t="n">
        <f aca="false">$H$17*(H335+H337+0.5*H338)</f>
        <v>14.8109333505297</v>
      </c>
      <c r="I339" s="35" t="n">
        <f aca="false">$H$17*(I335+I337+0.5*I338)</f>
        <v>8.62436123904496</v>
      </c>
      <c r="J339" s="35" t="n">
        <f aca="false">$H$17*(J335+J337+0.5*J338)</f>
        <v>2.85516805988321</v>
      </c>
      <c r="K339" s="35" t="n">
        <f aca="false">$H$17*(K335+K337+0.5*K338)</f>
        <v>0</v>
      </c>
      <c r="L339" s="35" t="n">
        <f aca="false">$H$17*(L335+L337+0.5*L338)</f>
        <v>0</v>
      </c>
    </row>
    <row r="340" customFormat="false" ht="15" hidden="false" customHeight="false" outlineLevel="0" collapsed="false">
      <c r="A340" s="5" t="s">
        <v>313</v>
      </c>
      <c r="B340" s="37" t="n">
        <f aca="false">B325+B334-B335-B336-B337-B338+B339</f>
        <v>-223.652571548358</v>
      </c>
      <c r="C340" s="37" t="n">
        <f aca="false">C325+C334-C335-C336-C337-C338+C339</f>
        <v>11.4034575166379</v>
      </c>
      <c r="D340" s="37" t="n">
        <f aca="false">D325+D334-D335-D336-D337-D338+D339</f>
        <v>244.897006727368</v>
      </c>
      <c r="E340" s="37" t="n">
        <f aca="false">E325+E334-E335-E336-E337-E338+E339</f>
        <v>102.169777434584</v>
      </c>
      <c r="F340" s="37" t="n">
        <f aca="false">F325+F334-F335-F336-F337-F338+F339</f>
        <v>123.50278231322</v>
      </c>
      <c r="G340" s="37" t="n">
        <f aca="false">G325+G334-G335-G336-G337-G338+G339</f>
        <v>108.899774683956</v>
      </c>
      <c r="H340" s="37" t="n">
        <f aca="false">H325+H334-H335-H336-H337-H338+H339</f>
        <v>117.226361047068</v>
      </c>
      <c r="I340" s="37" t="n">
        <f aca="false">I325+I334-I335-I336-I337-I338+I339</f>
        <v>178.554471539934</v>
      </c>
      <c r="J340" s="37" t="n">
        <f aca="false">J325+J334-J335-J336-J337-J338+J339</f>
        <v>238.72556161141</v>
      </c>
      <c r="K340" s="37" t="n">
        <f aca="false">K325+K334-K335-K336-K337-K338+K339</f>
        <v>300.247530917903</v>
      </c>
      <c r="L340" s="37" t="n">
        <f aca="false">L325+L334-L335-L336-L337-L338+L339</f>
        <v>374.485565081754</v>
      </c>
    </row>
    <row r="341" customFormat="false" ht="15" hidden="false" customHeight="false" outlineLevel="0" collapsed="false">
      <c r="A341" s="9" t="s">
        <v>314</v>
      </c>
      <c r="B341" s="36" t="n">
        <f aca="false">B340*B305</f>
        <v>-237.07172584126</v>
      </c>
      <c r="C341" s="36" t="n">
        <f aca="false">C340*C305</f>
        <v>12.692048216018</v>
      </c>
      <c r="D341" s="36" t="n">
        <f aca="false">D340*D305</f>
        <v>284.836035069501</v>
      </c>
      <c r="E341" s="36" t="n">
        <f aca="false">E340*E305</f>
        <v>123.585421011004</v>
      </c>
      <c r="F341" s="36" t="n">
        <f aca="false">F340*F305</f>
        <v>155.36560302582</v>
      </c>
      <c r="G341" s="36" t="n">
        <f aca="false">G340*G305</f>
        <v>142.474930524632</v>
      </c>
      <c r="H341" s="36" t="n">
        <f aca="false">H340*H305</f>
        <v>159.503455375183</v>
      </c>
      <c r="I341" s="36" t="n">
        <f aca="false">I340*I305</f>
        <v>252.667208348718</v>
      </c>
      <c r="J341" s="36" t="n">
        <f aca="false">J340*J305</f>
        <v>351.3260996567</v>
      </c>
      <c r="K341" s="36" t="n">
        <f aca="false">K340*K305</f>
        <v>459.541010133938</v>
      </c>
      <c r="L341" s="36" t="n">
        <f aca="false">L340*L305</f>
        <v>596.091942223215</v>
      </c>
    </row>
    <row r="342" customFormat="false" ht="15" hidden="false" customHeight="false" outlineLevel="0" collapsed="false">
      <c r="A342" s="9" t="s">
        <v>315</v>
      </c>
      <c r="B342" s="34" t="n">
        <f aca="false">(B305/$B$305)/(1+Quesería!$B$46+$H$24)^B$43</f>
        <v>1</v>
      </c>
      <c r="C342" s="34" t="n">
        <f aca="false">(C305/$B$305)/(1+Quesería!$B$46+$H$24)^C$43</f>
        <v>0.84</v>
      </c>
      <c r="D342" s="34" t="n">
        <f aca="false">(D305/$B$305)/(1+Quesería!$B$46+$H$24)^D$43</f>
        <v>0.70224</v>
      </c>
      <c r="E342" s="34" t="n">
        <f aca="false">(E305/$B$305)/(1+Quesería!$B$46+$H$24)^E$43</f>
        <v>0.58426368</v>
      </c>
      <c r="F342" s="34" t="n">
        <f aca="false">(F305/$B$305)/(1+Quesería!$B$46+$H$24)^F$43</f>
        <v>0.48610738176</v>
      </c>
      <c r="G342" s="34" t="n">
        <f aca="false">(G305/$B$305)/(1+Quesería!$B$46+$H$24)^G$43</f>
        <v>0.40444134162432</v>
      </c>
      <c r="H342" s="34" t="n">
        <f aca="false">(H305/$B$305)/(1+Quesería!$B$46+$H$24)^H$43</f>
        <v>0.336495196231434</v>
      </c>
      <c r="I342" s="34" t="n">
        <f aca="false">(I305/$B$305)/(1+Quesería!$B$46+$H$24)^I$43</f>
        <v>0.279964003264553</v>
      </c>
      <c r="J342" s="34" t="n">
        <f aca="false">(J305/$B$305)/(1+Quesería!$B$46+$H$24)^J$43</f>
        <v>0.232930050716108</v>
      </c>
      <c r="K342" s="34" t="n">
        <f aca="false">(K305/$B$305)/(1+Quesería!$B$46+$H$24)^K$43</f>
        <v>0.193797802195802</v>
      </c>
      <c r="L342" s="34" t="n">
        <f aca="false">(L305/$B$305)/(1+Quesería!$B$46+$H$24)^L$43</f>
        <v>0.161239771426907</v>
      </c>
    </row>
    <row r="343" customFormat="false" ht="15" hidden="false" customHeight="false" outlineLevel="0" collapsed="false">
      <c r="A343" s="9" t="s">
        <v>316</v>
      </c>
      <c r="B343" s="36" t="n">
        <f aca="false">B325+B308+B310+B339</f>
        <v>66.3843912364551</v>
      </c>
      <c r="C343" s="36" t="n">
        <f aca="false">C325+C308+C310+C339</f>
        <v>386.310665209213</v>
      </c>
      <c r="D343" s="36" t="n">
        <f aca="false">D325+D308+D310+D339</f>
        <v>428.708019038296</v>
      </c>
      <c r="E343" s="36" t="n">
        <f aca="false">E325+E308+E310+E339</f>
        <v>339.451399498368</v>
      </c>
      <c r="F343" s="36" t="n">
        <f aca="false">F325+F308+F310+F339</f>
        <v>333.569949993623</v>
      </c>
      <c r="G343" s="36" t="n">
        <f aca="false">G325+G308+G310+G339</f>
        <v>298.561565898936</v>
      </c>
      <c r="H343" s="36" t="n">
        <f aca="false">H325+H308+H310+H339</f>
        <v>284.705945229247</v>
      </c>
      <c r="I343" s="36" t="n">
        <f aca="false">I325+I308+I310+I339</f>
        <v>317.062285133337</v>
      </c>
      <c r="J343" s="36" t="n">
        <f aca="false">J325+J308+J310+J339</f>
        <v>303.947147482072</v>
      </c>
      <c r="K343" s="36" t="n">
        <f aca="false">K325+K308+K310+K339</f>
        <v>300.247530917903</v>
      </c>
      <c r="L343" s="36" t="n">
        <f aca="false">L325+L308+L310+L339</f>
        <v>374.485565081754</v>
      </c>
    </row>
    <row r="344" customFormat="false" ht="15" hidden="false" customHeight="false" outlineLevel="0" collapsed="false">
      <c r="A344" s="5" t="s">
        <v>317</v>
      </c>
      <c r="B344" s="12" t="str">
        <f aca="false">IF(AND(B$43&gt;=1,(B335+B336+B337)&gt;0.001),B343/(B335+B336+B337),"")</f>
        <v/>
      </c>
      <c r="C344" s="12" t="n">
        <f aca="false">IF(AND(C$43&gt;=1,(C335+C336+C337)&gt;0.001),C343/(C335+C336+C337),"")</f>
        <v>6.60462842384747</v>
      </c>
      <c r="D344" s="12" t="n">
        <f aca="false">IF(AND(D$43&gt;=1,(D335+D336+D337)&gt;0.001),D343/(D335+D336+D337),"")</f>
        <v>2.34165976076756</v>
      </c>
      <c r="E344" s="12" t="n">
        <f aca="false">IF(AND(E$43&gt;=1,(E335+E336+E337)&gt;0.001),E343/(E335+E336+E337),"")</f>
        <v>1.43630679077518</v>
      </c>
      <c r="F344" s="12" t="n">
        <f aca="false">IF(AND(F$43&gt;=1,(F335+F336+F337)&gt;0.001),F343/(F335+F336+F337),"")</f>
        <v>1.59427212491921</v>
      </c>
      <c r="G344" s="12" t="n">
        <f aca="false">IF(AND(G$43&gt;=1,(G335+G336+G337)&gt;0.001),G343/(G335+G336+G337),"")</f>
        <v>1.62385552108164</v>
      </c>
      <c r="H344" s="12" t="n">
        <f aca="false">IF(AND(H$43&gt;=1,(H335+H336+H337)&gt;0.001),H343/(H335+H336+H337),"")</f>
        <v>1.77795429822989</v>
      </c>
      <c r="I344" s="12" t="n">
        <f aca="false">IF(AND(I$43&gt;=1,(I335+I336+I337)&gt;0.001),I343/(I335+I336+I337),"")</f>
        <v>2.29828575020574</v>
      </c>
      <c r="J344" s="12" t="n">
        <f aca="false">IF(AND(J$43&gt;=1,(J335+J336+J337)&gt;0.001),J343/(J335+J336+J337),"")</f>
        <v>4.67886409074991</v>
      </c>
      <c r="K344" s="12" t="str">
        <f aca="false">IF(AND(K$43&gt;=1,(K335+K336+K337)&gt;0.001),K343/(K335+K336+K337),"")</f>
        <v/>
      </c>
      <c r="L344" s="12" t="str">
        <f aca="false">IF(AND(L$43&gt;=1,(L335+L336+L337)&gt;0.001),L343/(L335+L336+L337),"")</f>
        <v/>
      </c>
    </row>
    <row r="346" customFormat="false" ht="15" hidden="false" customHeight="false" outlineLevel="0" collapsed="false">
      <c r="A346" s="66" t="s">
        <v>633</v>
      </c>
      <c r="B346" s="67"/>
      <c r="C346" s="67"/>
      <c r="D346" s="67"/>
      <c r="E346" s="67"/>
      <c r="F346" s="67"/>
      <c r="G346" s="67"/>
      <c r="H346" s="67"/>
      <c r="I346" s="67"/>
      <c r="J346" s="67"/>
      <c r="K346" s="67"/>
      <c r="L346" s="67"/>
    </row>
    <row r="347" customFormat="false" ht="15" hidden="false" customHeight="false" outlineLevel="0" collapsed="false">
      <c r="A347" s="9" t="s">
        <v>281</v>
      </c>
      <c r="B347" s="33" t="n">
        <f aca="false">CHOOSE($I$15,Entorno!B$7,Entorno!B$8,Entorno!B$9)</f>
        <v>0.06</v>
      </c>
      <c r="C347" s="33" t="n">
        <f aca="false">CHOOSE($I$15,Entorno!C$7,Entorno!C$8,Entorno!C$9)</f>
        <v>0.05</v>
      </c>
      <c r="D347" s="33" t="n">
        <f aca="false">CHOOSE($I$15,Entorno!D$7,Entorno!D$8,Entorno!D$9)</f>
        <v>0.045</v>
      </c>
      <c r="E347" s="33" t="n">
        <f aca="false">CHOOSE($I$15,Entorno!E$7,Entorno!E$8,Entorno!E$9)</f>
        <v>0.04</v>
      </c>
      <c r="F347" s="33" t="n">
        <f aca="false">CHOOSE($I$15,Entorno!F$7,Entorno!F$8,Entorno!F$9)</f>
        <v>0.04</v>
      </c>
      <c r="G347" s="33" t="n">
        <f aca="false">CHOOSE($I$15,Entorno!G$7,Entorno!G$8,Entorno!G$9)</f>
        <v>0.04</v>
      </c>
      <c r="H347" s="33" t="n">
        <f aca="false">CHOOSE($I$15,Entorno!H$7,Entorno!H$8,Entorno!H$9)</f>
        <v>0.04</v>
      </c>
      <c r="I347" s="33" t="n">
        <f aca="false">CHOOSE($I$15,Entorno!I$7,Entorno!I$8,Entorno!I$9)</f>
        <v>0.04</v>
      </c>
      <c r="J347" s="33" t="n">
        <f aca="false">CHOOSE($I$15,Entorno!J$7,Entorno!J$8,Entorno!J$9)</f>
        <v>0.04</v>
      </c>
      <c r="K347" s="33" t="n">
        <f aca="false">CHOOSE($I$15,Entorno!K$7,Entorno!K$8,Entorno!K$9)</f>
        <v>0.04</v>
      </c>
      <c r="L347" s="33" t="n">
        <f aca="false">CHOOSE($I$15,Entorno!L$7,Entorno!L$8,Entorno!L$9)</f>
        <v>0.04</v>
      </c>
    </row>
    <row r="348" customFormat="false" ht="15" hidden="false" customHeight="false" outlineLevel="0" collapsed="false">
      <c r="A348" s="9" t="s">
        <v>282</v>
      </c>
      <c r="B348" s="34" t="n">
        <f aca="false">1+B347</f>
        <v>1.06</v>
      </c>
      <c r="C348" s="34" t="n">
        <f aca="false">B348*(1+C347)</f>
        <v>1.113</v>
      </c>
      <c r="D348" s="34" t="n">
        <f aca="false">C348*(1+D347)</f>
        <v>1.163085</v>
      </c>
      <c r="E348" s="34" t="n">
        <f aca="false">D348*(1+E347)</f>
        <v>1.2096084</v>
      </c>
      <c r="F348" s="34" t="n">
        <f aca="false">E348*(1+F347)</f>
        <v>1.257992736</v>
      </c>
      <c r="G348" s="34" t="n">
        <f aca="false">F348*(1+G347)</f>
        <v>1.30831244544</v>
      </c>
      <c r="H348" s="34" t="n">
        <f aca="false">G348*(1+H347)</f>
        <v>1.3606449432576</v>
      </c>
      <c r="I348" s="34" t="n">
        <f aca="false">H348*(1+I347)</f>
        <v>1.4150707409879</v>
      </c>
      <c r="J348" s="34" t="n">
        <f aca="false">I348*(1+J347)</f>
        <v>1.47167357062742</v>
      </c>
      <c r="K348" s="34" t="n">
        <f aca="false">J348*(1+K347)</f>
        <v>1.53054051345252</v>
      </c>
      <c r="L348" s="34" t="n">
        <f aca="false">K348*(1+L347)</f>
        <v>1.59176213399062</v>
      </c>
    </row>
    <row r="349" customFormat="false" ht="15" hidden="false" customHeight="false" outlineLevel="0" collapsed="false">
      <c r="A349" s="9" t="s">
        <v>283</v>
      </c>
      <c r="B349" s="34" t="n">
        <f aca="false">(1+$I$16)/(1+B347)</f>
        <v>1.02358490566038</v>
      </c>
      <c r="C349" s="34" t="n">
        <f aca="false">B349*(1+Entorno!$B$13)</f>
        <v>1.02870283018868</v>
      </c>
      <c r="D349" s="34" t="n">
        <f aca="false">C349*(1+Entorno!$B$13)</f>
        <v>1.03384634433962</v>
      </c>
      <c r="E349" s="34" t="n">
        <f aca="false">D349*(1+Entorno!$B$13)</f>
        <v>1.03901557606132</v>
      </c>
      <c r="F349" s="34" t="n">
        <f aca="false">E349*(1+Entorno!$B$13)</f>
        <v>1.04421065394163</v>
      </c>
      <c r="G349" s="34" t="n">
        <f aca="false">F349*(1+Entorno!$B$13)</f>
        <v>1.04943170721133</v>
      </c>
      <c r="H349" s="34" t="n">
        <f aca="false">G349*(1+Entorno!$B$13)</f>
        <v>1.05467886574739</v>
      </c>
      <c r="I349" s="34" t="n">
        <f aca="false">H349*(1+Entorno!$B$13)</f>
        <v>1.05995226007613</v>
      </c>
      <c r="J349" s="34" t="n">
        <f aca="false">I349*(1+Entorno!$B$13)</f>
        <v>1.06525202137651</v>
      </c>
      <c r="K349" s="34" t="n">
        <f aca="false">J349*(1+Entorno!$B$13)</f>
        <v>1.07057828148339</v>
      </c>
      <c r="L349" s="34" t="n">
        <f aca="false">K349*(1+Entorno!$B$13)</f>
        <v>1.07593117289081</v>
      </c>
    </row>
    <row r="350" customFormat="false" ht="15" hidden="false" customHeight="false" outlineLevel="0" collapsed="false">
      <c r="A350" s="9" t="s">
        <v>284</v>
      </c>
      <c r="B350" s="34" t="n">
        <f aca="false">1/B348</f>
        <v>0.943396226415094</v>
      </c>
      <c r="C350" s="34" t="n">
        <f aca="false">1/C348</f>
        <v>0.898472596585804</v>
      </c>
      <c r="D350" s="34" t="n">
        <f aca="false">1/D348</f>
        <v>0.859782389077324</v>
      </c>
      <c r="E350" s="34" t="n">
        <f aca="false">1/E348</f>
        <v>0.826713835651273</v>
      </c>
      <c r="F350" s="34" t="n">
        <f aca="false">1/F348</f>
        <v>0.794917149664686</v>
      </c>
      <c r="G350" s="34" t="n">
        <f aca="false">1/G348</f>
        <v>0.764343413139121</v>
      </c>
      <c r="H350" s="34" t="n">
        <f aca="false">1/H348</f>
        <v>0.734945589556847</v>
      </c>
      <c r="I350" s="34" t="n">
        <f aca="false">1/I348</f>
        <v>0.706678451496968</v>
      </c>
      <c r="J350" s="34" t="n">
        <f aca="false">1/J348</f>
        <v>0.679498511054777</v>
      </c>
      <c r="K350" s="34" t="n">
        <f aca="false">1/K348</f>
        <v>0.653363952937286</v>
      </c>
      <c r="L350" s="34" t="n">
        <f aca="false">1/L348</f>
        <v>0.628234570132006</v>
      </c>
    </row>
    <row r="351" customFormat="false" ht="15" hidden="false" customHeight="false" outlineLevel="0" collapsed="false">
      <c r="A351" s="6" t="s">
        <v>202</v>
      </c>
      <c r="B351" s="35" t="n">
        <f aca="false">IF(B$43=0,Quesería!$F$80,IF(B$43=1,Quesería!$F$81*$I$21,0))*$I$11</f>
        <v>746.692349186881</v>
      </c>
      <c r="C351" s="35" t="n">
        <f aca="false">IF(C$43=0,Quesería!$F$80,IF(C$43=1,Quesería!$F$81*$I$21,0))*$I$11</f>
        <v>774.324106294346</v>
      </c>
      <c r="D351" s="35" t="n">
        <f aca="false">IF(D$43=0,Quesería!$F$80,IF(D$43=1,Quesería!$F$81*$I$21,0))*$I$11</f>
        <v>0</v>
      </c>
      <c r="E351" s="35" t="n">
        <f aca="false">IF(E$43=0,Quesería!$F$80,IF(E$43=1,Quesería!$F$81*$I$21,0))*$I$11</f>
        <v>0</v>
      </c>
      <c r="F351" s="35" t="n">
        <f aca="false">IF(F$43=0,Quesería!$F$80,IF(F$43=1,Quesería!$F$81*$I$21,0))*$I$11</f>
        <v>0</v>
      </c>
      <c r="G351" s="35" t="n">
        <f aca="false">IF(G$43=0,Quesería!$F$80,IF(G$43=1,Quesería!$F$81*$I$21,0))*$I$11</f>
        <v>0</v>
      </c>
      <c r="H351" s="35" t="n">
        <f aca="false">IF(H$43=0,Quesería!$F$80,IF(H$43=1,Quesería!$F$81*$I$21,0))*$I$11</f>
        <v>0</v>
      </c>
      <c r="I351" s="35" t="n">
        <f aca="false">IF(I$43=0,Quesería!$F$80,IF(I$43=1,Quesería!$F$81*$I$21,0))*$I$11</f>
        <v>0</v>
      </c>
      <c r="J351" s="35" t="n">
        <f aca="false">IF(J$43=0,Quesería!$F$80,IF(J$43=1,Quesería!$F$81*$I$21,0))*$I$11</f>
        <v>0</v>
      </c>
      <c r="K351" s="35" t="n">
        <f aca="false">IF(K$43=0,Quesería!$F$80,IF(K$43=1,Quesería!$F$81*$I$21,0))*$I$11</f>
        <v>0</v>
      </c>
      <c r="L351" s="35" t="n">
        <f aca="false">IF(L$43=0,Quesería!$F$80,IF(L$43=1,Quesería!$F$81*$I$21,0))*$I$11</f>
        <v>0</v>
      </c>
    </row>
    <row r="352" customFormat="false" ht="15" hidden="false" customHeight="false" outlineLevel="0" collapsed="false">
      <c r="A352" s="6" t="s">
        <v>285</v>
      </c>
      <c r="B352" s="35" t="n">
        <f aca="false">IF(B$43=5,Quesería!$F$87,IF(B$43=6,Quesería!$F$88,0))*$I$11</f>
        <v>0</v>
      </c>
      <c r="C352" s="35" t="n">
        <f aca="false">IF(C$43=5,Quesería!$F$87,IF(C$43=6,Quesería!$F$88,0))*$I$11</f>
        <v>0</v>
      </c>
      <c r="D352" s="35" t="n">
        <f aca="false">IF(D$43=5,Quesería!$F$87,IF(D$43=6,Quesería!$F$88,0))*$I$11</f>
        <v>0</v>
      </c>
      <c r="E352" s="35" t="n">
        <f aca="false">IF(E$43=5,Quesería!$F$87,IF(E$43=6,Quesería!$F$88,0))*$I$11</f>
        <v>0</v>
      </c>
      <c r="F352" s="35" t="n">
        <f aca="false">IF(F$43=5,Quesería!$F$87,IF(F$43=6,Quesería!$F$88,0))*$I$11</f>
        <v>0</v>
      </c>
      <c r="G352" s="35" t="n">
        <f aca="false">IF(G$43=5,Quesería!$F$87,IF(G$43=6,Quesería!$F$88,0))*$I$11</f>
        <v>32</v>
      </c>
      <c r="H352" s="35" t="n">
        <f aca="false">IF(H$43=5,Quesería!$F$87,IF(H$43=6,Quesería!$F$88,0))*$I$11</f>
        <v>42.365463668</v>
      </c>
      <c r="I352" s="35" t="n">
        <f aca="false">IF(I$43=5,Quesería!$F$87,IF(I$43=6,Quesería!$F$88,0))*$I$11</f>
        <v>0</v>
      </c>
      <c r="J352" s="35" t="n">
        <f aca="false">IF(J$43=5,Quesería!$F$87,IF(J$43=6,Quesería!$F$88,0))*$I$11</f>
        <v>0</v>
      </c>
      <c r="K352" s="35" t="n">
        <f aca="false">IF(K$43=5,Quesería!$F$87,IF(K$43=6,Quesería!$F$88,0))*$I$11</f>
        <v>0</v>
      </c>
      <c r="L352" s="35" t="n">
        <f aca="false">IF(L$43=5,Quesería!$F$87,IF(L$43=6,Quesería!$F$88,0))*$I$11</f>
        <v>0</v>
      </c>
    </row>
    <row r="353" customFormat="false" ht="15" hidden="false" customHeight="false" outlineLevel="0" collapsed="false">
      <c r="A353" s="6" t="s">
        <v>286</v>
      </c>
      <c r="B353" s="35" t="n">
        <f aca="false">Quesería!$B$36*(IF(B$43=0,SUMPRODUCT((Quesería!$C$62:$C$77=0)*(Quesería!$H$62:$H$77&gt;0)*(Quesería!$J$62:$J$77&gt;0)*Quesería!$F$62:$F$77*(1+Quesería!$I$62:$I$77)),IF(B$43=1,SUMPRODUCT((Quesería!$C$62:$C$77=1)*(Quesería!$H$62:$H$77&gt;0)*(Quesería!$J$62:$J$77&gt;0)*Quesería!$F$62:$F$77*(1+Quesería!$I$62:$I$77))*$I$21,0))*$I$11+B352)</f>
        <v>119.217450585712</v>
      </c>
      <c r="C353" s="35" t="n">
        <f aca="false">Quesería!$B$36*(IF(C$43=0,SUMPRODUCT((Quesería!$C$62:$C$77=0)*(Quesería!$H$62:$H$77&gt;0)*(Quesería!$J$62:$J$77&gt;0)*Quesería!$F$62:$F$77*(1+Quesería!$I$62:$I$77)),IF(C$43=1,SUMPRODUCT((Quesería!$C$62:$C$77=1)*(Quesería!$H$62:$H$77&gt;0)*(Quesería!$J$62:$J$77&gt;0)*Quesería!$F$62:$F$77*(1+Quesería!$I$62:$I$77))*$I$21,0))*$I$11+C352)</f>
        <v>147.121580195926</v>
      </c>
      <c r="D353" s="35" t="n">
        <f aca="false">Quesería!$B$36*(IF(D$43=0,SUMPRODUCT((Quesería!$C$62:$C$77=0)*(Quesería!$H$62:$H$77&gt;0)*(Quesería!$J$62:$J$77&gt;0)*Quesería!$F$62:$F$77*(1+Quesería!$I$62:$I$77)),IF(D$43=1,SUMPRODUCT((Quesería!$C$62:$C$77=1)*(Quesería!$H$62:$H$77&gt;0)*(Quesería!$J$62:$J$77&gt;0)*Quesería!$F$62:$F$77*(1+Quesería!$I$62:$I$77))*$I$21,0))*$I$11+D352)</f>
        <v>0</v>
      </c>
      <c r="E353" s="35" t="n">
        <f aca="false">Quesería!$B$36*(IF(E$43=0,SUMPRODUCT((Quesería!$C$62:$C$77=0)*(Quesería!$H$62:$H$77&gt;0)*(Quesería!$J$62:$J$77&gt;0)*Quesería!$F$62:$F$77*(1+Quesería!$I$62:$I$77)),IF(E$43=1,SUMPRODUCT((Quesería!$C$62:$C$77=1)*(Quesería!$H$62:$H$77&gt;0)*(Quesería!$J$62:$J$77&gt;0)*Quesería!$F$62:$F$77*(1+Quesería!$I$62:$I$77))*$I$21,0))*$I$11+E352)</f>
        <v>0</v>
      </c>
      <c r="F353" s="35" t="n">
        <f aca="false">Quesería!$B$36*(IF(F$43=0,SUMPRODUCT((Quesería!$C$62:$C$77=0)*(Quesería!$H$62:$H$77&gt;0)*(Quesería!$J$62:$J$77&gt;0)*Quesería!$F$62:$F$77*(1+Quesería!$I$62:$I$77)),IF(F$43=1,SUMPRODUCT((Quesería!$C$62:$C$77=1)*(Quesería!$H$62:$H$77&gt;0)*(Quesería!$J$62:$J$77&gt;0)*Quesería!$F$62:$F$77*(1+Quesería!$I$62:$I$77))*$I$21,0))*$I$11+F352)</f>
        <v>0</v>
      </c>
      <c r="G353" s="35" t="n">
        <f aca="false">Quesería!$B$36*(IF(G$43=0,SUMPRODUCT((Quesería!$C$62:$C$77=0)*(Quesería!$H$62:$H$77&gt;0)*(Quesería!$J$62:$J$77&gt;0)*Quesería!$F$62:$F$77*(1+Quesería!$I$62:$I$77)),IF(G$43=1,SUMPRODUCT((Quesería!$C$62:$C$77=1)*(Quesería!$H$62:$H$77&gt;0)*(Quesería!$J$62:$J$77&gt;0)*Quesería!$F$62:$F$77*(1+Quesería!$I$62:$I$77))*$I$21,0))*$I$11+G352)</f>
        <v>6.08</v>
      </c>
      <c r="H353" s="35" t="n">
        <f aca="false">Quesería!$B$36*(IF(H$43=0,SUMPRODUCT((Quesería!$C$62:$C$77=0)*(Quesería!$H$62:$H$77&gt;0)*(Quesería!$J$62:$J$77&gt;0)*Quesería!$F$62:$F$77*(1+Quesería!$I$62:$I$77)),IF(H$43=1,SUMPRODUCT((Quesería!$C$62:$C$77=1)*(Quesería!$H$62:$H$77&gt;0)*(Quesería!$J$62:$J$77&gt;0)*Quesería!$F$62:$F$77*(1+Quesería!$I$62:$I$77))*$I$21,0))*$I$11+H352)</f>
        <v>8.04943809692</v>
      </c>
      <c r="I353" s="35" t="n">
        <f aca="false">Quesería!$B$36*(IF(I$43=0,SUMPRODUCT((Quesería!$C$62:$C$77=0)*(Quesería!$H$62:$H$77&gt;0)*(Quesería!$J$62:$J$77&gt;0)*Quesería!$F$62:$F$77*(1+Quesería!$I$62:$I$77)),IF(I$43=1,SUMPRODUCT((Quesería!$C$62:$C$77=1)*(Quesería!$H$62:$H$77&gt;0)*(Quesería!$J$62:$J$77&gt;0)*Quesería!$F$62:$F$77*(1+Quesería!$I$62:$I$77))*$I$21,0))*$I$11+I352)</f>
        <v>0</v>
      </c>
      <c r="J353" s="35" t="n">
        <f aca="false">Quesería!$B$36*(IF(J$43=0,SUMPRODUCT((Quesería!$C$62:$C$77=0)*(Quesería!$H$62:$H$77&gt;0)*(Quesería!$J$62:$J$77&gt;0)*Quesería!$F$62:$F$77*(1+Quesería!$I$62:$I$77)),IF(J$43=1,SUMPRODUCT((Quesería!$C$62:$C$77=1)*(Quesería!$H$62:$H$77&gt;0)*(Quesería!$J$62:$J$77&gt;0)*Quesería!$F$62:$F$77*(1+Quesería!$I$62:$I$77))*$I$21,0))*$I$11+J352)</f>
        <v>0</v>
      </c>
      <c r="K353" s="35" t="n">
        <f aca="false">Quesería!$B$36*(IF(K$43=0,SUMPRODUCT((Quesería!$C$62:$C$77=0)*(Quesería!$H$62:$H$77&gt;0)*(Quesería!$J$62:$J$77&gt;0)*Quesería!$F$62:$F$77*(1+Quesería!$I$62:$I$77)),IF(K$43=1,SUMPRODUCT((Quesería!$C$62:$C$77=1)*(Quesería!$H$62:$H$77&gt;0)*(Quesería!$J$62:$J$77&gt;0)*Quesería!$F$62:$F$77*(1+Quesería!$I$62:$I$77))*$I$21,0))*$I$11+K352)</f>
        <v>0</v>
      </c>
      <c r="L353" s="35" t="n">
        <f aca="false">Quesería!$B$36*(IF(L$43=0,SUMPRODUCT((Quesería!$C$62:$C$77=0)*(Quesería!$H$62:$H$77&gt;0)*(Quesería!$J$62:$J$77&gt;0)*Quesería!$F$62:$F$77*(1+Quesería!$I$62:$I$77)),IF(L$43=1,SUMPRODUCT((Quesería!$C$62:$C$77=1)*(Quesería!$H$62:$H$77&gt;0)*(Quesería!$J$62:$J$77&gt;0)*Quesería!$F$62:$F$77*(1+Quesería!$I$62:$I$77))*$I$21,0))*$I$11+L352)</f>
        <v>0</v>
      </c>
    </row>
    <row r="354" customFormat="false" ht="15" hidden="false" customHeight="false" outlineLevel="0" collapsed="false">
      <c r="A354" s="6" t="s">
        <v>260</v>
      </c>
      <c r="B354" s="35" t="n">
        <f aca="false">IF(B$43=0,($I$22*Quesería!$J$109+(1-$I$22)*Quesería!$E$105)*Quesería!$B$12*Quesería!$B$13/12*$I$23,(($I$22*Quesería!$J$109+(1-$I$22)*Quesería!$E$105)+($I$22*Quesería!$J$92+(1-$I$22)*Quesería!$E$92)*(B349-1))*IF(B$43=1,Quesería!$B$12,1))*$I$10</f>
        <v>45.6373732102639</v>
      </c>
      <c r="C354" s="35" t="n">
        <f aca="false">IF(C$43=0,($I$22*Quesería!$J$109+(1-$I$22)*Quesería!$E$105)*Quesería!$B$12*Quesería!$B$13/12*$I$23,(($I$22*Quesería!$J$109+(1-$I$22)*Quesería!$E$105)+($I$22*Quesería!$J$92+(1-$I$22)*Quesería!$E$92)*(C349-1))*IF(C$43=1,Quesería!$B$12,1))*$I$10</f>
        <v>137.165278593056</v>
      </c>
      <c r="D354" s="35" t="n">
        <f aca="false">IF(D$43=0,($I$22*Quesería!$J$109+(1-$I$22)*Quesería!$E$105)*Quesería!$B$12*Quesería!$B$13/12*$I$23,(($I$22*Quesería!$J$109+(1-$I$22)*Quesería!$E$105)+($I$22*Quesería!$J$92+(1-$I$22)*Quesería!$E$92)*(D349-1))*IF(D$43=1,Quesería!$B$12,1))*$I$10</f>
        <v>182.947525850489</v>
      </c>
      <c r="E354" s="35" t="n">
        <f aca="false">IF(E$43=0,($I$22*Quesería!$J$109+(1-$I$22)*Quesería!$E$105)*Quesería!$B$12*Quesería!$B$13/12*$I$23,(($I$22*Quesería!$J$109+(1-$I$22)*Quesería!$E$105)+($I$22*Quesería!$J$92+(1-$I$22)*Quesería!$E$92)*(E349-1))*IF(E$43=1,Quesería!$B$12,1))*$I$10</f>
        <v>183.008316015537</v>
      </c>
      <c r="F354" s="35" t="n">
        <f aca="false">IF(F$43=0,($I$22*Quesería!$J$109+(1-$I$22)*Quesería!$E$105)*Quesería!$B$12*Quesería!$B$13/12*$I$23,(($I$22*Quesería!$J$109+(1-$I$22)*Quesería!$E$105)+($I$22*Quesería!$J$92+(1-$I$22)*Quesería!$E$92)*(F349-1))*IF(F$43=1,Quesería!$B$12,1))*$I$10</f>
        <v>183.069410131409</v>
      </c>
      <c r="G354" s="35" t="n">
        <f aca="false">IF(G$43=0,($I$22*Quesería!$J$109+(1-$I$22)*Quesería!$E$105)*Quesería!$B$12*Quesería!$B$13/12*$I$23,(($I$22*Quesería!$J$109+(1-$I$22)*Quesería!$E$105)+($I$22*Quesería!$J$92+(1-$I$22)*Quesería!$E$92)*(G349-1))*IF(G$43=1,Quesería!$B$12,1))*$I$10</f>
        <v>183.130809717861</v>
      </c>
      <c r="H354" s="35" t="n">
        <f aca="false">IF(H$43=0,($I$22*Quesería!$J$109+(1-$I$22)*Quesería!$E$105)*Quesería!$B$12*Quesería!$B$13/12*$I$23,(($I$22*Quesería!$J$109+(1-$I$22)*Quesería!$E$105)+($I$22*Quesería!$J$92+(1-$I$22)*Quesería!$E$92)*(H349-1))*IF(H$43=1,Quesería!$B$12,1))*$I$10</f>
        <v>183.192516302245</v>
      </c>
      <c r="I354" s="35" t="n">
        <f aca="false">IF(I$43=0,($I$22*Quesería!$J$109+(1-$I$22)*Quesería!$E$105)*Quesería!$B$12*Quesería!$B$13/12*$I$23,(($I$22*Quesería!$J$109+(1-$I$22)*Quesería!$E$105)+($I$22*Quesería!$J$92+(1-$I$22)*Quesería!$E$92)*(I349-1))*IF(I$43=1,Quesería!$B$12,1))*$I$10</f>
        <v>183.254531419551</v>
      </c>
      <c r="J354" s="35" t="n">
        <f aca="false">IF(J$43=0,($I$22*Quesería!$J$109+(1-$I$22)*Quesería!$E$105)*Quesería!$B$12*Quesería!$B$13/12*$I$23,(($I$22*Quesería!$J$109+(1-$I$22)*Quesería!$E$105)+($I$22*Quesería!$J$92+(1-$I$22)*Quesería!$E$92)*(J349-1))*IF(J$43=1,Quesería!$B$12,1))*$I$10</f>
        <v>183.316856612443</v>
      </c>
      <c r="K354" s="35" t="n">
        <f aca="false">IF(K$43=0,($I$22*Quesería!$J$109+(1-$I$22)*Quesería!$E$105)*Quesería!$B$12*Quesería!$B$13/12*$I$23,(($I$22*Quesería!$J$109+(1-$I$22)*Quesería!$E$105)+($I$22*Quesería!$J$92+(1-$I$22)*Quesería!$E$92)*(K349-1))*IF(K$43=1,Quesería!$B$12,1))*$I$10</f>
        <v>183.3794934313</v>
      </c>
      <c r="L354" s="35" t="n">
        <f aca="false">IF(L$43=0,($I$22*Quesería!$J$109+(1-$I$22)*Quesería!$E$105)*Quesería!$B$12*Quesería!$B$13/12*$I$23,(($I$22*Quesería!$J$109+(1-$I$22)*Quesería!$E$105)+($I$22*Quesería!$J$92+(1-$I$22)*Quesería!$E$92)*(L349-1))*IF(L$43=1,Quesería!$B$12,1))*$I$10</f>
        <v>183.442443434251</v>
      </c>
    </row>
    <row r="355" customFormat="false" ht="15" hidden="false" customHeight="false" outlineLevel="0" collapsed="false">
      <c r="A355" s="6" t="s">
        <v>261</v>
      </c>
      <c r="B355" s="35" t="n">
        <f aca="false">IF(B$43&lt;=1,0,((($I$22*Quesería!$J$110+(1-$I$22)*Quesería!$E$106)-($I$22*Quesería!$J$99+(1-$I$22)*Quesería!$E$99)+$I$6*($I$22*Quesería!$J$99+(1-$I$22)*Quesería!$E$99)-(1-$I$9)*($I$22*Quesería!$J$102+(1-$I$22)*Quesería!$E$102))+($I$6*($I$22*Quesería!$J$99+(1-$I$22)*Quesería!$E$99)+$I$9*($I$22*Quesería!$J$102+(1-$I$22)*Quesería!$E$102))*(B349-1))*IF(B$43=2,Quesería!$B$12,1)+IF(B$43=2,Quesería!$B$14*$I$9*($I$22*Quesería!$J$102+(1-$I$22)*Quesería!$E$102)*B349,0))*$I$10*$I$21</f>
        <v>0</v>
      </c>
      <c r="C355" s="35" t="n">
        <f aca="false">IF(C$43&lt;=1,0,((($I$22*Quesería!$J$110+(1-$I$22)*Quesería!$E$106)-($I$22*Quesería!$J$99+(1-$I$22)*Quesería!$E$99)+$I$6*($I$22*Quesería!$J$99+(1-$I$22)*Quesería!$E$99)-(1-$I$9)*($I$22*Quesería!$J$102+(1-$I$22)*Quesería!$E$102))+($I$6*($I$22*Quesería!$J$99+(1-$I$22)*Quesería!$E$99)+$I$9*($I$22*Quesería!$J$102+(1-$I$22)*Quesería!$E$102))*(C349-1))*IF(C$43=2,Quesería!$B$12,1)+IF(C$43=2,Quesería!$B$14*$I$9*($I$22*Quesería!$J$102+(1-$I$22)*Quesería!$E$102)*C349,0))*$I$10*$I$21</f>
        <v>0</v>
      </c>
      <c r="D355" s="35" t="n">
        <f aca="false">IF(D$43&lt;=1,0,((($I$22*Quesería!$J$110+(1-$I$22)*Quesería!$E$106)-($I$22*Quesería!$J$99+(1-$I$22)*Quesería!$E$99)+$I$6*($I$22*Quesería!$J$99+(1-$I$22)*Quesería!$E$99)-(1-$I$9)*($I$22*Quesería!$J$102+(1-$I$22)*Quesería!$E$102))+($I$6*($I$22*Quesería!$J$99+(1-$I$22)*Quesería!$E$99)+$I$9*($I$22*Quesería!$J$102+(1-$I$22)*Quesería!$E$102))*(D349-1))*IF(D$43=2,Quesería!$B$12,1)+IF(D$43=2,Quesería!$B$14*$I$9*($I$22*Quesería!$J$102+(1-$I$22)*Quesería!$E$102)*D349,0))*$I$10*$I$21</f>
        <v>197.837804186257</v>
      </c>
      <c r="E355" s="35" t="n">
        <f aca="false">IF(E$43&lt;=1,0,((($I$22*Quesería!$J$110+(1-$I$22)*Quesería!$E$106)-($I$22*Quesería!$J$99+(1-$I$22)*Quesería!$E$99)+$I$6*($I$22*Quesería!$J$99+(1-$I$22)*Quesería!$E$99)-(1-$I$9)*($I$22*Quesería!$J$102+(1-$I$22)*Quesería!$E$102))+($I$6*($I$22*Quesería!$J$99+(1-$I$22)*Quesería!$E$99)+$I$9*($I$22*Quesería!$J$102+(1-$I$22)*Quesería!$E$102))*(E349-1))*IF(E$43=2,Quesería!$B$12,1)+IF(E$43=2,Quesería!$B$14*$I$9*($I$22*Quesería!$J$102+(1-$I$22)*Quesería!$E$102)*E349,0))*$I$10*$I$21</f>
        <v>234.441939047038</v>
      </c>
      <c r="F355" s="35" t="n">
        <f aca="false">IF(F$43&lt;=1,0,((($I$22*Quesería!$J$110+(1-$I$22)*Quesería!$E$106)-($I$22*Quesería!$J$99+(1-$I$22)*Quesería!$E$99)+$I$6*($I$22*Quesería!$J$99+(1-$I$22)*Quesería!$E$99)-(1-$I$9)*($I$22*Quesería!$J$102+(1-$I$22)*Quesería!$E$102))+($I$6*($I$22*Quesería!$J$99+(1-$I$22)*Quesería!$E$99)+$I$9*($I$22*Quesería!$J$102+(1-$I$22)*Quesería!$E$102))*(F349-1))*IF(F$43=2,Quesería!$B$12,1)+IF(F$43=2,Quesería!$B$14*$I$9*($I$22*Quesería!$J$102+(1-$I$22)*Quesería!$E$102)*F349,0))*$I$10*$I$21</f>
        <v>234.877078770292</v>
      </c>
      <c r="G355" s="35" t="n">
        <f aca="false">IF(G$43&lt;=1,0,((($I$22*Quesería!$J$110+(1-$I$22)*Quesería!$E$106)-($I$22*Quesería!$J$99+(1-$I$22)*Quesería!$E$99)+$I$6*($I$22*Quesería!$J$99+(1-$I$22)*Quesería!$E$99)-(1-$I$9)*($I$22*Quesería!$J$102+(1-$I$22)*Quesería!$E$102))+($I$6*($I$22*Quesería!$J$99+(1-$I$22)*Quesería!$E$99)+$I$9*($I$22*Quesería!$J$102+(1-$I$22)*Quesería!$E$102))*(G349-1))*IF(G$43=2,Quesería!$B$12,1)+IF(G$43=2,Quesería!$B$14*$I$9*($I$22*Quesería!$J$102+(1-$I$22)*Quesería!$E$102)*G349,0))*$I$10*$I$21</f>
        <v>235.314394192163</v>
      </c>
      <c r="H355" s="35" t="n">
        <f aca="false">IF(H$43&lt;=1,0,((($I$22*Quesería!$J$110+(1-$I$22)*Quesería!$E$106)-($I$22*Quesería!$J$99+(1-$I$22)*Quesería!$E$99)+$I$6*($I$22*Quesería!$J$99+(1-$I$22)*Quesería!$E$99)-(1-$I$9)*($I$22*Quesería!$J$102+(1-$I$22)*Quesería!$E$102))+($I$6*($I$22*Quesería!$J$99+(1-$I$22)*Quesería!$E$99)+$I$9*($I$22*Quesería!$J$102+(1-$I$22)*Quesería!$E$102))*(H349-1))*IF(H$43=2,Quesería!$B$12,1)+IF(H$43=2,Quesería!$B$14*$I$9*($I$22*Quesería!$J$102+(1-$I$22)*Quesería!$E$102)*H349,0))*$I$10*$I$21</f>
        <v>235.753896191143</v>
      </c>
      <c r="I355" s="35" t="n">
        <f aca="false">IF(I$43&lt;=1,0,((($I$22*Quesería!$J$110+(1-$I$22)*Quesería!$E$106)-($I$22*Quesería!$J$99+(1-$I$22)*Quesería!$E$99)+$I$6*($I$22*Quesería!$J$99+(1-$I$22)*Quesería!$E$99)-(1-$I$9)*($I$22*Quesería!$J$102+(1-$I$22)*Quesería!$E$102))+($I$6*($I$22*Quesería!$J$99+(1-$I$22)*Quesería!$E$99)+$I$9*($I$22*Quesería!$J$102+(1-$I$22)*Quesería!$E$102))*(I349-1))*IF(I$43=2,Quesería!$B$12,1)+IF(I$43=2,Quesería!$B$14*$I$9*($I$22*Quesería!$J$102+(1-$I$22)*Quesería!$E$102)*I349,0))*$I$10*$I$21</f>
        <v>236.195595700118</v>
      </c>
      <c r="J355" s="35" t="n">
        <f aca="false">IF(J$43&lt;=1,0,((($I$22*Quesería!$J$110+(1-$I$22)*Quesería!$E$106)-($I$22*Quesería!$J$99+(1-$I$22)*Quesería!$E$99)+$I$6*($I$22*Quesería!$J$99+(1-$I$22)*Quesería!$E$99)-(1-$I$9)*($I$22*Quesería!$J$102+(1-$I$22)*Quesería!$E$102))+($I$6*($I$22*Quesería!$J$99+(1-$I$22)*Quesería!$E$99)+$I$9*($I$22*Quesería!$J$102+(1-$I$22)*Quesería!$E$102))*(J349-1))*IF(J$43=2,Quesería!$B$12,1)+IF(J$43=2,Quesería!$B$14*$I$9*($I$22*Quesería!$J$102+(1-$I$22)*Quesería!$E$102)*J349,0))*$I$10*$I$21</f>
        <v>236.639503706638</v>
      </c>
      <c r="K355" s="35" t="n">
        <f aca="false">IF(K$43&lt;=1,0,((($I$22*Quesería!$J$110+(1-$I$22)*Quesería!$E$106)-($I$22*Quesería!$J$99+(1-$I$22)*Quesería!$E$99)+$I$6*($I$22*Quesería!$J$99+(1-$I$22)*Quesería!$E$99)-(1-$I$9)*($I$22*Quesería!$J$102+(1-$I$22)*Quesería!$E$102))+($I$6*($I$22*Quesería!$J$99+(1-$I$22)*Quesería!$E$99)+$I$9*($I$22*Quesería!$J$102+(1-$I$22)*Quesería!$E$102))*(K349-1))*IF(K$43=2,Quesería!$B$12,1)+IF(K$43=2,Quesería!$B$14*$I$9*($I$22*Quesería!$J$102+(1-$I$22)*Quesería!$E$102)*K349,0))*$I$10*$I$21</f>
        <v>237.08563125319</v>
      </c>
      <c r="L355" s="35" t="n">
        <f aca="false">IF(L$43&lt;=1,0,((($I$22*Quesería!$J$110+(1-$I$22)*Quesería!$E$106)-($I$22*Quesería!$J$99+(1-$I$22)*Quesería!$E$99)+$I$6*($I$22*Quesería!$J$99+(1-$I$22)*Quesería!$E$99)-(1-$I$9)*($I$22*Quesería!$J$102+(1-$I$22)*Quesería!$E$102))+($I$6*($I$22*Quesería!$J$99+(1-$I$22)*Quesería!$E$99)+$I$9*($I$22*Quesería!$J$102+(1-$I$22)*Quesería!$E$102))*(L349-1))*IF(L$43=2,Quesería!$B$12,1)+IF(L$43=2,Quesería!$B$14*$I$9*($I$22*Quesería!$J$102+(1-$I$22)*Quesería!$E$102)*L349,0))*$I$10*$I$21</f>
        <v>237.533989437476</v>
      </c>
    </row>
    <row r="356" customFormat="false" ht="15" hidden="false" customHeight="false" outlineLevel="0" collapsed="false">
      <c r="A356" s="5" t="s">
        <v>287</v>
      </c>
      <c r="B356" s="10" t="n">
        <f aca="false">B354+B355</f>
        <v>45.6373732102639</v>
      </c>
      <c r="C356" s="10" t="n">
        <f aca="false">C354+C355</f>
        <v>137.165278593056</v>
      </c>
      <c r="D356" s="10" t="n">
        <f aca="false">D354+D355</f>
        <v>380.785330036747</v>
      </c>
      <c r="E356" s="10" t="n">
        <f aca="false">E354+E355</f>
        <v>417.450255062574</v>
      </c>
      <c r="F356" s="10" t="n">
        <f aca="false">F354+F355</f>
        <v>417.946488901701</v>
      </c>
      <c r="G356" s="10" t="n">
        <f aca="false">G354+G355</f>
        <v>418.445203910024</v>
      </c>
      <c r="H356" s="10" t="n">
        <f aca="false">H354+H355</f>
        <v>418.946412493388</v>
      </c>
      <c r="I356" s="10" t="n">
        <f aca="false">I354+I355</f>
        <v>419.450127119669</v>
      </c>
      <c r="J356" s="10" t="n">
        <f aca="false">J354+J355</f>
        <v>419.956360319081</v>
      </c>
      <c r="K356" s="10" t="n">
        <f aca="false">K354+K355</f>
        <v>420.465124684491</v>
      </c>
      <c r="L356" s="10" t="n">
        <f aca="false">L354+L355</f>
        <v>420.976432871727</v>
      </c>
    </row>
    <row r="357" customFormat="false" ht="15" hidden="false" customHeight="false" outlineLevel="0" collapsed="false">
      <c r="A357" s="6" t="s">
        <v>288</v>
      </c>
      <c r="B357" s="35" t="n">
        <f aca="false">(IF(B$43&gt;=1,(Quesería!$B$21+Quesería!$B$54)*Quesería!$F$82*$I$11+Quesería!$B$22+'Beneficios y costos'!$B$118,0)+IF(B$43&gt;=2,((Quesería!$B$21+Quesería!$B$54)*Quesería!$F$83*$I$11+'Beneficios y costos'!$C$118)*$I$21,0))*$I$12</f>
        <v>0</v>
      </c>
      <c r="C357" s="35" t="n">
        <f aca="false">(IF(C$43&gt;=1,(Quesería!$B$21+Quesería!$B$54)*Quesería!$F$82*$I$11+Quesería!$B$22+'Beneficios y costos'!$B$118,0)+IF(C$43&gt;=2,((Quesería!$B$21+Quesería!$B$54)*Quesería!$F$83*$I$11+'Beneficios y costos'!$C$118)*$I$21,0))*$I$12</f>
        <v>39.1869488121</v>
      </c>
      <c r="D357" s="35" t="n">
        <f aca="false">(IF(D$43&gt;=1,(Quesería!$B$21+Quesería!$B$54)*Quesería!$F$82*$I$11+Quesería!$B$22+'Beneficios y costos'!$B$118,0)+IF(D$43&gt;=2,((Quesería!$B$21+Quesería!$B$54)*Quesería!$F$83*$I$11+'Beneficios y costos'!$C$118)*$I$21,0))*$I$12</f>
        <v>94.4115336466544</v>
      </c>
      <c r="E357" s="35" t="n">
        <f aca="false">(IF(E$43&gt;=1,(Quesería!$B$21+Quesería!$B$54)*Quesería!$F$82*$I$11+Quesería!$B$22+'Beneficios y costos'!$B$118,0)+IF(E$43&gt;=2,((Quesería!$B$21+Quesería!$B$54)*Quesería!$F$83*$I$11+'Beneficios y costos'!$C$118)*$I$21,0))*$I$12</f>
        <v>94.4115336466544</v>
      </c>
      <c r="F357" s="35" t="n">
        <f aca="false">(IF(F$43&gt;=1,(Quesería!$B$21+Quesería!$B$54)*Quesería!$F$82*$I$11+Quesería!$B$22+'Beneficios y costos'!$B$118,0)+IF(F$43&gt;=2,((Quesería!$B$21+Quesería!$B$54)*Quesería!$F$83*$I$11+'Beneficios y costos'!$C$118)*$I$21,0))*$I$12</f>
        <v>94.4115336466544</v>
      </c>
      <c r="G357" s="35" t="n">
        <f aca="false">(IF(G$43&gt;=1,(Quesería!$B$21+Quesería!$B$54)*Quesería!$F$82*$I$11+Quesería!$B$22+'Beneficios y costos'!$B$118,0)+IF(G$43&gt;=2,((Quesería!$B$21+Quesería!$B$54)*Quesería!$F$83*$I$11+'Beneficios y costos'!$C$118)*$I$21,0))*$I$12</f>
        <v>94.4115336466544</v>
      </c>
      <c r="H357" s="35" t="n">
        <f aca="false">(IF(H$43&gt;=1,(Quesería!$B$21+Quesería!$B$54)*Quesería!$F$82*$I$11+Quesería!$B$22+'Beneficios y costos'!$B$118,0)+IF(H$43&gt;=2,((Quesería!$B$21+Quesería!$B$54)*Quesería!$F$83*$I$11+'Beneficios y costos'!$C$118)*$I$21,0))*$I$12</f>
        <v>94.4115336466544</v>
      </c>
      <c r="I357" s="35" t="n">
        <f aca="false">(IF(I$43&gt;=1,(Quesería!$B$21+Quesería!$B$54)*Quesería!$F$82*$I$11+Quesería!$B$22+'Beneficios y costos'!$B$118,0)+IF(I$43&gt;=2,((Quesería!$B$21+Quesería!$B$54)*Quesería!$F$83*$I$11+'Beneficios y costos'!$C$118)*$I$21,0))*$I$12</f>
        <v>94.4115336466544</v>
      </c>
      <c r="J357" s="35" t="n">
        <f aca="false">(IF(J$43&gt;=1,(Quesería!$B$21+Quesería!$B$54)*Quesería!$F$82*$I$11+Quesería!$B$22+'Beneficios y costos'!$B$118,0)+IF(J$43&gt;=2,((Quesería!$B$21+Quesería!$B$54)*Quesería!$F$83*$I$11+'Beneficios y costos'!$C$118)*$I$21,0))*$I$12</f>
        <v>94.4115336466544</v>
      </c>
      <c r="K357" s="35" t="n">
        <f aca="false">(IF(K$43&gt;=1,(Quesería!$B$21+Quesería!$B$54)*Quesería!$F$82*$I$11+Quesería!$B$22+'Beneficios y costos'!$B$118,0)+IF(K$43&gt;=2,((Quesería!$B$21+Quesería!$B$54)*Quesería!$F$83*$I$11+'Beneficios y costos'!$C$118)*$I$21,0))*$I$12</f>
        <v>94.4115336466544</v>
      </c>
      <c r="L357" s="35" t="n">
        <f aca="false">(IF(L$43&gt;=1,(Quesería!$B$21+Quesería!$B$54)*Quesería!$F$82*$I$11+Quesería!$B$22+'Beneficios y costos'!$B$118,0)+IF(L$43&gt;=2,((Quesería!$B$21+Quesería!$B$54)*Quesería!$F$83*$I$11+'Beneficios y costos'!$C$118)*$I$21,0))*$I$12</f>
        <v>94.4115336466544</v>
      </c>
    </row>
    <row r="358" customFormat="false" ht="15" hidden="false" customHeight="false" outlineLevel="0" collapsed="false">
      <c r="A358" s="6" t="s">
        <v>289</v>
      </c>
      <c r="B358" s="35" t="n">
        <f aca="false">IF(B$43=1,2*Quesería!$B$33*Quesería!$B$34/12*B349,0)*$I$21</f>
        <v>0</v>
      </c>
      <c r="C358" s="35" t="n">
        <f aca="false">IF(C$43=1,2*Quesería!$B$33*Quesería!$B$34/12*C349,0)*$I$21</f>
        <v>18.5166509433962</v>
      </c>
      <c r="D358" s="35" t="n">
        <f aca="false">IF(D$43=1,2*Quesería!$B$33*Quesería!$B$34/12*D349,0)*$I$21</f>
        <v>0</v>
      </c>
      <c r="E358" s="35" t="n">
        <f aca="false">IF(E$43=1,2*Quesería!$B$33*Quesería!$B$34/12*E349,0)*$I$21</f>
        <v>0</v>
      </c>
      <c r="F358" s="35" t="n">
        <f aca="false">IF(F$43=1,2*Quesería!$B$33*Quesería!$B$34/12*F349,0)*$I$21</f>
        <v>0</v>
      </c>
      <c r="G358" s="35" t="n">
        <f aca="false">IF(G$43=1,2*Quesería!$B$33*Quesería!$B$34/12*G349,0)*$I$21</f>
        <v>0</v>
      </c>
      <c r="H358" s="35" t="n">
        <f aca="false">IF(H$43=1,2*Quesería!$B$33*Quesería!$B$34/12*H349,0)*$I$21</f>
        <v>0</v>
      </c>
      <c r="I358" s="35" t="n">
        <f aca="false">IF(I$43=1,2*Quesería!$B$33*Quesería!$B$34/12*I349,0)*$I$21</f>
        <v>0</v>
      </c>
      <c r="J358" s="35" t="n">
        <f aca="false">IF(J$43=1,2*Quesería!$B$33*Quesería!$B$34/12*J349,0)*$I$21</f>
        <v>0</v>
      </c>
      <c r="K358" s="35" t="n">
        <f aca="false">IF(K$43=1,2*Quesería!$B$33*Quesería!$B$34/12*K349,0)*$I$21</f>
        <v>0</v>
      </c>
      <c r="L358" s="35" t="n">
        <f aca="false">IF(L$43=1,2*Quesería!$B$33*Quesería!$B$34/12*L349,0)*$I$21</f>
        <v>0</v>
      </c>
    </row>
    <row r="359" customFormat="false" ht="15" hidden="false" customHeight="false" outlineLevel="0" collapsed="false">
      <c r="A359" s="6" t="s">
        <v>290</v>
      </c>
      <c r="B359" s="35" t="n">
        <f aca="false">Quesería!$B$45*(B351+B352+B353+B357+B358)</f>
        <v>3.46363919909037</v>
      </c>
      <c r="C359" s="35" t="n">
        <f aca="false">Quesería!$B$45*(C351+C352+C353+C357+C358)</f>
        <v>3.91659714498307</v>
      </c>
      <c r="D359" s="35" t="n">
        <f aca="false">Quesería!$B$45*(D351+D352+D353+D357+D358)</f>
        <v>0.377646134586618</v>
      </c>
      <c r="E359" s="35" t="n">
        <f aca="false">Quesería!$B$45*(E351+E352+E353+E357+E358)</f>
        <v>0.377646134586618</v>
      </c>
      <c r="F359" s="35" t="n">
        <f aca="false">Quesería!$B$45*(F351+F352+F353+F357+F358)</f>
        <v>0.377646134586618</v>
      </c>
      <c r="G359" s="35" t="n">
        <f aca="false">Quesería!$B$45*(G351+G352+G353+G357+G358)</f>
        <v>0.529966134586618</v>
      </c>
      <c r="H359" s="35" t="n">
        <f aca="false">Quesería!$B$45*(H351+H352+H353+H357+H358)</f>
        <v>0.579305741646298</v>
      </c>
      <c r="I359" s="35" t="n">
        <f aca="false">Quesería!$B$45*(I351+I352+I353+I357+I358)</f>
        <v>0.377646134586618</v>
      </c>
      <c r="J359" s="35" t="n">
        <f aca="false">Quesería!$B$45*(J351+J352+J353+J357+J358)</f>
        <v>0.377646134586618</v>
      </c>
      <c r="K359" s="35" t="n">
        <f aca="false">Quesería!$B$45*(K351+K352+K353+K357+K358)</f>
        <v>0.377646134586618</v>
      </c>
      <c r="L359" s="35" t="n">
        <f aca="false">Quesería!$B$45*(L351+L352+L353+L357+L358)</f>
        <v>0.377646134586618</v>
      </c>
    </row>
    <row r="360" customFormat="false" ht="15" hidden="false" customHeight="false" outlineLevel="0" collapsed="false">
      <c r="A360" s="6" t="s">
        <v>291</v>
      </c>
      <c r="B360" s="35" t="n">
        <f aca="false">(IF($I$19=1,(SUMPRODUCT((Quesería!$C$62:$C$77=0)*(Quesería!$J$62:$J$77&gt;0)*(B$43&gt;=1)*(B$43&lt;=Quesería!$J$62:$J$77)*(Quesería!$H$62:$H$77&gt;0)*Quesería!$F$62:$F$77*(1+Quesería!$I$62:$I$77)/(Quesería!$J$62:$J$77+(Quesería!$J$62:$J$77=0)))+SUMPRODUCT((Quesería!$C$62:$C$77=0)*(Quesería!$J$62:$J$77=0)*(B$43=0)*(Quesería!$H$62:$H$77&gt;0)*Quesería!$F$62:$F$77*(1+Quesería!$I$62:$I$77)))*$B$348+(SUMPRODUCT((Quesería!$C$62:$C$77=1)*(Quesería!$J$62:$J$77&gt;0)*(B$43&gt;=2)*(B$43&lt;=Quesería!$J$62:$J$77+1)*(Quesería!$H$62:$H$77&gt;0)*Quesería!$F$62:$F$77*(1+Quesería!$I$62:$I$77)/(Quesería!$J$62:$J$77+(Quesería!$J$62:$J$77=0)))+SUMPRODUCT((Quesería!$C$62:$C$77=1)*(Quesería!$J$62:$J$77=0)*(B$43=1)*(Quesería!$H$62:$H$77&gt;0)*Quesería!$F$62:$F$77*(1+Quesería!$I$62:$I$77)))*$C$348*$I$21,IF(AND(B$43&gt;=1,B$43&lt;=Quesería!$B$11),Quesería!$F$80/Quesería!$B$11,0)*$B$348+IF(AND(B$43&gt;=2,B$43&lt;=Quesería!$B$11+1),Quesería!$F$81/Quesería!$B$11,0)*$C$348*$I$21)*$I$11+IF(AND(B$43&gt;=6,B$43&lt;=10),$G352*$G348/5,0)+IF(AND(B$43&gt;=7,B$43&lt;=11),$H352*$H348/5,0))*B350</f>
        <v>119.232082946294</v>
      </c>
      <c r="C360" s="35" t="n">
        <f aca="false">(IF($I$19=1,(SUMPRODUCT((Quesería!$C$62:$C$77=0)*(Quesería!$J$62:$J$77&gt;0)*(C$43&gt;=1)*(C$43&lt;=Quesería!$J$62:$J$77)*(Quesería!$H$62:$H$77&gt;0)*Quesería!$F$62:$F$77*(1+Quesería!$I$62:$I$77)/(Quesería!$J$62:$J$77+(Quesería!$J$62:$J$77=0)))+SUMPRODUCT((Quesería!$C$62:$C$77=0)*(Quesería!$J$62:$J$77=0)*(C$43=0)*(Quesería!$H$62:$H$77&gt;0)*Quesería!$F$62:$F$77*(1+Quesería!$I$62:$I$77)))*$B$348+(SUMPRODUCT((Quesería!$C$62:$C$77=1)*(Quesería!$J$62:$J$77&gt;0)*(C$43&gt;=2)*(C$43&lt;=Quesería!$J$62:$J$77+1)*(Quesería!$H$62:$H$77&gt;0)*Quesería!$F$62:$F$77*(1+Quesería!$I$62:$I$77)/(Quesería!$J$62:$J$77+(Quesería!$J$62:$J$77=0)))+SUMPRODUCT((Quesería!$C$62:$C$77=1)*(Quesería!$J$62:$J$77=0)*(C$43=1)*(Quesería!$H$62:$H$77&gt;0)*Quesería!$F$62:$F$77*(1+Quesería!$I$62:$I$77)))*$C$348*$I$21,IF(AND(C$43&gt;=1,C$43&lt;=Quesería!$B$11),Quesería!$F$80/Quesería!$B$11,0)*$B$348+IF(AND(C$43&gt;=2,C$43&lt;=Quesería!$B$11+1),Quesería!$F$81/Quesería!$B$11,0)*$C$348*$I$21)*$I$11+IF(AND(C$43&gt;=6,C$43&lt;=10),$G352*$G348/5,0)+IF(AND(C$43&gt;=7,C$43&lt;=11),$H352*$H348/5,0))*C350</f>
        <v>68.5200253562464</v>
      </c>
      <c r="D360" s="35" t="n">
        <f aca="false">(IF($I$19=1,(SUMPRODUCT((Quesería!$C$62:$C$77=0)*(Quesería!$J$62:$J$77&gt;0)*(D$43&gt;=1)*(D$43&lt;=Quesería!$J$62:$J$77)*(Quesería!$H$62:$H$77&gt;0)*Quesería!$F$62:$F$77*(1+Quesería!$I$62:$I$77)/(Quesería!$J$62:$J$77+(Quesería!$J$62:$J$77=0)))+SUMPRODUCT((Quesería!$C$62:$C$77=0)*(Quesería!$J$62:$J$77=0)*(D$43=0)*(Quesería!$H$62:$H$77&gt;0)*Quesería!$F$62:$F$77*(1+Quesería!$I$62:$I$77)))*$B$348+(SUMPRODUCT((Quesería!$C$62:$C$77=1)*(Quesería!$J$62:$J$77&gt;0)*(D$43&gt;=2)*(D$43&lt;=Quesería!$J$62:$J$77+1)*(Quesería!$H$62:$H$77&gt;0)*Quesería!$F$62:$F$77*(1+Quesería!$I$62:$I$77)/(Quesería!$J$62:$J$77+(Quesería!$J$62:$J$77=0)))+SUMPRODUCT((Quesería!$C$62:$C$77=1)*(Quesería!$J$62:$J$77=0)*(D$43=1)*(Quesería!$H$62:$H$77&gt;0)*Quesería!$F$62:$F$77*(1+Quesería!$I$62:$I$77)))*$C$348*$I$21,IF(AND(D$43&gt;=1,D$43&lt;=Quesería!$B$11),Quesería!$F$80/Quesería!$B$11,0)*$B$348+IF(AND(D$43&gt;=2,D$43&lt;=Quesería!$B$11+1),Quesería!$F$81/Quesería!$B$11,0)*$C$348*$I$21)*$I$11+IF(AND(D$43&gt;=6,D$43&lt;=10),$G352*$G348/5,0)+IF(AND(D$43&gt;=7,D$43&lt;=11),$H352*$H348/5,0))*D350</f>
        <v>139.667402857111</v>
      </c>
      <c r="E360" s="35" t="n">
        <f aca="false">(IF($I$19=1,(SUMPRODUCT((Quesería!$C$62:$C$77=0)*(Quesería!$J$62:$J$77&gt;0)*(E$43&gt;=1)*(E$43&lt;=Quesería!$J$62:$J$77)*(Quesería!$H$62:$H$77&gt;0)*Quesería!$F$62:$F$77*(1+Quesería!$I$62:$I$77)/(Quesería!$J$62:$J$77+(Quesería!$J$62:$J$77=0)))+SUMPRODUCT((Quesería!$C$62:$C$77=0)*(Quesería!$J$62:$J$77=0)*(E$43=0)*(Quesería!$H$62:$H$77&gt;0)*Quesería!$F$62:$F$77*(1+Quesería!$I$62:$I$77)))*$B$348+(SUMPRODUCT((Quesería!$C$62:$C$77=1)*(Quesería!$J$62:$J$77&gt;0)*(E$43&gt;=2)*(E$43&lt;=Quesería!$J$62:$J$77+1)*(Quesería!$H$62:$H$77&gt;0)*Quesería!$F$62:$F$77*(1+Quesería!$I$62:$I$77)/(Quesería!$J$62:$J$77+(Quesería!$J$62:$J$77=0)))+SUMPRODUCT((Quesería!$C$62:$C$77=1)*(Quesería!$J$62:$J$77=0)*(E$43=1)*(Quesería!$H$62:$H$77&gt;0)*Quesería!$F$62:$F$77*(1+Quesería!$I$62:$I$77)))*$C$348*$I$21,IF(AND(E$43&gt;=1,E$43&lt;=Quesería!$B$11),Quesería!$F$80/Quesería!$B$11,0)*$B$348+IF(AND(E$43&gt;=2,E$43&lt;=Quesería!$B$11+1),Quesería!$F$81/Quesería!$B$11,0)*$C$348*$I$21)*$I$11+IF(AND(E$43&gt;=6,E$43&lt;=10),$G352*$G348/5,0)+IF(AND(E$43&gt;=7,E$43&lt;=11),$H352*$H348/5,0))*E350</f>
        <v>134.295579670299</v>
      </c>
      <c r="F360" s="35" t="n">
        <f aca="false">(IF($I$19=1,(SUMPRODUCT((Quesería!$C$62:$C$77=0)*(Quesería!$J$62:$J$77&gt;0)*(F$43&gt;=1)*(F$43&lt;=Quesería!$J$62:$J$77)*(Quesería!$H$62:$H$77&gt;0)*Quesería!$F$62:$F$77*(1+Quesería!$I$62:$I$77)/(Quesería!$J$62:$J$77+(Quesería!$J$62:$J$77=0)))+SUMPRODUCT((Quesería!$C$62:$C$77=0)*(Quesería!$J$62:$J$77=0)*(F$43=0)*(Quesería!$H$62:$H$77&gt;0)*Quesería!$F$62:$F$77*(1+Quesería!$I$62:$I$77)))*$B$348+(SUMPRODUCT((Quesería!$C$62:$C$77=1)*(Quesería!$J$62:$J$77&gt;0)*(F$43&gt;=2)*(F$43&lt;=Quesería!$J$62:$J$77+1)*(Quesería!$H$62:$H$77&gt;0)*Quesería!$F$62:$F$77*(1+Quesería!$I$62:$I$77)/(Quesería!$J$62:$J$77+(Quesería!$J$62:$J$77=0)))+SUMPRODUCT((Quesería!$C$62:$C$77=1)*(Quesería!$J$62:$J$77=0)*(F$43=1)*(Quesería!$H$62:$H$77&gt;0)*Quesería!$F$62:$F$77*(1+Quesería!$I$62:$I$77)))*$C$348*$I$21,IF(AND(F$43&gt;=1,F$43&lt;=Quesería!$B$11),Quesería!$F$80/Quesería!$B$11,0)*$B$348+IF(AND(F$43&gt;=2,F$43&lt;=Quesería!$B$11+1),Quesería!$F$81/Quesería!$B$11,0)*$C$348*$I$21)*$I$11+IF(AND(F$43&gt;=6,F$43&lt;=10),$G352*$G348/5,0)+IF(AND(F$43&gt;=7,F$43&lt;=11),$H352*$H348/5,0))*F350</f>
        <v>129.130365067595</v>
      </c>
      <c r="G360" s="35" t="n">
        <f aca="false">(IF($I$19=1,(SUMPRODUCT((Quesería!$C$62:$C$77=0)*(Quesería!$J$62:$J$77&gt;0)*(G$43&gt;=1)*(G$43&lt;=Quesería!$J$62:$J$77)*(Quesería!$H$62:$H$77&gt;0)*Quesería!$F$62:$F$77*(1+Quesería!$I$62:$I$77)/(Quesería!$J$62:$J$77+(Quesería!$J$62:$J$77=0)))+SUMPRODUCT((Quesería!$C$62:$C$77=0)*(Quesería!$J$62:$J$77=0)*(G$43=0)*(Quesería!$H$62:$H$77&gt;0)*Quesería!$F$62:$F$77*(1+Quesería!$I$62:$I$77)))*$B$348+(SUMPRODUCT((Quesería!$C$62:$C$77=1)*(Quesería!$J$62:$J$77&gt;0)*(G$43&gt;=2)*(G$43&lt;=Quesería!$J$62:$J$77+1)*(Quesería!$H$62:$H$77&gt;0)*Quesería!$F$62:$F$77*(1+Quesería!$I$62:$I$77)/(Quesería!$J$62:$J$77+(Quesería!$J$62:$J$77=0)))+SUMPRODUCT((Quesería!$C$62:$C$77=1)*(Quesería!$J$62:$J$77=0)*(G$43=1)*(Quesería!$H$62:$H$77&gt;0)*Quesería!$F$62:$F$77*(1+Quesería!$I$62:$I$77)))*$C$348*$I$21,IF(AND(G$43&gt;=1,G$43&lt;=Quesería!$B$11),Quesería!$F$80/Quesería!$B$11,0)*$B$348+IF(AND(G$43&gt;=2,G$43&lt;=Quesería!$B$11+1),Quesería!$F$81/Quesería!$B$11,0)*$C$348*$I$21)*$I$11+IF(AND(G$43&gt;=6,G$43&lt;=10),$G352*$G348/5,0)+IF(AND(G$43&gt;=7,G$43&lt;=11),$H352*$H348/5,0))*G350</f>
        <v>124.163812564995</v>
      </c>
      <c r="H360" s="35" t="n">
        <f aca="false">(IF($I$19=1,(SUMPRODUCT((Quesería!$C$62:$C$77=0)*(Quesería!$J$62:$J$77&gt;0)*(H$43&gt;=1)*(H$43&lt;=Quesería!$J$62:$J$77)*(Quesería!$H$62:$H$77&gt;0)*Quesería!$F$62:$F$77*(1+Quesería!$I$62:$I$77)/(Quesería!$J$62:$J$77+(Quesería!$J$62:$J$77=0)))+SUMPRODUCT((Quesería!$C$62:$C$77=0)*(Quesería!$J$62:$J$77=0)*(H$43=0)*(Quesería!$H$62:$H$77&gt;0)*Quesería!$F$62:$F$77*(1+Quesería!$I$62:$I$77)))*$B$348+(SUMPRODUCT((Quesería!$C$62:$C$77=1)*(Quesería!$J$62:$J$77&gt;0)*(H$43&gt;=2)*(H$43&lt;=Quesería!$J$62:$J$77+1)*(Quesería!$H$62:$H$77&gt;0)*Quesería!$F$62:$F$77*(1+Quesería!$I$62:$I$77)/(Quesería!$J$62:$J$77+(Quesería!$J$62:$J$77=0)))+SUMPRODUCT((Quesería!$C$62:$C$77=1)*(Quesería!$J$62:$J$77=0)*(H$43=1)*(Quesería!$H$62:$H$77&gt;0)*Quesería!$F$62:$F$77*(1+Quesería!$I$62:$I$77)))*$C$348*$I$21,IF(AND(H$43&gt;=1,H$43&lt;=Quesería!$B$11),Quesería!$F$80/Quesería!$B$11,0)*$B$348+IF(AND(H$43&gt;=2,H$43&lt;=Quesería!$B$11+1),Quesería!$F$81/Quesería!$B$11,0)*$C$348*$I$21)*$I$11+IF(AND(H$43&gt;=6,H$43&lt;=10),$G352*$G348/5,0)+IF(AND(H$43&gt;=7,H$43&lt;=11),$H352*$H348/5,0))*H350</f>
        <v>111.207748687625</v>
      </c>
      <c r="I360" s="35" t="n">
        <f aca="false">(IF($I$19=1,(SUMPRODUCT((Quesería!$C$62:$C$77=0)*(Quesería!$J$62:$J$77&gt;0)*(I$43&gt;=1)*(I$43&lt;=Quesería!$J$62:$J$77)*(Quesería!$H$62:$H$77&gt;0)*Quesería!$F$62:$F$77*(1+Quesería!$I$62:$I$77)/(Quesería!$J$62:$J$77+(Quesería!$J$62:$J$77=0)))+SUMPRODUCT((Quesería!$C$62:$C$77=0)*(Quesería!$J$62:$J$77=0)*(I$43=0)*(Quesería!$H$62:$H$77&gt;0)*Quesería!$F$62:$F$77*(1+Quesería!$I$62:$I$77)))*$B$348+(SUMPRODUCT((Quesería!$C$62:$C$77=1)*(Quesería!$J$62:$J$77&gt;0)*(I$43&gt;=2)*(I$43&lt;=Quesería!$J$62:$J$77+1)*(Quesería!$H$62:$H$77&gt;0)*Quesería!$F$62:$F$77*(1+Quesería!$I$62:$I$77)/(Quesería!$J$62:$J$77+(Quesería!$J$62:$J$77=0)))+SUMPRODUCT((Quesería!$C$62:$C$77=1)*(Quesería!$J$62:$J$77=0)*(I$43=1)*(Quesería!$H$62:$H$77&gt;0)*Quesería!$F$62:$F$77*(1+Quesería!$I$62:$I$77)))*$C$348*$I$21,IF(AND(I$43&gt;=1,I$43&lt;=Quesería!$B$11),Quesería!$F$80/Quesería!$B$11,0)*$B$348+IF(AND(I$43&gt;=2,I$43&lt;=Quesería!$B$11+1),Quesería!$F$81/Quesería!$B$11,0)*$C$348*$I$21)*$I$11+IF(AND(I$43&gt;=6,I$43&lt;=10),$G352*$G348/5,0)+IF(AND(I$43&gt;=7,I$43&lt;=11),$H352*$H348/5,0))*I350</f>
        <v>115.077732135793</v>
      </c>
      <c r="J360" s="35" t="n">
        <f aca="false">(IF($I$19=1,(SUMPRODUCT((Quesería!$C$62:$C$77=0)*(Quesería!$J$62:$J$77&gt;0)*(J$43&gt;=1)*(J$43&lt;=Quesería!$J$62:$J$77)*(Quesería!$H$62:$H$77&gt;0)*Quesería!$F$62:$F$77*(1+Quesería!$I$62:$I$77)/(Quesería!$J$62:$J$77+(Quesería!$J$62:$J$77=0)))+SUMPRODUCT((Quesería!$C$62:$C$77=0)*(Quesería!$J$62:$J$77=0)*(J$43=0)*(Quesería!$H$62:$H$77&gt;0)*Quesería!$F$62:$F$77*(1+Quesería!$I$62:$I$77)))*$B$348+(SUMPRODUCT((Quesería!$C$62:$C$77=1)*(Quesería!$J$62:$J$77&gt;0)*(J$43&gt;=2)*(J$43&lt;=Quesería!$J$62:$J$77+1)*(Quesería!$H$62:$H$77&gt;0)*Quesería!$F$62:$F$77*(1+Quesería!$I$62:$I$77)/(Quesería!$J$62:$J$77+(Quesería!$J$62:$J$77=0)))+SUMPRODUCT((Quesería!$C$62:$C$77=1)*(Quesería!$J$62:$J$77=0)*(J$43=1)*(Quesería!$H$62:$H$77&gt;0)*Quesería!$F$62:$F$77*(1+Quesería!$I$62:$I$77)))*$C$348*$I$21,IF(AND(J$43&gt;=1,J$43&lt;=Quesería!$B$11),Quesería!$F$80/Quesería!$B$11,0)*$B$348+IF(AND(J$43&gt;=2,J$43&lt;=Quesería!$B$11+1),Quesería!$F$81/Quesería!$B$11,0)*$C$348*$I$21)*$I$11+IF(AND(J$43&gt;=6,J$43&lt;=10),$G352*$G348/5,0)+IF(AND(J$43&gt;=7,J$43&lt;=11),$H352*$H348/5,0))*J350</f>
        <v>110.651665515186</v>
      </c>
      <c r="K360" s="35" t="n">
        <f aca="false">(IF($I$19=1,(SUMPRODUCT((Quesería!$C$62:$C$77=0)*(Quesería!$J$62:$J$77&gt;0)*(K$43&gt;=1)*(K$43&lt;=Quesería!$J$62:$J$77)*(Quesería!$H$62:$H$77&gt;0)*Quesería!$F$62:$F$77*(1+Quesería!$I$62:$I$77)/(Quesería!$J$62:$J$77+(Quesería!$J$62:$J$77=0)))+SUMPRODUCT((Quesería!$C$62:$C$77=0)*(Quesería!$J$62:$J$77=0)*(K$43=0)*(Quesería!$H$62:$H$77&gt;0)*Quesería!$F$62:$F$77*(1+Quesería!$I$62:$I$77)))*$B$348+(SUMPRODUCT((Quesería!$C$62:$C$77=1)*(Quesería!$J$62:$J$77&gt;0)*(K$43&gt;=2)*(K$43&lt;=Quesería!$J$62:$J$77+1)*(Quesería!$H$62:$H$77&gt;0)*Quesería!$F$62:$F$77*(1+Quesería!$I$62:$I$77)/(Quesería!$J$62:$J$77+(Quesería!$J$62:$J$77=0)))+SUMPRODUCT((Quesería!$C$62:$C$77=1)*(Quesería!$J$62:$J$77=0)*(K$43=1)*(Quesería!$H$62:$H$77&gt;0)*Quesería!$F$62:$F$77*(1+Quesería!$I$62:$I$77)))*$C$348*$I$21,IF(AND(K$43&gt;=1,K$43&lt;=Quesería!$B$11),Quesería!$F$80/Quesería!$B$11,0)*$B$348+IF(AND(K$43&gt;=2,K$43&lt;=Quesería!$B$11+1),Quesería!$F$81/Quesería!$B$11,0)*$C$348*$I$21)*$I$11+IF(AND(K$43&gt;=6,K$43&lt;=10),$G352*$G348/5,0)+IF(AND(K$43&gt;=7,K$43&lt;=11),$H352*$H348/5,0))*K350</f>
        <v>106.39583222614</v>
      </c>
      <c r="L360" s="35" t="n">
        <f aca="false">(IF($I$19=1,(SUMPRODUCT((Quesería!$C$62:$C$77=0)*(Quesería!$J$62:$J$77&gt;0)*(L$43&gt;=1)*(L$43&lt;=Quesería!$J$62:$J$77)*(Quesería!$H$62:$H$77&gt;0)*Quesería!$F$62:$F$77*(1+Quesería!$I$62:$I$77)/(Quesería!$J$62:$J$77+(Quesería!$J$62:$J$77=0)))+SUMPRODUCT((Quesería!$C$62:$C$77=0)*(Quesería!$J$62:$J$77=0)*(L$43=0)*(Quesería!$H$62:$H$77&gt;0)*Quesería!$F$62:$F$77*(1+Quesería!$I$62:$I$77)))*$B$348+(SUMPRODUCT((Quesería!$C$62:$C$77=1)*(Quesería!$J$62:$J$77&gt;0)*(L$43&gt;=2)*(L$43&lt;=Quesería!$J$62:$J$77+1)*(Quesería!$H$62:$H$77&gt;0)*Quesería!$F$62:$F$77*(1+Quesería!$I$62:$I$77)/(Quesería!$J$62:$J$77+(Quesería!$J$62:$J$77=0)))+SUMPRODUCT((Quesería!$C$62:$C$77=1)*(Quesería!$J$62:$J$77=0)*(L$43=1)*(Quesería!$H$62:$H$77&gt;0)*Quesería!$F$62:$F$77*(1+Quesería!$I$62:$I$77)))*$C$348*$I$21,IF(AND(L$43&gt;=1,L$43&lt;=Quesería!$B$11),Quesería!$F$80/Quesería!$B$11,0)*$B$348+IF(AND(L$43&gt;=2,L$43&lt;=Quesería!$B$11+1),Quesería!$F$81/Quesería!$B$11,0)*$C$348*$I$21)*$I$11+IF(AND(L$43&gt;=6,L$43&lt;=10),$G352*$G348/5,0)+IF(AND(L$43&gt;=7,L$43&lt;=11),$H352*$H348/5,0))*L350</f>
        <v>102.303684832827</v>
      </c>
    </row>
    <row r="361" customFormat="false" ht="15" hidden="false" customHeight="false" outlineLevel="0" collapsed="false">
      <c r="A361" s="9" t="s">
        <v>292</v>
      </c>
      <c r="B361" s="36" t="n">
        <f aca="false">IF(B$43=1,MIN($I$7*Quesería!$B$35*Quesería!$F$75*$I$11*$I$21,Quesería!$B$50*Quesería!$B$51),0)</f>
        <v>0</v>
      </c>
      <c r="C361" s="36" t="n">
        <f aca="false">IF(C$43=1,MIN($I$7*Quesería!$B$35*Quesería!$F$75*$I$11*$I$21,Quesería!$B$50*Quesería!$B$51),0)</f>
        <v>24</v>
      </c>
      <c r="D361" s="36" t="n">
        <f aca="false">IF(D$43=1,MIN($I$7*Quesería!$B$35*Quesería!$F$75*$I$11*$I$21,Quesería!$B$50*Quesería!$B$51),0)</f>
        <v>0</v>
      </c>
      <c r="E361" s="36" t="n">
        <f aca="false">IF(E$43=1,MIN($I$7*Quesería!$B$35*Quesería!$F$75*$I$11*$I$21,Quesería!$B$50*Quesería!$B$51),0)</f>
        <v>0</v>
      </c>
      <c r="F361" s="36" t="n">
        <f aca="false">IF(F$43=1,MIN($I$7*Quesería!$B$35*Quesería!$F$75*$I$11*$I$21,Quesería!$B$50*Quesería!$B$51),0)</f>
        <v>0</v>
      </c>
      <c r="G361" s="36" t="n">
        <f aca="false">IF(G$43=1,MIN($I$7*Quesería!$B$35*Quesería!$F$75*$I$11*$I$21,Quesería!$B$50*Quesería!$B$51),0)</f>
        <v>0</v>
      </c>
      <c r="H361" s="36" t="n">
        <f aca="false">IF(H$43=1,MIN($I$7*Quesería!$B$35*Quesería!$F$75*$I$11*$I$21,Quesería!$B$50*Quesería!$B$51),0)</f>
        <v>0</v>
      </c>
      <c r="I361" s="36" t="n">
        <f aca="false">IF(I$43=1,MIN($I$7*Quesería!$B$35*Quesería!$F$75*$I$11*$I$21,Quesería!$B$50*Quesería!$B$51),0)</f>
        <v>0</v>
      </c>
      <c r="J361" s="36" t="n">
        <f aca="false">IF(J$43=1,MIN($I$7*Quesería!$B$35*Quesería!$F$75*$I$11*$I$21,Quesería!$B$50*Quesería!$B$51),0)</f>
        <v>0</v>
      </c>
      <c r="K361" s="36" t="n">
        <f aca="false">IF(K$43=1,MIN($I$7*Quesería!$B$35*Quesería!$F$75*$I$11*$I$21,Quesería!$B$50*Quesería!$B$51),0)</f>
        <v>0</v>
      </c>
      <c r="L361" s="36" t="n">
        <f aca="false">IF(L$43=1,MIN($I$7*Quesería!$B$35*Quesería!$F$75*$I$11*$I$21,Quesería!$B$50*Quesería!$B$51),0)</f>
        <v>0</v>
      </c>
    </row>
    <row r="362" customFormat="false" ht="15" hidden="false" customHeight="false" outlineLevel="0" collapsed="false">
      <c r="A362" s="9" t="s">
        <v>293</v>
      </c>
      <c r="B362" s="36" t="n">
        <v>0</v>
      </c>
      <c r="C362" s="36" t="n">
        <f aca="false">$I$20*Quesería!$B$52*Quesería!$F$86*$I$11*$B$348/C348</f>
        <v>200.255857547659</v>
      </c>
      <c r="D362" s="36" t="n">
        <v>0</v>
      </c>
      <c r="E362" s="36" t="n">
        <v>0</v>
      </c>
      <c r="F362" s="36" t="n">
        <v>0</v>
      </c>
      <c r="G362" s="36" t="n">
        <v>0</v>
      </c>
      <c r="H362" s="36" t="n">
        <v>0</v>
      </c>
      <c r="I362" s="36" t="n">
        <v>0</v>
      </c>
      <c r="J362" s="36" t="n">
        <v>0</v>
      </c>
      <c r="K362" s="36" t="n">
        <v>0</v>
      </c>
      <c r="L362" s="36" t="n">
        <v>0</v>
      </c>
    </row>
    <row r="363" customFormat="false" ht="15" hidden="false" customHeight="false" outlineLevel="0" collapsed="false">
      <c r="A363" s="9" t="s">
        <v>294</v>
      </c>
      <c r="B363" s="36" t="n">
        <f aca="false">0</f>
        <v>0</v>
      </c>
      <c r="C363" s="36" t="n">
        <f aca="false">B353*B348/C348</f>
        <v>113.540429129249</v>
      </c>
      <c r="D363" s="36" t="n">
        <f aca="false">C353*C348/D348</f>
        <v>140.786201144427</v>
      </c>
      <c r="E363" s="36" t="n">
        <f aca="false">D353*D348/E348</f>
        <v>0</v>
      </c>
      <c r="F363" s="36" t="n">
        <f aca="false">E353*E348/F348</f>
        <v>0</v>
      </c>
      <c r="G363" s="36" t="n">
        <f aca="false">F353*F348/G348</f>
        <v>0</v>
      </c>
      <c r="H363" s="36" t="n">
        <f aca="false">G353*G348/H348</f>
        <v>5.84615384615385</v>
      </c>
      <c r="I363" s="36" t="n">
        <f aca="false">H353*H348/I348</f>
        <v>7.73984432396154</v>
      </c>
      <c r="J363" s="36" t="n">
        <f aca="false">I353*I348/J348</f>
        <v>0</v>
      </c>
      <c r="K363" s="36" t="n">
        <f aca="false">J353*J348/K348</f>
        <v>0</v>
      </c>
      <c r="L363" s="36" t="n">
        <f aca="false">K353*K348/L348</f>
        <v>0</v>
      </c>
    </row>
    <row r="364" customFormat="false" ht="15" hidden="false" customHeight="false" outlineLevel="0" collapsed="false">
      <c r="A364" s="6" t="s">
        <v>86</v>
      </c>
      <c r="B364" s="35" t="n">
        <f aca="false">$I$17*(B356-B357-B358-0.5*B359-B360)-B361-B362-B363</f>
        <v>-26.3642852674512</v>
      </c>
      <c r="C364" s="35" t="n">
        <f aca="false">$I$17*(C356-C357-C358-0.5*C359-C360)-C361-C362-C363</f>
        <v>-334.65211245882</v>
      </c>
      <c r="D364" s="35" t="n">
        <f aca="false">$I$17*(D356-D357-D358-0.5*D359-D360)-D361-D362-D363</f>
        <v>-89.5050514814358</v>
      </c>
      <c r="E364" s="35" t="n">
        <f aca="false">$I$17*(E356-E357-E358-0.5*E359-E360)-E361-E362-E363</f>
        <v>65.9940115374147</v>
      </c>
      <c r="F364" s="35" t="n">
        <f aca="false">$I$17*(F356-F357-F358-0.5*F359-F360)-F361-F362-F363</f>
        <v>67.9755184920554</v>
      </c>
      <c r="G364" s="35" t="n">
        <f aca="false">$I$17*(G356-G357-G358-0.5*G359-G360)-G361-G362-G363</f>
        <v>69.8617061208782</v>
      </c>
      <c r="H364" s="35" t="n">
        <f aca="false">$I$17*(H356-H357-H358-0.5*H359-H360)-H361-H362-H363</f>
        <v>68.716963204746</v>
      </c>
      <c r="I364" s="35" t="n">
        <f aca="false">$I$17*(I356-I357-I358-0.5*I359-I360)-I361-I362-I363</f>
        <v>65.6803690705132</v>
      </c>
      <c r="J364" s="35" t="n">
        <f aca="false">$I$17*(J356-J357-J358-0.5*J359-J360)-J361-J362-J363</f>
        <v>75.1465183314817</v>
      </c>
      <c r="K364" s="35" t="n">
        <f aca="false">$I$17*(K356-K357-K358-0.5*K359-K360)-K361-K362-K363</f>
        <v>76.8141275105409</v>
      </c>
      <c r="L364" s="35" t="n">
        <f aca="false">$I$17*(L356-L357-L358-0.5*L359-L360)-L361-L362-L363</f>
        <v>78.4253369637332</v>
      </c>
    </row>
    <row r="365" customFormat="false" ht="15" hidden="false" customHeight="false" outlineLevel="0" collapsed="false">
      <c r="A365" s="9" t="s">
        <v>295</v>
      </c>
      <c r="B365" s="36" t="n">
        <f aca="false">(IF(B$43&gt;=1,Quesería!$G$107*IF(B$43=1,Quesería!$B$12,1),Quesería!$G$107*Quesería!$B$12*Quesería!$B$13/12*$I$23)+IF(B$43&gt;=2,Quesería!$G$108*$I$21*IF(B$43=2,Quesería!$B$12,1),0))*$I$10</f>
        <v>26.8516916045565</v>
      </c>
      <c r="C365" s="36" t="n">
        <f aca="false">(IF(C$43&gt;=1,Quesería!$G$107*IF(C$43=1,Quesería!$B$12,1),Quesería!$G$107*Quesería!$B$12*Quesería!$B$13/12*$I$23)+IF(C$43&gt;=2,Quesería!$G$108*$I$21*IF(C$43=2,Quesería!$B$12,1),0))*$I$10</f>
        <v>80.5550748136695</v>
      </c>
      <c r="D365" s="36" t="n">
        <f aca="false">(IF(D$43&gt;=1,Quesería!$G$107*IF(D$43=1,Quesería!$B$12,1),Quesería!$G$107*Quesería!$B$12*Quesería!$B$13/12*$I$23)+IF(D$43&gt;=2,Quesería!$G$108*$I$21*IF(D$43=2,Quesería!$B$12,1),0))*$I$10</f>
        <v>189.651223070959</v>
      </c>
      <c r="E365" s="36" t="n">
        <f aca="false">(IF(E$43&gt;=1,Quesería!$G$107*IF(E$43=1,Quesería!$B$12,1),Quesería!$G$107*Quesería!$B$12*Quesería!$B$13/12*$I$23)+IF(E$43&gt;=2,Quesería!$G$108*$I$21*IF(E$43=2,Quesería!$B$12,1),0))*$I$10</f>
        <v>217.066041955203</v>
      </c>
      <c r="F365" s="36" t="n">
        <f aca="false">(IF(F$43&gt;=1,Quesería!$G$107*IF(F$43=1,Quesería!$B$12,1),Quesería!$G$107*Quesería!$B$12*Quesería!$B$13/12*$I$23)+IF(F$43&gt;=2,Quesería!$G$108*$I$21*IF(F$43=2,Quesería!$B$12,1),0))*$I$10</f>
        <v>217.066041955203</v>
      </c>
      <c r="G365" s="36" t="n">
        <f aca="false">(IF(G$43&gt;=1,Quesería!$G$107*IF(G$43=1,Quesería!$B$12,1),Quesería!$G$107*Quesería!$B$12*Quesería!$B$13/12*$I$23)+IF(G$43&gt;=2,Quesería!$G$108*$I$21*IF(G$43=2,Quesería!$B$12,1),0))*$I$10</f>
        <v>217.066041955203</v>
      </c>
      <c r="H365" s="36" t="n">
        <f aca="false">(IF(H$43&gt;=1,Quesería!$G$107*IF(H$43=1,Quesería!$B$12,1),Quesería!$G$107*Quesería!$B$12*Quesería!$B$13/12*$I$23)+IF(H$43&gt;=2,Quesería!$G$108*$I$21*IF(H$43=2,Quesería!$B$12,1),0))*$I$10</f>
        <v>217.066041955203</v>
      </c>
      <c r="I365" s="36" t="n">
        <f aca="false">(IF(I$43&gt;=1,Quesería!$G$107*IF(I$43=1,Quesería!$B$12,1),Quesería!$G$107*Quesería!$B$12*Quesería!$B$13/12*$I$23)+IF(I$43&gt;=2,Quesería!$G$108*$I$21*IF(I$43=2,Quesería!$B$12,1),0))*$I$10</f>
        <v>217.066041955203</v>
      </c>
      <c r="J365" s="36" t="n">
        <f aca="false">(IF(J$43&gt;=1,Quesería!$G$107*IF(J$43=1,Quesería!$B$12,1),Quesería!$G$107*Quesería!$B$12*Quesería!$B$13/12*$I$23)+IF(J$43&gt;=2,Quesería!$G$108*$I$21*IF(J$43=2,Quesería!$B$12,1),0))*$I$10</f>
        <v>217.066041955203</v>
      </c>
      <c r="K365" s="36" t="n">
        <f aca="false">(IF(K$43&gt;=1,Quesería!$G$107*IF(K$43=1,Quesería!$B$12,1),Quesería!$G$107*Quesería!$B$12*Quesería!$B$13/12*$I$23)+IF(K$43&gt;=2,Quesería!$G$108*$I$21*IF(K$43=2,Quesería!$B$12,1),0))*$I$10</f>
        <v>217.066041955203</v>
      </c>
      <c r="L365" s="36" t="n">
        <f aca="false">(IF(L$43&gt;=1,Quesería!$G$107*IF(L$43=1,Quesería!$B$12,1),Quesería!$G$107*Quesería!$B$12*Quesería!$B$13/12*$I$23)+IF(L$43&gt;=2,Quesería!$G$108*$I$21*IF(L$43=2,Quesería!$B$12,1),0))*$I$10</f>
        <v>217.066041955203</v>
      </c>
    </row>
    <row r="366" customFormat="false" ht="15" hidden="false" customHeight="false" outlineLevel="0" collapsed="false">
      <c r="A366" s="6" t="s">
        <v>296</v>
      </c>
      <c r="B366" s="35" t="n">
        <f aca="false">(B365*(Quesería!$B$23+Quesería!$B$25*Quesería!$B$24)/365-B357*Quesería!$B$26/365)</f>
        <v>2.50861009237089</v>
      </c>
      <c r="C366" s="35" t="n">
        <f aca="false">(C365*(Quesería!$B$23+Quesería!$B$25*Quesería!$B$24)/365-C357*Quesería!$B$26/365)-(B365*(Quesería!$B$23+Quesería!$B$25*Quesería!$B$24)/365-B357*Quesería!$B$26/365)*B348/C348</f>
        <v>2.77472472910254</v>
      </c>
      <c r="D366" s="35" t="n">
        <f aca="false">(D365*(Quesería!$B$23+Quesería!$B$25*Quesería!$B$24)/365-D357*Quesería!$B$26/365)-(C365*(Quesería!$B$23+Quesería!$B$25*Quesería!$B$24)/365-C357*Quesería!$B$26/365)*C348/D348</f>
        <v>7.08603309354546</v>
      </c>
      <c r="E366" s="35" t="n">
        <f aca="false">(E365*(Quesería!$B$23+Quesería!$B$25*Quesería!$B$24)/365-E357*Quesería!$B$26/365)-(D365*(Quesería!$B$23+Quesería!$B$25*Quesería!$B$24)/365-D357*Quesería!$B$26/365)*D348/E348</f>
        <v>3.02381784923755</v>
      </c>
      <c r="F366" s="35" t="n">
        <f aca="false">(F365*(Quesería!$B$23+Quesería!$B$25*Quesería!$B$24)/365-F357*Quesería!$B$26/365)-(E365*(Quesería!$B$23+Quesería!$B$25*Quesería!$B$24)/365-E357*Quesería!$B$26/365)*E348/F348</f>
        <v>0.561106247676085</v>
      </c>
      <c r="G366" s="35" t="n">
        <f aca="false">(G365*(Quesería!$B$23+Quesería!$B$25*Quesería!$B$24)/365-G357*Quesería!$B$26/365)-(F365*(Quesería!$B$23+Quesería!$B$25*Quesería!$B$24)/365-F357*Quesería!$B$26/365)*F348/G348</f>
        <v>0.561106247676085</v>
      </c>
      <c r="H366" s="35" t="n">
        <f aca="false">(H365*(Quesería!$B$23+Quesería!$B$25*Quesería!$B$24)/365-H357*Quesería!$B$26/365)-(G365*(Quesería!$B$23+Quesería!$B$25*Quesería!$B$24)/365-G357*Quesería!$B$26/365)*G348/H348</f>
        <v>0.561106247676085</v>
      </c>
      <c r="I366" s="35" t="n">
        <f aca="false">(I365*(Quesería!$B$23+Quesería!$B$25*Quesería!$B$24)/365-I357*Quesería!$B$26/365)-(H365*(Quesería!$B$23+Quesería!$B$25*Quesería!$B$24)/365-H357*Quesería!$B$26/365)*H348/I348</f>
        <v>0.561106247676085</v>
      </c>
      <c r="J366" s="35" t="n">
        <f aca="false">(J365*(Quesería!$B$23+Quesería!$B$25*Quesería!$B$24)/365-J357*Quesería!$B$26/365)-(I365*(Quesería!$B$23+Quesería!$B$25*Quesería!$B$24)/365-I357*Quesería!$B$26/365)*I348/J348</f>
        <v>0.561106247676085</v>
      </c>
      <c r="K366" s="35" t="n">
        <f aca="false">(K365*(Quesería!$B$23+Quesería!$B$25*Quesería!$B$24)/365-K357*Quesería!$B$26/365)-(J365*(Quesería!$B$23+Quesería!$B$25*Quesería!$B$24)/365-J357*Quesería!$B$26/365)*J348/K348</f>
        <v>0.561106247676085</v>
      </c>
      <c r="L366" s="35" t="n">
        <f aca="false">-(K365*(Quesería!$B$23+Quesería!$B$25*Quesería!$B$24)/365-K357*Quesería!$B$26/365)*K348/L348</f>
        <v>-14.0276561919021</v>
      </c>
    </row>
    <row r="367" customFormat="false" ht="15" hidden="false" customHeight="false" outlineLevel="0" collapsed="false">
      <c r="A367" s="6" t="s">
        <v>297</v>
      </c>
      <c r="B367" s="35" t="n">
        <v>0</v>
      </c>
      <c r="C367" s="35" t="n">
        <v>0</v>
      </c>
      <c r="D367" s="35" t="n">
        <v>0</v>
      </c>
      <c r="E367" s="35" t="n">
        <v>0</v>
      </c>
      <c r="F367" s="35" t="n">
        <v>0</v>
      </c>
      <c r="G367" s="35" t="n">
        <v>0</v>
      </c>
      <c r="H367" s="35" t="n">
        <v>0</v>
      </c>
      <c r="I367" s="35" t="n">
        <v>0</v>
      </c>
      <c r="J367" s="35" t="n">
        <v>0</v>
      </c>
      <c r="K367" s="35" t="n">
        <v>0</v>
      </c>
      <c r="L367" s="35" t="n">
        <f aca="false">$I$8*Quesería!$B$39*(Quesería!$F$82+Quesería!$F$83*$I$21)*$I$11*(1-$I$17)</f>
        <v>67.2603513842</v>
      </c>
    </row>
    <row r="368" customFormat="false" ht="15" hidden="false" customHeight="false" outlineLevel="0" collapsed="false">
      <c r="A368" s="5" t="s">
        <v>298</v>
      </c>
      <c r="B368" s="37" t="n">
        <f aca="false">B356-B357-B358-B359-B364-B351-B352-B353-B366+B367</f>
        <v>-799.880390586339</v>
      </c>
      <c r="C368" s="37" t="n">
        <f aca="false">C356-C357-C358-C359-C364-C351-C352-C353-C366+C367</f>
        <v>-514.023217067978</v>
      </c>
      <c r="D368" s="37" t="n">
        <f aca="false">D356-D357-D358-D359-D364-D351-D352-D353-D366+D367</f>
        <v>368.415168643396</v>
      </c>
      <c r="E368" s="37" t="n">
        <f aca="false">E356-E357-E358-E359-E364-E351-E352-E353-E366+E367</f>
        <v>253.643245894681</v>
      </c>
      <c r="F368" s="37" t="n">
        <f aca="false">F356-F357-F358-F359-F364-F351-F352-F353-F366+F367</f>
        <v>254.620684380729</v>
      </c>
      <c r="G368" s="37" t="n">
        <f aca="false">G356-G357-G358-G359-G364-G351-G352-G353-G366+G367</f>
        <v>215.000891760228</v>
      </c>
      <c r="H368" s="37" t="n">
        <f aca="false">H356-H357-H358-H359-H364-H351-H352-H353-H366+H367</f>
        <v>204.262601887745</v>
      </c>
      <c r="I368" s="37" t="n">
        <f aca="false">I356-I357-I358-I359-I364-I351-I352-I353-I366+I367</f>
        <v>258.419472020238</v>
      </c>
      <c r="J368" s="37" t="n">
        <f aca="false">J356-J357-J358-J359-J364-J351-J352-J353-J366+J367</f>
        <v>249.459555958682</v>
      </c>
      <c r="K368" s="37" t="n">
        <f aca="false">K356-K357-K358-K359-K364-K351-K352-K353-K366+K367</f>
        <v>248.300711145033</v>
      </c>
      <c r="L368" s="37" t="n">
        <f aca="false">L356-L357-L358-L359-L364-L351-L352-L353-L366+L367</f>
        <v>329.049923702855</v>
      </c>
    </row>
    <row r="369" customFormat="false" ht="15" hidden="false" customHeight="false" outlineLevel="0" collapsed="false">
      <c r="A369" s="9" t="s">
        <v>299</v>
      </c>
      <c r="B369" s="36" t="n">
        <f aca="false">B368*B348</f>
        <v>-847.873214021519</v>
      </c>
      <c r="C369" s="36" t="n">
        <f aca="false">C368*C348</f>
        <v>-572.107840596659</v>
      </c>
      <c r="D369" s="36" t="n">
        <f aca="false">D368*D348</f>
        <v>428.498156421604</v>
      </c>
      <c r="E369" s="36" t="n">
        <f aca="false">E368*E348</f>
        <v>306.809000837472</v>
      </c>
      <c r="F369" s="36" t="n">
        <f aca="false">F368*F348</f>
        <v>320.310971386305</v>
      </c>
      <c r="G369" s="36" t="n">
        <f aca="false">G368*G348</f>
        <v>281.288342470605</v>
      </c>
      <c r="H369" s="36" t="n">
        <f aca="false">H368*H348</f>
        <v>277.928876355201</v>
      </c>
      <c r="I369" s="36" t="n">
        <f aca="false">I368*I348</f>
        <v>365.681833757382</v>
      </c>
      <c r="J369" s="36" t="n">
        <f aca="false">J368*J348</f>
        <v>367.123035444845</v>
      </c>
      <c r="K369" s="36" t="n">
        <f aca="false">K368*K348</f>
        <v>380.034297926543</v>
      </c>
      <c r="L369" s="36" t="n">
        <f aca="false">L368*L348</f>
        <v>523.769208742706</v>
      </c>
    </row>
    <row r="370" customFormat="false" ht="15" hidden="false" customHeight="false" outlineLevel="0" collapsed="false">
      <c r="A370" s="6" t="s">
        <v>300</v>
      </c>
      <c r="B370" s="35" t="n">
        <f aca="false">B368</f>
        <v>-799.880390586339</v>
      </c>
      <c r="C370" s="35" t="n">
        <f aca="false">B370+C368</f>
        <v>-1313.90360765432</v>
      </c>
      <c r="D370" s="35" t="n">
        <f aca="false">C370+D368</f>
        <v>-945.48843901092</v>
      </c>
      <c r="E370" s="35" t="n">
        <f aca="false">D370+E368</f>
        <v>-691.845193116239</v>
      </c>
      <c r="F370" s="35" t="n">
        <f aca="false">E370+F368</f>
        <v>-437.224508735511</v>
      </c>
      <c r="G370" s="35" t="n">
        <f aca="false">F370+G368</f>
        <v>-222.223616975282</v>
      </c>
      <c r="H370" s="35" t="n">
        <f aca="false">G370+H368</f>
        <v>-17.9610150875371</v>
      </c>
      <c r="I370" s="35" t="n">
        <f aca="false">H370+I368</f>
        <v>240.458456932701</v>
      </c>
      <c r="J370" s="35" t="n">
        <f aca="false">I370+J368</f>
        <v>489.918012891384</v>
      </c>
      <c r="K370" s="35" t="n">
        <f aca="false">J370+K368</f>
        <v>738.218724036416</v>
      </c>
      <c r="L370" s="35" t="n">
        <f aca="false">K370+L368</f>
        <v>1067.26864773927</v>
      </c>
    </row>
    <row r="371" customFormat="false" ht="15" hidden="false" customHeight="false" outlineLevel="0" collapsed="false">
      <c r="A371" s="9" t="s">
        <v>301</v>
      </c>
      <c r="B371" s="38" t="n">
        <v>0</v>
      </c>
      <c r="C371" s="38" t="n">
        <f aca="false">IF(AND(B370&lt;0,C370&gt;=0),B$43+(-B370)/C368,0)</f>
        <v>0</v>
      </c>
      <c r="D371" s="38" t="n">
        <f aca="false">IF(AND(C370&lt;0,D370&gt;=0),C$43+(-C370)/D368,0)</f>
        <v>0</v>
      </c>
      <c r="E371" s="38" t="n">
        <f aca="false">IF(AND(D370&lt;0,E370&gt;=0),D$43+(-D370)/E368,0)</f>
        <v>0</v>
      </c>
      <c r="F371" s="38" t="n">
        <f aca="false">IF(AND(E370&lt;0,F370&gt;=0),E$43+(-E370)/F368,0)</f>
        <v>0</v>
      </c>
      <c r="G371" s="38" t="n">
        <f aca="false">IF(AND(F370&lt;0,G370&gt;=0),F$43+(-F370)/G368,0)</f>
        <v>0</v>
      </c>
      <c r="H371" s="38" t="n">
        <f aca="false">IF(AND(G370&lt;0,H370&gt;=0),G$43+(-G370)/H368,0)</f>
        <v>0</v>
      </c>
      <c r="I371" s="38" t="n">
        <f aca="false">IF(AND(H370&lt;0,I370&gt;=0),H$43+(-H370)/I368,0)</f>
        <v>6.06950333481887</v>
      </c>
      <c r="J371" s="38" t="n">
        <f aca="false">IF(AND(I370&lt;0,J370&gt;=0),I$43+(-I370)/J368,0)</f>
        <v>0</v>
      </c>
      <c r="K371" s="38" t="n">
        <f aca="false">IF(AND(J370&lt;0,K370&gt;=0),J$43+(-J370)/K368,0)</f>
        <v>0</v>
      </c>
      <c r="L371" s="38" t="n">
        <f aca="false">IF(AND(K370&lt;0,L370&gt;=0),K$43+(-K370)/L368,0)</f>
        <v>0</v>
      </c>
    </row>
    <row r="372" customFormat="false" ht="15" hidden="false" customHeight="false" outlineLevel="0" collapsed="false">
      <c r="A372" s="9" t="s">
        <v>302</v>
      </c>
      <c r="B372" s="34" t="n">
        <f aca="false">(B348/$B$348)/(1+$I$25)^B$43</f>
        <v>1</v>
      </c>
      <c r="C372" s="34" t="n">
        <f aca="false">(C348/$B$348)/(1+$I$25)^C$43</f>
        <v>0.921735848062819</v>
      </c>
      <c r="D372" s="34" t="n">
        <f aca="false">(D348/$B$348)/(1+$I$25)^D$43</f>
        <v>0.845551273729778</v>
      </c>
      <c r="E372" s="34" t="n">
        <f aca="false">(E348/$B$348)/(1+$I$25)^E$43</f>
        <v>0.771952302082657</v>
      </c>
      <c r="F372" s="34" t="n">
        <f aca="false">(F348/$B$348)/(1+$I$25)^F$43</f>
        <v>0.704759575444925</v>
      </c>
      <c r="G372" s="34" t="n">
        <f aca="false">(G348/$B$348)/(1+$I$25)^G$43</f>
        <v>0.643415477667852</v>
      </c>
      <c r="H372" s="34" t="n">
        <f aca="false">(H348/$B$348)/(1+$I$25)^H$43</f>
        <v>0.587410928955732</v>
      </c>
      <c r="I372" s="34" t="n">
        <f aca="false">(I348/$B$348)/(1+$I$25)^I$43</f>
        <v>0.536281161136071</v>
      </c>
      <c r="J372" s="34" t="n">
        <f aca="false">(J348/$B$348)/(1+$I$25)^J$43</f>
        <v>0.489601860661204</v>
      </c>
      <c r="K372" s="34" t="n">
        <f aca="false">(K348/$B$348)/(1+$I$25)^K$43</f>
        <v>0.446985647333025</v>
      </c>
      <c r="L372" s="34" t="n">
        <f aca="false">(L348/$B$348)/(1+$I$25)^L$43</f>
        <v>0.408078859528639</v>
      </c>
    </row>
    <row r="373" customFormat="false" ht="15" hidden="false" customHeight="false" outlineLevel="0" collapsed="false">
      <c r="A373" s="9" t="s">
        <v>303</v>
      </c>
      <c r="B373" s="36" t="n">
        <f aca="false">B368*B372</f>
        <v>-799.880390586339</v>
      </c>
      <c r="C373" s="36" t="n">
        <f aca="false">C368*C372</f>
        <v>-473.793625908131</v>
      </c>
      <c r="D373" s="36" t="n">
        <f aca="false">D368*D372</f>
        <v>311.513915107794</v>
      </c>
      <c r="E373" s="36" t="n">
        <f aca="false">E368*E372</f>
        <v>195.800487576117</v>
      </c>
      <c r="F373" s="36" t="n">
        <f aca="false">F368*F372</f>
        <v>179.446365423659</v>
      </c>
      <c r="G373" s="36" t="n">
        <f aca="false">G368*G372</f>
        <v>138.334901470922</v>
      </c>
      <c r="H373" s="36" t="n">
        <f aca="false">H368*H372</f>
        <v>119.986084725795</v>
      </c>
      <c r="I373" s="36" t="n">
        <f aca="false">I368*I372</f>
        <v>138.585494515184</v>
      </c>
      <c r="J373" s="36" t="n">
        <f aca="false">J368*J372</f>
        <v>122.135862757089</v>
      </c>
      <c r="K373" s="36" t="n">
        <f aca="false">K368*K372</f>
        <v>110.986854104413</v>
      </c>
      <c r="L373" s="36" t="n">
        <f aca="false">L368*L372</f>
        <v>134.278317592647</v>
      </c>
    </row>
    <row r="374" customFormat="false" ht="15" hidden="false" customHeight="false" outlineLevel="0" collapsed="false">
      <c r="A374" s="9" t="s">
        <v>304</v>
      </c>
      <c r="B374" s="36" t="n">
        <f aca="false">B373</f>
        <v>-799.880390586339</v>
      </c>
      <c r="C374" s="36" t="n">
        <f aca="false">B374+C373</f>
        <v>-1273.67401649447</v>
      </c>
      <c r="D374" s="36" t="n">
        <f aca="false">C374+D373</f>
        <v>-962.160101386675</v>
      </c>
      <c r="E374" s="36" t="n">
        <f aca="false">D374+E373</f>
        <v>-766.359613810558</v>
      </c>
      <c r="F374" s="36" t="n">
        <f aca="false">E374+F373</f>
        <v>-586.9132483869</v>
      </c>
      <c r="G374" s="36" t="n">
        <f aca="false">F374+G373</f>
        <v>-448.578346915978</v>
      </c>
      <c r="H374" s="36" t="n">
        <f aca="false">G374+H373</f>
        <v>-328.592262190183</v>
      </c>
      <c r="I374" s="36" t="n">
        <f aca="false">H374+I373</f>
        <v>-190.006767674999</v>
      </c>
      <c r="J374" s="36" t="n">
        <f aca="false">I374+J373</f>
        <v>-67.8709049179105</v>
      </c>
      <c r="K374" s="36" t="n">
        <f aca="false">J374+K373</f>
        <v>43.1159491865024</v>
      </c>
      <c r="L374" s="36" t="n">
        <f aca="false">K374+L373</f>
        <v>177.394266779149</v>
      </c>
    </row>
    <row r="375" customFormat="false" ht="15" hidden="false" customHeight="false" outlineLevel="0" collapsed="false">
      <c r="A375" s="9" t="s">
        <v>305</v>
      </c>
      <c r="B375" s="38" t="n">
        <v>0</v>
      </c>
      <c r="C375" s="38" t="n">
        <f aca="false">IF(AND(B374&lt;0,C374&gt;=0),B$43+(-B374)/C373,0)</f>
        <v>0</v>
      </c>
      <c r="D375" s="38" t="n">
        <f aca="false">IF(AND(C374&lt;0,D374&gt;=0),C$43+(-C374)/D373,0)</f>
        <v>0</v>
      </c>
      <c r="E375" s="38" t="n">
        <f aca="false">IF(AND(D374&lt;0,E374&gt;=0),D$43+(-D374)/E373,0)</f>
        <v>0</v>
      </c>
      <c r="F375" s="38" t="n">
        <f aca="false">IF(AND(E374&lt;0,F374&gt;=0),E$43+(-E374)/F373,0)</f>
        <v>0</v>
      </c>
      <c r="G375" s="38" t="n">
        <f aca="false">IF(AND(F374&lt;0,G374&gt;=0),F$43+(-F374)/G373,0)</f>
        <v>0</v>
      </c>
      <c r="H375" s="38" t="n">
        <f aca="false">IF(AND(G374&lt;0,H374&gt;=0),G$43+(-G374)/H373,0)</f>
        <v>0</v>
      </c>
      <c r="I375" s="38" t="n">
        <f aca="false">IF(AND(H374&lt;0,I374&gt;=0),H$43+(-H374)/I373,0)</f>
        <v>0</v>
      </c>
      <c r="J375" s="38" t="n">
        <f aca="false">IF(AND(I374&lt;0,J374&gt;=0),I$43+(-I374)/J373,0)</f>
        <v>0</v>
      </c>
      <c r="K375" s="38" t="n">
        <f aca="false">IF(AND(J374&lt;0,K374&gt;=0),J$43+(-J374)/K373,0)</f>
        <v>8.61152201731981</v>
      </c>
      <c r="L375" s="38" t="n">
        <f aca="false">IF(AND(K374&lt;0,L374&gt;=0),K$43+(-K374)/L373,0)</f>
        <v>0</v>
      </c>
    </row>
    <row r="376" customFormat="false" ht="15" hidden="false" customHeight="false" outlineLevel="0" collapsed="false">
      <c r="A376" s="9" t="s">
        <v>306</v>
      </c>
      <c r="B376" s="36" t="n">
        <f aca="false">IF(B$43&lt;0,0,(Quesería!$B$40*$B$351*$B$348)*(1-MAX(0,MIN(B$43-0-Quesería!$B$43,(Quesería!$B$42-Quesería!$B$43)))/(Quesería!$B$42-Quesería!$B$43)))+IF(B$43&lt;1,0,(Quesería!$B$40*$C$351*$C$348)*(1-MAX(0,MIN(B$43-1-Quesería!$B$43,(Quesería!$B$42-Quesería!$B$43)))/(Quesería!$B$42-Quesería!$B$43)))</f>
        <v>554.045723096666</v>
      </c>
      <c r="C376" s="36" t="n">
        <f aca="false">IF(C$43&lt;0,0,(Quesería!$B$40*$B$351*$B$348)*(1-MAX(0,MIN(C$43-0-Quesería!$B$43,(Quesería!$B$42-Quesería!$B$43)))/(Quesería!$B$42-Quesería!$B$43)))+IF(C$43&lt;1,0,(Quesería!$B$40*$C$351*$C$348)*(1-MAX(0,MIN(C$43-1-Quesería!$B$43,(Quesería!$B$42-Quesería!$B$43)))/(Quesería!$B$42-Quesería!$B$43)))</f>
        <v>1157.32163431059</v>
      </c>
      <c r="D376" s="36" t="n">
        <f aca="false">IF(D$43&lt;0,0,(Quesería!$B$40*$B$351*$B$348)*(1-MAX(0,MIN(D$43-0-Quesería!$B$43,(Quesería!$B$42-Quesería!$B$43)))/(Quesería!$B$42-Quesería!$B$43)))+IF(D$43&lt;1,0,(Quesería!$B$40*$C$351*$C$348)*(1-MAX(0,MIN(D$43-1-Quesería!$B$43,(Quesería!$B$42-Quesería!$B$43)))/(Quesería!$B$42-Quesería!$B$43)))</f>
        <v>1064.98068046115</v>
      </c>
      <c r="E376" s="36" t="n">
        <f aca="false">IF(E$43&lt;0,0,(Quesería!$B$40*$B$351*$B$348)*(1-MAX(0,MIN(E$43-0-Quesería!$B$43,(Quesería!$B$42-Quesería!$B$43)))/(Quesería!$B$42-Quesería!$B$43)))+IF(E$43&lt;1,0,(Quesería!$B$40*$C$351*$C$348)*(1-MAX(0,MIN(E$43-1-Quesería!$B$43,(Quesería!$B$42-Quesería!$B$43)))/(Quesería!$B$42-Quesería!$B$43)))</f>
        <v>872.093741409381</v>
      </c>
      <c r="F376" s="36" t="n">
        <f aca="false">IF(F$43&lt;0,0,(Quesería!$B$40*$B$351*$B$348)*(1-MAX(0,MIN(F$43-0-Quesería!$B$43,(Quesería!$B$42-Quesería!$B$43)))/(Quesería!$B$42-Quesería!$B$43)))+IF(F$43&lt;1,0,(Quesería!$B$40*$C$351*$C$348)*(1-MAX(0,MIN(F$43-1-Quesería!$B$43,(Quesería!$B$42-Quesería!$B$43)))/(Quesería!$B$42-Quesería!$B$43)))</f>
        <v>679.206802357616</v>
      </c>
      <c r="G376" s="36" t="n">
        <f aca="false">IF(G$43&lt;0,0,(Quesería!$B$40*$B$351*$B$348)*(1-MAX(0,MIN(G$43-0-Quesería!$B$43,(Quesería!$B$42-Quesería!$B$43)))/(Quesería!$B$42-Quesería!$B$43)))+IF(G$43&lt;1,0,(Quesería!$B$40*$C$351*$C$348)*(1-MAX(0,MIN(G$43-1-Quesería!$B$43,(Quesería!$B$42-Quesería!$B$43)))/(Quesería!$B$42-Quesería!$B$43)))</f>
        <v>486.319863305851</v>
      </c>
      <c r="H376" s="36" t="n">
        <f aca="false">IF(H$43&lt;0,0,(Quesería!$B$40*$B$351*$B$348)*(1-MAX(0,MIN(H$43-0-Quesería!$B$43,(Quesería!$B$42-Quesería!$B$43)))/(Quesería!$B$42-Quesería!$B$43)))+IF(H$43&lt;1,0,(Quesería!$B$40*$C$351*$C$348)*(1-MAX(0,MIN(H$43-1-Quesería!$B$43,(Quesería!$B$42-Quesería!$B$43)))/(Quesería!$B$42-Quesería!$B$43)))</f>
        <v>293.432924254086</v>
      </c>
      <c r="I376" s="36" t="n">
        <f aca="false">IF(I$43&lt;0,0,(Quesería!$B$40*$B$351*$B$348)*(1-MAX(0,MIN(I$43-0-Quesería!$B$43,(Quesería!$B$42-Quesería!$B$43)))/(Quesería!$B$42-Quesería!$B$43)))+IF(I$43&lt;1,0,(Quesería!$B$40*$C$351*$C$348)*(1-MAX(0,MIN(I$43-1-Quesería!$B$43,(Quesería!$B$42-Quesería!$B$43)))/(Quesería!$B$42-Quesería!$B$43)))</f>
        <v>100.545985202321</v>
      </c>
      <c r="J376" s="36" t="n">
        <f aca="false">IF(J$43&lt;0,0,(Quesería!$B$40*$B$351*$B$348)*(1-MAX(0,MIN(J$43-0-Quesería!$B$43,(Quesería!$B$42-Quesería!$B$43)))/(Quesería!$B$42-Quesería!$B$43)))+IF(J$43&lt;1,0,(Quesería!$B$40*$C$351*$C$348)*(1-MAX(0,MIN(J$43-1-Quesería!$B$43,(Quesería!$B$42-Quesería!$B$43)))/(Quesería!$B$42-Quesería!$B$43)))</f>
        <v>0</v>
      </c>
      <c r="K376" s="36" t="n">
        <f aca="false">IF(K$43&lt;0,0,(Quesería!$B$40*$B$351*$B$348)*(1-MAX(0,MIN(K$43-0-Quesería!$B$43,(Quesería!$B$42-Quesería!$B$43)))/(Quesería!$B$42-Quesería!$B$43)))+IF(K$43&lt;1,0,(Quesería!$B$40*$C$351*$C$348)*(1-MAX(0,MIN(K$43-1-Quesería!$B$43,(Quesería!$B$42-Quesería!$B$43)))/(Quesería!$B$42-Quesería!$B$43)))</f>
        <v>0</v>
      </c>
      <c r="L376" s="36" t="n">
        <f aca="false">IF(L$43&lt;0,0,(Quesería!$B$40*$B$351*$B$348)*(1-MAX(0,MIN(L$43-0-Quesería!$B$43,(Quesería!$B$42-Quesería!$B$43)))/(Quesería!$B$42-Quesería!$B$43)))+IF(L$43&lt;1,0,(Quesería!$B$40*$C$351*$C$348)*(1-MAX(0,MIN(L$43-1-Quesería!$B$43,(Quesería!$B$42-Quesería!$B$43)))/(Quesería!$B$42-Quesería!$B$43)))</f>
        <v>0</v>
      </c>
    </row>
    <row r="377" customFormat="false" ht="15" hidden="false" customHeight="false" outlineLevel="0" collapsed="false">
      <c r="A377" s="6" t="s">
        <v>307</v>
      </c>
      <c r="B377" s="35" t="n">
        <f aca="false">Quesería!$B$40*B351</f>
        <v>522.684644430816</v>
      </c>
      <c r="C377" s="35" t="n">
        <f aca="false">Quesería!$B$40*C351</f>
        <v>542.026874406042</v>
      </c>
      <c r="D377" s="35" t="n">
        <f aca="false">Quesería!$B$40*D351</f>
        <v>0</v>
      </c>
      <c r="E377" s="35" t="n">
        <f aca="false">Quesería!$B$40*E351</f>
        <v>0</v>
      </c>
      <c r="F377" s="35" t="n">
        <f aca="false">Quesería!$B$40*F351</f>
        <v>0</v>
      </c>
      <c r="G377" s="35" t="n">
        <f aca="false">Quesería!$B$40*G351</f>
        <v>0</v>
      </c>
      <c r="H377" s="35" t="n">
        <f aca="false">Quesería!$B$40*H351</f>
        <v>0</v>
      </c>
      <c r="I377" s="35" t="n">
        <f aca="false">Quesería!$B$40*I351</f>
        <v>0</v>
      </c>
      <c r="J377" s="35" t="n">
        <f aca="false">Quesería!$B$40*J351</f>
        <v>0</v>
      </c>
      <c r="K377" s="35" t="n">
        <f aca="false">Quesería!$B$40*K351</f>
        <v>0</v>
      </c>
      <c r="L377" s="35" t="n">
        <f aca="false">Quesería!$B$40*L351</f>
        <v>0</v>
      </c>
    </row>
    <row r="378" customFormat="false" ht="15" hidden="false" customHeight="false" outlineLevel="0" collapsed="false">
      <c r="A378" s="6" t="s">
        <v>308</v>
      </c>
      <c r="B378" s="35" t="n">
        <f aca="false">(IF(AND(B$43&gt;0,B$43&lt;=0+Quesería!$B$42),($I$14+$I$24)*((Quesería!$B$40*$B$351*$B$348)-(Quesería!$B$40*$B$351*$B$348)/(Quesería!$B$42-Quesería!$B$43)*MAX(0,MIN(B$43-1-0-Quesería!$B$43,(Quesería!$B$42-Quesería!$B$43)))),0)+IF(AND(B$43&gt;1,B$43&lt;=1+Quesería!$B$42),($I$14+$I$24)*((Quesería!$B$40*$C$351*$C$348)-(Quesería!$B$40*$C$351*$C$348)/(Quesería!$B$42-Quesería!$B$43)*MAX(0,MIN(B$43-1-1-Quesería!$B$43,(Quesería!$B$42-Quesería!$B$43)))),0))*B350</f>
        <v>0</v>
      </c>
      <c r="C378" s="35" t="n">
        <f aca="false">(IF(AND(C$43&gt;0,C$43&lt;=0+Quesería!$B$42),($I$14+$I$24)*((Quesería!$B$40*$B$351*$B$348)-(Quesería!$B$40*$B$351*$B$348)/(Quesería!$B$42-Quesería!$B$43)*MAX(0,MIN(C$43-1-0-Quesería!$B$43,(Quesería!$B$42-Quesería!$B$43)))),0)+IF(AND(C$43&gt;1,C$43&lt;=1+Quesería!$B$42),($I$14+$I$24)*((Quesería!$B$40*$C$351*$C$348)-(Quesería!$B$40*$C$351*$C$348)/(Quesería!$B$42-Quesería!$B$43)*MAX(0,MIN(C$43-1-1-Quesería!$B$43,(Quesería!$B$42-Quesería!$B$43)))),0))*C350</f>
        <v>70.1890808235668</v>
      </c>
      <c r="D378" s="35" t="n">
        <f aca="false">(IF(AND(D$43&gt;0,D$43&lt;=0+Quesería!$B$42),($I$14+$I$24)*((Quesería!$B$40*$B$351*$B$348)-(Quesería!$B$40*$B$351*$B$348)/(Quesería!$B$42-Quesería!$B$43)*MAX(0,MIN(D$43-1-0-Quesería!$B$43,(Quesería!$B$42-Quesería!$B$43)))),0)+IF(AND(D$43&gt;1,D$43&lt;=1+Quesería!$B$42),($I$14+$I$24)*((Quesería!$B$40*$C$351*$C$348)-(Quesería!$B$40*$C$351*$C$348)/(Quesería!$B$42-Quesería!$B$43)*MAX(0,MIN(D$43-1-1-Quesería!$B$43,(Quesería!$B$42-Quesería!$B$43)))),0))*D350</f>
        <v>140.301311114659</v>
      </c>
      <c r="E378" s="35" t="n">
        <f aca="false">(IF(AND(E$43&gt;0,E$43&lt;=0+Quesería!$B$42),($I$14+$I$24)*((Quesería!$B$40*$B$351*$B$348)-(Quesería!$B$40*$B$351*$B$348)/(Quesería!$B$42-Quesería!$B$43)*MAX(0,MIN(E$43-1-0-Quesería!$B$43,(Quesería!$B$42-Quesería!$B$43)))),0)+IF(AND(E$43&gt;1,E$43&lt;=1+Quesería!$B$42),($I$14+$I$24)*((Quesería!$B$40*$C$351*$C$348)-(Quesería!$B$40*$C$351*$C$348)/(Quesería!$B$42-Quesería!$B$43)*MAX(0,MIN(E$43-1-1-Quesería!$B$43,(Quesería!$B$42-Quesería!$B$43)))),0))*E350</f>
        <v>124.141231116634</v>
      </c>
      <c r="F378" s="35" t="n">
        <f aca="false">(IF(AND(F$43&gt;0,F$43&lt;=0+Quesería!$B$42),($I$14+$I$24)*((Quesería!$B$40*$B$351*$B$348)-(Quesería!$B$40*$B$351*$B$348)/(Quesería!$B$42-Quesería!$B$43)*MAX(0,MIN(F$43-1-0-Quesería!$B$43,(Quesería!$B$42-Quesería!$B$43)))),0)+IF(AND(F$43&gt;1,F$43&lt;=1+Quesería!$B$42),($I$14+$I$24)*((Quesería!$B$40*$C$351*$C$348)-(Quesería!$B$40*$C$351*$C$348)/(Quesería!$B$42-Quesería!$B$43)*MAX(0,MIN(F$43-1-1-Quesería!$B$43,(Quesería!$B$42-Quesería!$B$43)))),0))*F350</f>
        <v>97.7471602337795</v>
      </c>
      <c r="G378" s="35" t="n">
        <f aca="false">(IF(AND(G$43&gt;0,G$43&lt;=0+Quesería!$B$42),($I$14+$I$24)*((Quesería!$B$40*$B$351*$B$348)-(Quesería!$B$40*$B$351*$B$348)/(Quesería!$B$42-Quesería!$B$43)*MAX(0,MIN(G$43-1-0-Quesería!$B$43,(Quesería!$B$42-Quesería!$B$43)))),0)+IF(AND(G$43&gt;1,G$43&lt;=1+Quesería!$B$42),($I$14+$I$24)*((Quesería!$B$40*$C$351*$C$348)-(Quesería!$B$40*$C$351*$C$348)/(Quesería!$B$42-Quesería!$B$43)*MAX(0,MIN(G$43-1-1-Quesería!$B$43,(Quesería!$B$42-Quesería!$B$43)))),0))*G350</f>
        <v>73.1997616213273</v>
      </c>
      <c r="H378" s="35" t="n">
        <f aca="false">(IF(AND(H$43&gt;0,H$43&lt;=0+Quesería!$B$42),($I$14+$I$24)*((Quesería!$B$40*$B$351*$B$348)-(Quesería!$B$40*$B$351*$B$348)/(Quesería!$B$42-Quesería!$B$43)*MAX(0,MIN(H$43-1-0-Quesería!$B$43,(Quesería!$B$42-Quesería!$B$43)))),0)+IF(AND(H$43&gt;1,H$43&lt;=1+Quesería!$B$42),($I$14+$I$24)*((Quesería!$B$40*$C$351*$C$348)-(Quesería!$B$40*$C$351*$C$348)/(Quesería!$B$42-Quesería!$B$43)*MAX(0,MIN(H$43-1-1-Quesería!$B$43,(Quesería!$B$42-Quesería!$B$43)))),0))*H350</f>
        <v>50.3960280497239</v>
      </c>
      <c r="I378" s="35" t="n">
        <f aca="false">(IF(AND(I$43&gt;0,I$43&lt;=0+Quesería!$B$42),($I$14+$I$24)*((Quesería!$B$40*$B$351*$B$348)-(Quesería!$B$40*$B$351*$B$348)/(Quesería!$B$42-Quesería!$B$43)*MAX(0,MIN(I$43-1-0-Quesería!$B$43,(Quesería!$B$42-Quesería!$B$43)))),0)+IF(AND(I$43&gt;1,I$43&lt;=1+Quesería!$B$42),($I$14+$I$24)*((Quesería!$B$40*$C$351*$C$348)-(Quesería!$B$40*$C$351*$C$348)/(Quesería!$B$42-Quesería!$B$43)*MAX(0,MIN(I$43-1-1-Quesería!$B$43,(Quesería!$B$42-Quesería!$B$43)))),0))*I350</f>
        <v>29.2381441587448</v>
      </c>
      <c r="J378" s="35" t="n">
        <f aca="false">(IF(AND(J$43&gt;0,J$43&lt;=0+Quesería!$B$42),($I$14+$I$24)*((Quesería!$B$40*$B$351*$B$348)-(Quesería!$B$40*$B$351*$B$348)/(Quesería!$B$42-Quesería!$B$43)*MAX(0,MIN(J$43-1-0-Quesería!$B$43,(Quesería!$B$42-Quesería!$B$43)))),0)+IF(AND(J$43&gt;1,J$43&lt;=1+Quesería!$B$42),($I$14+$I$24)*((Quesería!$B$40*$C$351*$C$348)-(Quesería!$B$40*$C$351*$C$348)/(Quesería!$B$42-Quesería!$B$43)*MAX(0,MIN(J$43-1-1-Quesería!$B$43,(Quesería!$B$42-Quesería!$B$43)))),0))*J350</f>
        <v>9.63323946048929</v>
      </c>
      <c r="K378" s="35" t="n">
        <f aca="false">(IF(AND(K$43&gt;0,K$43&lt;=0+Quesería!$B$42),($I$14+$I$24)*((Quesería!$B$40*$B$351*$B$348)-(Quesería!$B$40*$B$351*$B$348)/(Quesería!$B$42-Quesería!$B$43)*MAX(0,MIN(K$43-1-0-Quesería!$B$43,(Quesería!$B$42-Quesería!$B$43)))),0)+IF(AND(K$43&gt;1,K$43&lt;=1+Quesería!$B$42),($I$14+$I$24)*((Quesería!$B$40*$C$351*$C$348)-(Quesería!$B$40*$C$351*$C$348)/(Quesería!$B$42-Quesería!$B$43)*MAX(0,MIN(K$43-1-1-Quesería!$B$43,(Quesería!$B$42-Quesería!$B$43)))),0))*K350</f>
        <v>0</v>
      </c>
      <c r="L378" s="35" t="n">
        <f aca="false">(IF(AND(L$43&gt;0,L$43&lt;=0+Quesería!$B$42),($I$14+$I$24)*((Quesería!$B$40*$B$351*$B$348)-(Quesería!$B$40*$B$351*$B$348)/(Quesería!$B$42-Quesería!$B$43)*MAX(0,MIN(L$43-1-0-Quesería!$B$43,(Quesería!$B$42-Quesería!$B$43)))),0)+IF(AND(L$43&gt;1,L$43&lt;=1+Quesería!$B$42),($I$14+$I$24)*((Quesería!$B$40*$C$351*$C$348)-(Quesería!$B$40*$C$351*$C$348)/(Quesería!$B$42-Quesería!$B$43)*MAX(0,MIN(L$43-1-1-Quesería!$B$43,(Quesería!$B$42-Quesería!$B$43)))),0))*L350</f>
        <v>0</v>
      </c>
    </row>
    <row r="379" customFormat="false" ht="15" hidden="false" customHeight="false" outlineLevel="0" collapsed="false">
      <c r="A379" s="6" t="s">
        <v>309</v>
      </c>
      <c r="B379" s="35" t="n">
        <f aca="false">(IF(AND(B$43&gt;0+Quesería!$B$43,B$43&lt;=0+Quesería!$B$42),(Quesería!$B$40*$B$351*$B$348)/(Quesería!$B$42-Quesería!$B$43),0)+IF(AND(B$43&gt;1+Quesería!$B$43,B$43&lt;=1+Quesería!$B$42),(Quesería!$B$40*$C$351*$C$348)/(Quesería!$B$42-Quesería!$B$43),0))*B350</f>
        <v>0</v>
      </c>
      <c r="C379" s="35" t="n">
        <f aca="false">(IF(AND(C$43&gt;0+Quesería!$B$43,C$43&lt;=0+Quesería!$B$42),(Quesería!$B$40*$B$351*$B$348)/(Quesería!$B$42-Quesería!$B$43),0)+IF(AND(C$43&gt;1+Quesería!$B$43,C$43&lt;=1+Quesería!$B$42),(Quesería!$B$40*$C$351*$C$348)/(Quesería!$B$42-Quesería!$B$43),0))*C350</f>
        <v>0</v>
      </c>
      <c r="D379" s="35" t="n">
        <f aca="false">(IF(AND(D$43&gt;0+Quesería!$B$43,D$43&lt;=0+Quesería!$B$42),(Quesería!$B$40*$B$351*$B$348)/(Quesería!$B$42-Quesería!$B$43),0)+IF(AND(D$43&gt;1+Quesería!$B$43,D$43&lt;=1+Quesería!$B$42),(Quesería!$B$40*$C$351*$C$348)/(Quesería!$B$42-Quesería!$B$43),0))*D350</f>
        <v>79.3931259103541</v>
      </c>
      <c r="E379" s="35" t="n">
        <f aca="false">(IF(AND(E$43&gt;0+Quesería!$B$43,E$43&lt;=0+Quesería!$B$42),(Quesería!$B$40*$B$351*$B$348)/(Quesería!$B$42-Quesería!$B$43),0)+IF(AND(E$43&gt;1+Quesería!$B$43,E$43&lt;=1+Quesería!$B$42),(Quesería!$B$40*$C$351*$C$348)/(Quesería!$B$42-Quesería!$B$43),0))*E350</f>
        <v>159.462301230518</v>
      </c>
      <c r="F379" s="35" t="n">
        <f aca="false">(IF(AND(F$43&gt;0+Quesería!$B$43,F$43&lt;=0+Quesería!$B$42),(Quesería!$B$40*$B$351*$B$348)/(Quesería!$B$42-Quesería!$B$43),0)+IF(AND(F$43&gt;1+Quesería!$B$43,F$43&lt;=1+Quesería!$B$42),(Quesería!$B$40*$C$351*$C$348)/(Quesería!$B$42-Quesería!$B$43),0))*F350</f>
        <v>153.329135798575</v>
      </c>
      <c r="G379" s="35" t="n">
        <f aca="false">(IF(AND(G$43&gt;0+Quesería!$B$43,G$43&lt;=0+Quesería!$B$42),(Quesería!$B$40*$B$351*$B$348)/(Quesería!$B$42-Quesería!$B$43),0)+IF(AND(G$43&gt;1+Quesería!$B$43,G$43&lt;=1+Quesería!$B$42),(Quesería!$B$40*$C$351*$C$348)/(Quesería!$B$42-Quesería!$B$43),0))*G350</f>
        <v>147.431861344784</v>
      </c>
      <c r="H379" s="35" t="n">
        <f aca="false">(IF(AND(H$43&gt;0+Quesería!$B$43,H$43&lt;=0+Quesería!$B$42),(Quesería!$B$40*$B$351*$B$348)/(Quesería!$B$42-Quesería!$B$43),0)+IF(AND(H$43&gt;1+Quesería!$B$43,H$43&lt;=1+Quesería!$B$42),(Quesería!$B$40*$C$351*$C$348)/(Quesería!$B$42-Quesería!$B$43),0))*H350</f>
        <v>141.761405139215</v>
      </c>
      <c r="I379" s="35" t="n">
        <f aca="false">(IF(AND(I$43&gt;0+Quesería!$B$43,I$43&lt;=0+Quesería!$B$42),(Quesería!$B$40*$B$351*$B$348)/(Quesería!$B$42-Quesería!$B$43),0)+IF(AND(I$43&gt;1+Quesería!$B$43,I$43&lt;=1+Quesería!$B$42),(Quesería!$B$40*$C$351*$C$348)/(Quesería!$B$42-Quesería!$B$43),0))*I350</f>
        <v>136.309043403091</v>
      </c>
      <c r="J379" s="35" t="n">
        <f aca="false">(IF(AND(J$43&gt;0+Quesería!$B$43,J$43&lt;=0+Quesería!$B$42),(Quesería!$B$40*$B$351*$B$348)/(Quesería!$B$42-Quesería!$B$43),0)+IF(AND(J$43&gt;1+Quesería!$B$43,J$43&lt;=1+Quesería!$B$42),(Quesería!$B$40*$C$351*$C$348)/(Quesería!$B$42-Quesería!$B$43),0))*J350</f>
        <v>68.3208472375127</v>
      </c>
      <c r="K379" s="35" t="n">
        <f aca="false">(IF(AND(K$43&gt;0+Quesería!$B$43,K$43&lt;=0+Quesería!$B$42),(Quesería!$B$40*$B$351*$B$348)/(Quesería!$B$42-Quesería!$B$43),0)+IF(AND(K$43&gt;1+Quesería!$B$43,K$43&lt;=1+Quesería!$B$42),(Quesería!$B$40*$C$351*$C$348)/(Quesería!$B$42-Quesería!$B$43),0))*K350</f>
        <v>0</v>
      </c>
      <c r="L379" s="35" t="n">
        <f aca="false">(IF(AND(L$43&gt;0+Quesería!$B$43,L$43&lt;=0+Quesería!$B$42),(Quesería!$B$40*$B$351*$B$348)/(Quesería!$B$42-Quesería!$B$43),0)+IF(AND(L$43&gt;1+Quesería!$B$43,L$43&lt;=1+Quesería!$B$42),(Quesería!$B$40*$C$351*$C$348)/(Quesería!$B$42-Quesería!$B$43),0))*L350</f>
        <v>0</v>
      </c>
    </row>
    <row r="380" customFormat="false" ht="15" hidden="false" customHeight="false" outlineLevel="0" collapsed="false">
      <c r="A380" s="6" t="s">
        <v>310</v>
      </c>
      <c r="B380" s="35" t="n">
        <f aca="false">$I$13*Quesería!$B$44*(1+0.19)*B376*B350+(1-$I$13)*IF(B$43=0,Quesería!$B$53,0)</f>
        <v>4</v>
      </c>
      <c r="C380" s="35" t="n">
        <f aca="false">$I$13*Quesería!$B$44*(1+0.19)*C376*C350+(1-$I$13)*IF(C$43=0,Quesería!$B$53,0)</f>
        <v>0</v>
      </c>
      <c r="D380" s="35" t="n">
        <f aca="false">$I$13*Quesería!$B$44*(1+0.19)*D376*D350+(1-$I$13)*IF(D$43=0,Quesería!$B$53,0)</f>
        <v>0</v>
      </c>
      <c r="E380" s="35" t="n">
        <f aca="false">$I$13*Quesería!$B$44*(1+0.19)*E376*E350+(1-$I$13)*IF(E$43=0,Quesería!$B$53,0)</f>
        <v>0</v>
      </c>
      <c r="F380" s="35" t="n">
        <f aca="false">$I$13*Quesería!$B$44*(1+0.19)*F376*F350+(1-$I$13)*IF(F$43=0,Quesería!$B$53,0)</f>
        <v>0</v>
      </c>
      <c r="G380" s="35" t="n">
        <f aca="false">$I$13*Quesería!$B$44*(1+0.19)*G376*G350+(1-$I$13)*IF(G$43=0,Quesería!$B$53,0)</f>
        <v>0</v>
      </c>
      <c r="H380" s="35" t="n">
        <f aca="false">$I$13*Quesería!$B$44*(1+0.19)*H376*H350+(1-$I$13)*IF(H$43=0,Quesería!$B$53,0)</f>
        <v>0</v>
      </c>
      <c r="I380" s="35" t="n">
        <f aca="false">$I$13*Quesería!$B$44*(1+0.19)*I376*I350+(1-$I$13)*IF(I$43=0,Quesería!$B$53,0)</f>
        <v>0</v>
      </c>
      <c r="J380" s="35" t="n">
        <f aca="false">$I$13*Quesería!$B$44*(1+0.19)*J376*J350+(1-$I$13)*IF(J$43=0,Quesería!$B$53,0)</f>
        <v>0</v>
      </c>
      <c r="K380" s="35" t="n">
        <f aca="false">$I$13*Quesería!$B$44*(1+0.19)*K376*K350+(1-$I$13)*IF(K$43=0,Quesería!$B$53,0)</f>
        <v>0</v>
      </c>
      <c r="L380" s="35" t="n">
        <f aca="false">$I$13*Quesería!$B$44*(1+0.19)*L376*L350+(1-$I$13)*IF(L$43=0,Quesería!$B$53,0)</f>
        <v>0</v>
      </c>
    </row>
    <row r="381" customFormat="false" ht="15" hidden="false" customHeight="false" outlineLevel="0" collapsed="false">
      <c r="A381" s="6" t="s">
        <v>311</v>
      </c>
      <c r="B381" s="35" t="n">
        <f aca="false">Quesería!$B$45*(B378+B379+B380)</f>
        <v>0.016</v>
      </c>
      <c r="C381" s="35" t="n">
        <f aca="false">Quesería!$B$45*(C378+C379+C380)</f>
        <v>0.280756323294267</v>
      </c>
      <c r="D381" s="35" t="n">
        <f aca="false">Quesería!$B$45*(D378+D379+D380)</f>
        <v>0.878777748100053</v>
      </c>
      <c r="E381" s="35" t="n">
        <f aca="false">Quesería!$B$45*(E378+E379+E380)</f>
        <v>1.13441412938861</v>
      </c>
      <c r="F381" s="35" t="n">
        <f aca="false">Quesería!$B$45*(F378+F379+F380)</f>
        <v>1.00430518412942</v>
      </c>
      <c r="G381" s="35" t="n">
        <f aca="false">Quesería!$B$45*(G378+G379+G380)</f>
        <v>0.882526491864444</v>
      </c>
      <c r="H381" s="35" t="n">
        <f aca="false">Quesería!$B$45*(H378+H379+H380)</f>
        <v>0.768629732755756</v>
      </c>
      <c r="I381" s="35" t="n">
        <f aca="false">Quesería!$B$45*(I378+I379+I380)</f>
        <v>0.662188750247345</v>
      </c>
      <c r="J381" s="35" t="n">
        <f aca="false">Quesería!$B$45*(J378+J379+J380)</f>
        <v>0.311816346792008</v>
      </c>
      <c r="K381" s="35" t="n">
        <f aca="false">Quesería!$B$45*(K378+K379+K380)</f>
        <v>0</v>
      </c>
      <c r="L381" s="35" t="n">
        <f aca="false">Quesería!$B$45*(L378+L379+L380)</f>
        <v>0</v>
      </c>
    </row>
    <row r="382" customFormat="false" ht="15" hidden="false" customHeight="false" outlineLevel="0" collapsed="false">
      <c r="A382" s="6" t="s">
        <v>312</v>
      </c>
      <c r="B382" s="35" t="n">
        <f aca="false">$I$17*(B378+B380+0.5*B381)</f>
        <v>1.4028</v>
      </c>
      <c r="C382" s="35" t="n">
        <f aca="false">$I$17*(C378+C380+0.5*C381)</f>
        <v>24.6153106448249</v>
      </c>
      <c r="D382" s="35" t="n">
        <f aca="false">$I$17*(D378+D380+0.5*D381)</f>
        <v>49.2592449960482</v>
      </c>
      <c r="E382" s="35" t="n">
        <f aca="false">$I$17*(E378+E380+0.5*E381)</f>
        <v>43.6479533634648</v>
      </c>
      <c r="F382" s="35" t="n">
        <f aca="false">$I$17*(F378+F380+0.5*F381)</f>
        <v>34.3872594890455</v>
      </c>
      <c r="G382" s="35" t="n">
        <f aca="false">$I$17*(G378+G380+0.5*G381)</f>
        <v>25.7743587035408</v>
      </c>
      <c r="H382" s="35" t="n">
        <f aca="false">$I$17*(H378+H380+0.5*H381)</f>
        <v>17.7731200206356</v>
      </c>
      <c r="I382" s="35" t="n">
        <f aca="false">$I$17*(I378+I380+0.5*I381)</f>
        <v>10.3492334868539</v>
      </c>
      <c r="J382" s="35" t="n">
        <f aca="false">$I$17*(J378+J380+0.5*J381)</f>
        <v>3.42620167185985</v>
      </c>
      <c r="K382" s="35" t="n">
        <f aca="false">$I$17*(K378+K380+0.5*K381)</f>
        <v>0</v>
      </c>
      <c r="L382" s="35" t="n">
        <f aca="false">$I$17*(L378+L380+0.5*L381)</f>
        <v>0</v>
      </c>
    </row>
    <row r="383" customFormat="false" ht="15" hidden="false" customHeight="false" outlineLevel="0" collapsed="false">
      <c r="A383" s="5" t="s">
        <v>313</v>
      </c>
      <c r="B383" s="37" t="n">
        <f aca="false">B368+B377-B378-B379-B380-B381+B382</f>
        <v>-279.808946155522</v>
      </c>
      <c r="C383" s="37" t="n">
        <f aca="false">C368+C377-C378-C379-C380-C381+C382</f>
        <v>-17.8508691639717</v>
      </c>
      <c r="D383" s="37" t="n">
        <f aca="false">D368+D377-D378-D379-D380-D381+D382</f>
        <v>197.101198866331</v>
      </c>
      <c r="E383" s="37" t="n">
        <f aca="false">E368+E377-E378-E379-E380-E381+E382</f>
        <v>12.5532527816054</v>
      </c>
      <c r="F383" s="37" t="n">
        <f aca="false">F368+F377-F378-F379-F380-F381+F382</f>
        <v>36.9273426532902</v>
      </c>
      <c r="G383" s="37" t="n">
        <f aca="false">G368+G377-G378-G379-G380-G381+G382</f>
        <v>19.2611010057937</v>
      </c>
      <c r="H383" s="37" t="n">
        <f aca="false">H368+H377-H378-H379-H380-H381+H382</f>
        <v>29.1096589866859</v>
      </c>
      <c r="I383" s="37" t="n">
        <f aca="false">I368+I377-I378-I379-I380-I381+I382</f>
        <v>102.559329195009</v>
      </c>
      <c r="J383" s="37" t="n">
        <f aca="false">J368+J377-J378-J379-J380-J381+J382</f>
        <v>174.619854585748</v>
      </c>
      <c r="K383" s="37" t="n">
        <f aca="false">K368+K377-K378-K379-K380-K381+K382</f>
        <v>248.300711145033</v>
      </c>
      <c r="L383" s="37" t="n">
        <f aca="false">L368+L377-L378-L379-L380-L381+L382</f>
        <v>329.049923702855</v>
      </c>
    </row>
    <row r="384" customFormat="false" ht="15" hidden="false" customHeight="false" outlineLevel="0" collapsed="false">
      <c r="A384" s="9" t="s">
        <v>314</v>
      </c>
      <c r="B384" s="36" t="n">
        <f aca="false">B383*B348</f>
        <v>-296.597482924853</v>
      </c>
      <c r="C384" s="36" t="n">
        <f aca="false">C383*C348</f>
        <v>-19.8680173795005</v>
      </c>
      <c r="D384" s="36" t="n">
        <f aca="false">D383*D348</f>
        <v>229.245447883446</v>
      </c>
      <c r="E384" s="36" t="n">
        <f aca="false">E383*E348</f>
        <v>15.1845200119533</v>
      </c>
      <c r="F384" s="36" t="n">
        <f aca="false">F383*F348</f>
        <v>46.454328817622</v>
      </c>
      <c r="G384" s="36" t="n">
        <f aca="false">G383*G348</f>
        <v>25.1995381587568</v>
      </c>
      <c r="H384" s="36" t="n">
        <f aca="false">H383*H348</f>
        <v>39.6079103001873</v>
      </c>
      <c r="I384" s="36" t="n">
        <f aca="false">I383*I348</f>
        <v>145.128705959204</v>
      </c>
      <c r="J384" s="36" t="n">
        <f aca="false">J383*J348</f>
        <v>256.983424900649</v>
      </c>
      <c r="K384" s="36" t="n">
        <f aca="false">K383*K348</f>
        <v>380.034297926543</v>
      </c>
      <c r="L384" s="36" t="n">
        <f aca="false">L383*L348</f>
        <v>523.769208742706</v>
      </c>
    </row>
    <row r="385" customFormat="false" ht="15" hidden="false" customHeight="false" outlineLevel="0" collapsed="false">
      <c r="A385" s="9" t="s">
        <v>315</v>
      </c>
      <c r="B385" s="34" t="n">
        <f aca="false">(B348/$B$348)/(1+Quesería!$B$46+$I$24)^B$43</f>
        <v>1</v>
      </c>
      <c r="C385" s="34" t="n">
        <f aca="false">(C348/$B$348)/(1+Quesería!$B$46+$I$24)^C$43</f>
        <v>0.84</v>
      </c>
      <c r="D385" s="34" t="n">
        <f aca="false">(D348/$B$348)/(1+Quesería!$B$46+$I$24)^D$43</f>
        <v>0.70224</v>
      </c>
      <c r="E385" s="34" t="n">
        <f aca="false">(E348/$B$348)/(1+Quesería!$B$46+$I$24)^E$43</f>
        <v>0.58426368</v>
      </c>
      <c r="F385" s="34" t="n">
        <f aca="false">(F348/$B$348)/(1+Quesería!$B$46+$I$24)^F$43</f>
        <v>0.48610738176</v>
      </c>
      <c r="G385" s="34" t="n">
        <f aca="false">(G348/$B$348)/(1+Quesería!$B$46+$I$24)^G$43</f>
        <v>0.40444134162432</v>
      </c>
      <c r="H385" s="34" t="n">
        <f aca="false">(H348/$B$348)/(1+Quesería!$B$46+$I$24)^H$43</f>
        <v>0.336495196231434</v>
      </c>
      <c r="I385" s="34" t="n">
        <f aca="false">(I348/$B$348)/(1+Quesería!$B$46+$I$24)^I$43</f>
        <v>0.279964003264553</v>
      </c>
      <c r="J385" s="34" t="n">
        <f aca="false">(J348/$B$348)/(1+Quesería!$B$46+$I$24)^J$43</f>
        <v>0.232930050716108</v>
      </c>
      <c r="K385" s="34" t="n">
        <f aca="false">(K348/$B$348)/(1+Quesería!$B$46+$I$24)^K$43</f>
        <v>0.193797802195802</v>
      </c>
      <c r="L385" s="34" t="n">
        <f aca="false">(L348/$B$348)/(1+Quesería!$B$46+$I$24)^L$43</f>
        <v>0.161239771426907</v>
      </c>
    </row>
    <row r="386" customFormat="false" ht="15" hidden="false" customHeight="false" outlineLevel="0" collapsed="false">
      <c r="A386" s="9" t="s">
        <v>316</v>
      </c>
      <c r="B386" s="36" t="n">
        <f aca="false">B368+B351+B353+B382</f>
        <v>67.4322091862538</v>
      </c>
      <c r="C386" s="36" t="n">
        <f aca="false">C368+C351+C353+C382</f>
        <v>432.037780067119</v>
      </c>
      <c r="D386" s="36" t="n">
        <f aca="false">D368+D351+D353+D382</f>
        <v>417.674413639444</v>
      </c>
      <c r="E386" s="36" t="n">
        <f aca="false">E368+E351+E353+E382</f>
        <v>297.291199258146</v>
      </c>
      <c r="F386" s="36" t="n">
        <f aca="false">F368+F351+F353+F382</f>
        <v>289.007943869774</v>
      </c>
      <c r="G386" s="36" t="n">
        <f aca="false">G368+G351+G353+G382</f>
        <v>246.855250463769</v>
      </c>
      <c r="H386" s="36" t="n">
        <f aca="false">H368+H351+H353+H382</f>
        <v>230.085160005301</v>
      </c>
      <c r="I386" s="36" t="n">
        <f aca="false">I368+I351+I353+I382</f>
        <v>268.768705507092</v>
      </c>
      <c r="J386" s="36" t="n">
        <f aca="false">J368+J351+J353+J382</f>
        <v>252.885757630542</v>
      </c>
      <c r="K386" s="36" t="n">
        <f aca="false">K368+K351+K353+K382</f>
        <v>248.300711145033</v>
      </c>
      <c r="L386" s="36" t="n">
        <f aca="false">L368+L351+L353+L382</f>
        <v>329.049923702855</v>
      </c>
    </row>
    <row r="387" customFormat="false" ht="15" hidden="false" customHeight="false" outlineLevel="0" collapsed="false">
      <c r="A387" s="5" t="s">
        <v>317</v>
      </c>
      <c r="B387" s="12" t="str">
        <f aca="false">IF(AND(B$43&gt;=1,(B378+B379+B380)&gt;0.001),B386/(B378+B379+B380),"")</f>
        <v/>
      </c>
      <c r="C387" s="12" t="n">
        <f aca="false">IF(AND(C$43&gt;=1,(C378+C379+C380)&gt;0.001),C386/(C378+C379+C380),"")</f>
        <v>6.15534175683431</v>
      </c>
      <c r="D387" s="12" t="n">
        <f aca="false">IF(AND(D$43&gt;=1,(D378+D379+D380)&gt;0.001),D386/(D378+D379+D380),"")</f>
        <v>1.90116062698433</v>
      </c>
      <c r="E387" s="12" t="n">
        <f aca="false">IF(AND(E$43&gt;=1,(E378+E379+E380)&gt;0.001),E386/(E378+E379+E380),"")</f>
        <v>1.04826338655839</v>
      </c>
      <c r="F387" s="12" t="n">
        <f aca="false">IF(AND(F$43&gt;=1,(F378+F379+F380)&gt;0.001),F386/(F378+F379+F380),"")</f>
        <v>1.15107618057473</v>
      </c>
      <c r="G387" s="12" t="n">
        <f aca="false">IF(AND(G$43&gt;=1,(G378+G379+G380)&gt;0.001),G386/(G378+G379+G380),"")</f>
        <v>1.11885706656695</v>
      </c>
      <c r="H387" s="12" t="n">
        <f aca="false">IF(AND(H$43&gt;=1,(H378+H379+H380)&gt;0.001),H386/(H378+H379+H380),"")</f>
        <v>1.19737840054862</v>
      </c>
      <c r="I387" s="12" t="n">
        <f aca="false">IF(AND(I$43&gt;=1,(I378+I379+I380)&gt;0.001),I386/(I378+I379+I380),"")</f>
        <v>1.62351719449598</v>
      </c>
      <c r="J387" s="12" t="n">
        <f aca="false">IF(AND(J$43&gt;=1,(J378+J379+J380)&gt;0.001),J386/(J378+J379+J380),"")</f>
        <v>3.24403464067553</v>
      </c>
      <c r="K387" s="12" t="str">
        <f aca="false">IF(AND(K$43&gt;=1,(K378+K379+K380)&gt;0.001),K386/(K378+K379+K380),"")</f>
        <v/>
      </c>
      <c r="L387" s="12" t="str">
        <f aca="false">IF(AND(L$43&gt;=1,(L378+L379+L380)&gt;0.001),L386/(L378+L379+L380),"")</f>
        <v/>
      </c>
    </row>
    <row r="389" customFormat="false" ht="15" hidden="false" customHeight="false" outlineLevel="0" collapsed="false">
      <c r="A389" s="66" t="s">
        <v>634</v>
      </c>
      <c r="B389" s="67"/>
      <c r="C389" s="67"/>
      <c r="D389" s="67"/>
      <c r="E389" s="67"/>
      <c r="F389" s="67"/>
      <c r="G389" s="67"/>
      <c r="H389" s="67"/>
      <c r="I389" s="67"/>
      <c r="J389" s="67"/>
      <c r="K389" s="67"/>
      <c r="L389" s="67"/>
    </row>
    <row r="390" customFormat="false" ht="15" hidden="false" customHeight="false" outlineLevel="0" collapsed="false">
      <c r="A390" s="9" t="s">
        <v>281</v>
      </c>
      <c r="B390" s="33" t="n">
        <f aca="false">CHOOSE($J$15,Entorno!B$7,Entorno!B$8,Entorno!B$9)</f>
        <v>0.06</v>
      </c>
      <c r="C390" s="33" t="n">
        <f aca="false">CHOOSE($J$15,Entorno!C$7,Entorno!C$8,Entorno!C$9)</f>
        <v>0.05</v>
      </c>
      <c r="D390" s="33" t="n">
        <f aca="false">CHOOSE($J$15,Entorno!D$7,Entorno!D$8,Entorno!D$9)</f>
        <v>0.045</v>
      </c>
      <c r="E390" s="33" t="n">
        <f aca="false">CHOOSE($J$15,Entorno!E$7,Entorno!E$8,Entorno!E$9)</f>
        <v>0.04</v>
      </c>
      <c r="F390" s="33" t="n">
        <f aca="false">CHOOSE($J$15,Entorno!F$7,Entorno!F$8,Entorno!F$9)</f>
        <v>0.04</v>
      </c>
      <c r="G390" s="33" t="n">
        <f aca="false">CHOOSE($J$15,Entorno!G$7,Entorno!G$8,Entorno!G$9)</f>
        <v>0.04</v>
      </c>
      <c r="H390" s="33" t="n">
        <f aca="false">CHOOSE($J$15,Entorno!H$7,Entorno!H$8,Entorno!H$9)</f>
        <v>0.04</v>
      </c>
      <c r="I390" s="33" t="n">
        <f aca="false">CHOOSE($J$15,Entorno!I$7,Entorno!I$8,Entorno!I$9)</f>
        <v>0.04</v>
      </c>
      <c r="J390" s="33" t="n">
        <f aca="false">CHOOSE($J$15,Entorno!J$7,Entorno!J$8,Entorno!J$9)</f>
        <v>0.04</v>
      </c>
      <c r="K390" s="33" t="n">
        <f aca="false">CHOOSE($J$15,Entorno!K$7,Entorno!K$8,Entorno!K$9)</f>
        <v>0.04</v>
      </c>
      <c r="L390" s="33" t="n">
        <f aca="false">CHOOSE($J$15,Entorno!L$7,Entorno!L$8,Entorno!L$9)</f>
        <v>0.04</v>
      </c>
    </row>
    <row r="391" customFormat="false" ht="15" hidden="false" customHeight="false" outlineLevel="0" collapsed="false">
      <c r="A391" s="9" t="s">
        <v>282</v>
      </c>
      <c r="B391" s="34" t="n">
        <f aca="false">1+B390</f>
        <v>1.06</v>
      </c>
      <c r="C391" s="34" t="n">
        <f aca="false">B391*(1+C390)</f>
        <v>1.113</v>
      </c>
      <c r="D391" s="34" t="n">
        <f aca="false">C391*(1+D390)</f>
        <v>1.163085</v>
      </c>
      <c r="E391" s="34" t="n">
        <f aca="false">D391*(1+E390)</f>
        <v>1.2096084</v>
      </c>
      <c r="F391" s="34" t="n">
        <f aca="false">E391*(1+F390)</f>
        <v>1.257992736</v>
      </c>
      <c r="G391" s="34" t="n">
        <f aca="false">F391*(1+G390)</f>
        <v>1.30831244544</v>
      </c>
      <c r="H391" s="34" t="n">
        <f aca="false">G391*(1+H390)</f>
        <v>1.3606449432576</v>
      </c>
      <c r="I391" s="34" t="n">
        <f aca="false">H391*(1+I390)</f>
        <v>1.4150707409879</v>
      </c>
      <c r="J391" s="34" t="n">
        <f aca="false">I391*(1+J390)</f>
        <v>1.47167357062742</v>
      </c>
      <c r="K391" s="34" t="n">
        <f aca="false">J391*(1+K390)</f>
        <v>1.53054051345252</v>
      </c>
      <c r="L391" s="34" t="n">
        <f aca="false">K391*(1+L390)</f>
        <v>1.59176213399062</v>
      </c>
    </row>
    <row r="392" customFormat="false" ht="15" hidden="false" customHeight="false" outlineLevel="0" collapsed="false">
      <c r="A392" s="9" t="s">
        <v>283</v>
      </c>
      <c r="B392" s="34" t="n">
        <f aca="false">(1+$J$16)/(1+B390)</f>
        <v>1.02358490566038</v>
      </c>
      <c r="C392" s="34" t="n">
        <f aca="false">B392*(1+Entorno!$B$13)</f>
        <v>1.02870283018868</v>
      </c>
      <c r="D392" s="34" t="n">
        <f aca="false">C392*(1+Entorno!$B$13)</f>
        <v>1.03384634433962</v>
      </c>
      <c r="E392" s="34" t="n">
        <f aca="false">D392*(1+Entorno!$B$13)</f>
        <v>1.03901557606132</v>
      </c>
      <c r="F392" s="34" t="n">
        <f aca="false">E392*(1+Entorno!$B$13)</f>
        <v>1.04421065394163</v>
      </c>
      <c r="G392" s="34" t="n">
        <f aca="false">F392*(1+Entorno!$B$13)</f>
        <v>1.04943170721133</v>
      </c>
      <c r="H392" s="34" t="n">
        <f aca="false">G392*(1+Entorno!$B$13)</f>
        <v>1.05467886574739</v>
      </c>
      <c r="I392" s="34" t="n">
        <f aca="false">H392*(1+Entorno!$B$13)</f>
        <v>1.05995226007613</v>
      </c>
      <c r="J392" s="34" t="n">
        <f aca="false">I392*(1+Entorno!$B$13)</f>
        <v>1.06525202137651</v>
      </c>
      <c r="K392" s="34" t="n">
        <f aca="false">J392*(1+Entorno!$B$13)</f>
        <v>1.07057828148339</v>
      </c>
      <c r="L392" s="34" t="n">
        <f aca="false">K392*(1+Entorno!$B$13)</f>
        <v>1.07593117289081</v>
      </c>
    </row>
    <row r="393" customFormat="false" ht="15" hidden="false" customHeight="false" outlineLevel="0" collapsed="false">
      <c r="A393" s="9" t="s">
        <v>284</v>
      </c>
      <c r="B393" s="34" t="n">
        <f aca="false">1/B391</f>
        <v>0.943396226415094</v>
      </c>
      <c r="C393" s="34" t="n">
        <f aca="false">1/C391</f>
        <v>0.898472596585804</v>
      </c>
      <c r="D393" s="34" t="n">
        <f aca="false">1/D391</f>
        <v>0.859782389077324</v>
      </c>
      <c r="E393" s="34" t="n">
        <f aca="false">1/E391</f>
        <v>0.826713835651273</v>
      </c>
      <c r="F393" s="34" t="n">
        <f aca="false">1/F391</f>
        <v>0.794917149664686</v>
      </c>
      <c r="G393" s="34" t="n">
        <f aca="false">1/G391</f>
        <v>0.764343413139121</v>
      </c>
      <c r="H393" s="34" t="n">
        <f aca="false">1/H391</f>
        <v>0.734945589556847</v>
      </c>
      <c r="I393" s="34" t="n">
        <f aca="false">1/I391</f>
        <v>0.706678451496968</v>
      </c>
      <c r="J393" s="34" t="n">
        <f aca="false">1/J391</f>
        <v>0.679498511054777</v>
      </c>
      <c r="K393" s="34" t="n">
        <f aca="false">1/K391</f>
        <v>0.653363952937286</v>
      </c>
      <c r="L393" s="34" t="n">
        <f aca="false">1/L391</f>
        <v>0.628234570132006</v>
      </c>
    </row>
    <row r="394" customFormat="false" ht="15" hidden="false" customHeight="false" outlineLevel="0" collapsed="false">
      <c r="A394" s="6" t="s">
        <v>202</v>
      </c>
      <c r="B394" s="35" t="n">
        <f aca="false">IF(B$43=0,Quesería!$F$80,IF(B$43=1,Quesería!$F$81*$J$21,0))*$J$11</f>
        <v>497.794899457921</v>
      </c>
      <c r="C394" s="35" t="n">
        <f aca="false">IF(C$43=0,Quesería!$F$80,IF(C$43=1,Quesería!$F$81*$J$21,0))*$J$11</f>
        <v>516.216070862897</v>
      </c>
      <c r="D394" s="35" t="n">
        <f aca="false">IF(D$43=0,Quesería!$F$80,IF(D$43=1,Quesería!$F$81*$J$21,0))*$J$11</f>
        <v>0</v>
      </c>
      <c r="E394" s="35" t="n">
        <f aca="false">IF(E$43=0,Quesería!$F$80,IF(E$43=1,Quesería!$F$81*$J$21,0))*$J$11</f>
        <v>0</v>
      </c>
      <c r="F394" s="35" t="n">
        <f aca="false">IF(F$43=0,Quesería!$F$80,IF(F$43=1,Quesería!$F$81*$J$21,0))*$J$11</f>
        <v>0</v>
      </c>
      <c r="G394" s="35" t="n">
        <f aca="false">IF(G$43=0,Quesería!$F$80,IF(G$43=1,Quesería!$F$81*$J$21,0))*$J$11</f>
        <v>0</v>
      </c>
      <c r="H394" s="35" t="n">
        <f aca="false">IF(H$43=0,Quesería!$F$80,IF(H$43=1,Quesería!$F$81*$J$21,0))*$J$11</f>
        <v>0</v>
      </c>
      <c r="I394" s="35" t="n">
        <f aca="false">IF(I$43=0,Quesería!$F$80,IF(I$43=1,Quesería!$F$81*$J$21,0))*$J$11</f>
        <v>0</v>
      </c>
      <c r="J394" s="35" t="n">
        <f aca="false">IF(J$43=0,Quesería!$F$80,IF(J$43=1,Quesería!$F$81*$J$21,0))*$J$11</f>
        <v>0</v>
      </c>
      <c r="K394" s="35" t="n">
        <f aca="false">IF(K$43=0,Quesería!$F$80,IF(K$43=1,Quesería!$F$81*$J$21,0))*$J$11</f>
        <v>0</v>
      </c>
      <c r="L394" s="35" t="n">
        <f aca="false">IF(L$43=0,Quesería!$F$80,IF(L$43=1,Quesería!$F$81*$J$21,0))*$J$11</f>
        <v>0</v>
      </c>
    </row>
    <row r="395" customFormat="false" ht="15" hidden="false" customHeight="false" outlineLevel="0" collapsed="false">
      <c r="A395" s="6" t="s">
        <v>285</v>
      </c>
      <c r="B395" s="35" t="n">
        <f aca="false">IF(B$43=5,Quesería!$F$87,IF(B$43=6,Quesería!$F$88,0))*$J$11</f>
        <v>0</v>
      </c>
      <c r="C395" s="35" t="n">
        <f aca="false">IF(C$43=5,Quesería!$F$87,IF(C$43=6,Quesería!$F$88,0))*$J$11</f>
        <v>0</v>
      </c>
      <c r="D395" s="35" t="n">
        <f aca="false">IF(D$43=5,Quesería!$F$87,IF(D$43=6,Quesería!$F$88,0))*$J$11</f>
        <v>0</v>
      </c>
      <c r="E395" s="35" t="n">
        <f aca="false">IF(E$43=5,Quesería!$F$87,IF(E$43=6,Quesería!$F$88,0))*$J$11</f>
        <v>0</v>
      </c>
      <c r="F395" s="35" t="n">
        <f aca="false">IF(F$43=5,Quesería!$F$87,IF(F$43=6,Quesería!$F$88,0))*$J$11</f>
        <v>0</v>
      </c>
      <c r="G395" s="35" t="n">
        <f aca="false">IF(G$43=5,Quesería!$F$87,IF(G$43=6,Quesería!$F$88,0))*$J$11</f>
        <v>21.3333333333333</v>
      </c>
      <c r="H395" s="35" t="n">
        <f aca="false">IF(H$43=5,Quesería!$F$87,IF(H$43=6,Quesería!$F$88,0))*$J$11</f>
        <v>28.2436424453333</v>
      </c>
      <c r="I395" s="35" t="n">
        <f aca="false">IF(I$43=5,Quesería!$F$87,IF(I$43=6,Quesería!$F$88,0))*$J$11</f>
        <v>0</v>
      </c>
      <c r="J395" s="35" t="n">
        <f aca="false">IF(J$43=5,Quesería!$F$87,IF(J$43=6,Quesería!$F$88,0))*$J$11</f>
        <v>0</v>
      </c>
      <c r="K395" s="35" t="n">
        <f aca="false">IF(K$43=5,Quesería!$F$87,IF(K$43=6,Quesería!$F$88,0))*$J$11</f>
        <v>0</v>
      </c>
      <c r="L395" s="35" t="n">
        <f aca="false">IF(L$43=5,Quesería!$F$87,IF(L$43=6,Quesería!$F$88,0))*$J$11</f>
        <v>0</v>
      </c>
    </row>
    <row r="396" customFormat="false" ht="15" hidden="false" customHeight="false" outlineLevel="0" collapsed="false">
      <c r="A396" s="6" t="s">
        <v>286</v>
      </c>
      <c r="B396" s="35" t="n">
        <f aca="false">Quesería!$B$36*(IF(B$43=0,SUMPRODUCT((Quesería!$C$62:$C$77=0)*(Quesería!$H$62:$H$77&gt;0)*(Quesería!$J$62:$J$77&gt;0)*Quesería!$F$62:$F$77*(1+Quesería!$I$62:$I$77)),IF(B$43=1,SUMPRODUCT((Quesería!$C$62:$C$77=1)*(Quesería!$H$62:$H$77&gt;0)*(Quesería!$J$62:$J$77&gt;0)*Quesería!$F$62:$F$77*(1+Quesería!$I$62:$I$77))*$J$21,0))*$J$11+B395)</f>
        <v>79.4783003904744</v>
      </c>
      <c r="C396" s="35" t="n">
        <f aca="false">Quesería!$B$36*(IF(C$43=0,SUMPRODUCT((Quesería!$C$62:$C$77=0)*(Quesería!$H$62:$H$77&gt;0)*(Quesería!$J$62:$J$77&gt;0)*Quesería!$F$62:$F$77*(1+Quesería!$I$62:$I$77)),IF(C$43=1,SUMPRODUCT((Quesería!$C$62:$C$77=1)*(Quesería!$H$62:$H$77&gt;0)*(Quesería!$J$62:$J$77&gt;0)*Quesería!$F$62:$F$77*(1+Quesería!$I$62:$I$77))*$J$21,0))*$J$11+C395)</f>
        <v>98.0810534639505</v>
      </c>
      <c r="D396" s="35" t="n">
        <f aca="false">Quesería!$B$36*(IF(D$43=0,SUMPRODUCT((Quesería!$C$62:$C$77=0)*(Quesería!$H$62:$H$77&gt;0)*(Quesería!$J$62:$J$77&gt;0)*Quesería!$F$62:$F$77*(1+Quesería!$I$62:$I$77)),IF(D$43=1,SUMPRODUCT((Quesería!$C$62:$C$77=1)*(Quesería!$H$62:$H$77&gt;0)*(Quesería!$J$62:$J$77&gt;0)*Quesería!$F$62:$F$77*(1+Quesería!$I$62:$I$77))*$J$21,0))*$J$11+D395)</f>
        <v>0</v>
      </c>
      <c r="E396" s="35" t="n">
        <f aca="false">Quesería!$B$36*(IF(E$43=0,SUMPRODUCT((Quesería!$C$62:$C$77=0)*(Quesería!$H$62:$H$77&gt;0)*(Quesería!$J$62:$J$77&gt;0)*Quesería!$F$62:$F$77*(1+Quesería!$I$62:$I$77)),IF(E$43=1,SUMPRODUCT((Quesería!$C$62:$C$77=1)*(Quesería!$H$62:$H$77&gt;0)*(Quesería!$J$62:$J$77&gt;0)*Quesería!$F$62:$F$77*(1+Quesería!$I$62:$I$77))*$J$21,0))*$J$11+E395)</f>
        <v>0</v>
      </c>
      <c r="F396" s="35" t="n">
        <f aca="false">Quesería!$B$36*(IF(F$43=0,SUMPRODUCT((Quesería!$C$62:$C$77=0)*(Quesería!$H$62:$H$77&gt;0)*(Quesería!$J$62:$J$77&gt;0)*Quesería!$F$62:$F$77*(1+Quesería!$I$62:$I$77)),IF(F$43=1,SUMPRODUCT((Quesería!$C$62:$C$77=1)*(Quesería!$H$62:$H$77&gt;0)*(Quesería!$J$62:$J$77&gt;0)*Quesería!$F$62:$F$77*(1+Quesería!$I$62:$I$77))*$J$21,0))*$J$11+F395)</f>
        <v>0</v>
      </c>
      <c r="G396" s="35" t="n">
        <f aca="false">Quesería!$B$36*(IF(G$43=0,SUMPRODUCT((Quesería!$C$62:$C$77=0)*(Quesería!$H$62:$H$77&gt;0)*(Quesería!$J$62:$J$77&gt;0)*Quesería!$F$62:$F$77*(1+Quesería!$I$62:$I$77)),IF(G$43=1,SUMPRODUCT((Quesería!$C$62:$C$77=1)*(Quesería!$H$62:$H$77&gt;0)*(Quesería!$J$62:$J$77&gt;0)*Quesería!$F$62:$F$77*(1+Quesería!$I$62:$I$77))*$J$21,0))*$J$11+G395)</f>
        <v>4.05333333333334</v>
      </c>
      <c r="H396" s="35" t="n">
        <f aca="false">Quesería!$B$36*(IF(H$43=0,SUMPRODUCT((Quesería!$C$62:$C$77=0)*(Quesería!$H$62:$H$77&gt;0)*(Quesería!$J$62:$J$77&gt;0)*Quesería!$F$62:$F$77*(1+Quesería!$I$62:$I$77)),IF(H$43=1,SUMPRODUCT((Quesería!$C$62:$C$77=1)*(Quesería!$H$62:$H$77&gt;0)*(Quesería!$J$62:$J$77&gt;0)*Quesería!$F$62:$F$77*(1+Quesería!$I$62:$I$77))*$J$21,0))*$J$11+H395)</f>
        <v>5.36629206461333</v>
      </c>
      <c r="I396" s="35" t="n">
        <f aca="false">Quesería!$B$36*(IF(I$43=0,SUMPRODUCT((Quesería!$C$62:$C$77=0)*(Quesería!$H$62:$H$77&gt;0)*(Quesería!$J$62:$J$77&gt;0)*Quesería!$F$62:$F$77*(1+Quesería!$I$62:$I$77)),IF(I$43=1,SUMPRODUCT((Quesería!$C$62:$C$77=1)*(Quesería!$H$62:$H$77&gt;0)*(Quesería!$J$62:$J$77&gt;0)*Quesería!$F$62:$F$77*(1+Quesería!$I$62:$I$77))*$J$21,0))*$J$11+I395)</f>
        <v>0</v>
      </c>
      <c r="J396" s="35" t="n">
        <f aca="false">Quesería!$B$36*(IF(J$43=0,SUMPRODUCT((Quesería!$C$62:$C$77=0)*(Quesería!$H$62:$H$77&gt;0)*(Quesería!$J$62:$J$77&gt;0)*Quesería!$F$62:$F$77*(1+Quesería!$I$62:$I$77)),IF(J$43=1,SUMPRODUCT((Quesería!$C$62:$C$77=1)*(Quesería!$H$62:$H$77&gt;0)*(Quesería!$J$62:$J$77&gt;0)*Quesería!$F$62:$F$77*(1+Quesería!$I$62:$I$77))*$J$21,0))*$J$11+J395)</f>
        <v>0</v>
      </c>
      <c r="K396" s="35" t="n">
        <f aca="false">Quesería!$B$36*(IF(K$43=0,SUMPRODUCT((Quesería!$C$62:$C$77=0)*(Quesería!$H$62:$H$77&gt;0)*(Quesería!$J$62:$J$77&gt;0)*Quesería!$F$62:$F$77*(1+Quesería!$I$62:$I$77)),IF(K$43=1,SUMPRODUCT((Quesería!$C$62:$C$77=1)*(Quesería!$H$62:$H$77&gt;0)*(Quesería!$J$62:$J$77&gt;0)*Quesería!$F$62:$F$77*(1+Quesería!$I$62:$I$77))*$J$21,0))*$J$11+K395)</f>
        <v>0</v>
      </c>
      <c r="L396" s="35" t="n">
        <f aca="false">Quesería!$B$36*(IF(L$43=0,SUMPRODUCT((Quesería!$C$62:$C$77=0)*(Quesería!$H$62:$H$77&gt;0)*(Quesería!$J$62:$J$77&gt;0)*Quesería!$F$62:$F$77*(1+Quesería!$I$62:$I$77)),IF(L$43=1,SUMPRODUCT((Quesería!$C$62:$C$77=1)*(Quesería!$H$62:$H$77&gt;0)*(Quesería!$J$62:$J$77&gt;0)*Quesería!$F$62:$F$77*(1+Quesería!$I$62:$I$77))*$J$21,0))*$J$11+L395)</f>
        <v>0</v>
      </c>
    </row>
    <row r="397" customFormat="false" ht="15" hidden="false" customHeight="false" outlineLevel="0" collapsed="false">
      <c r="A397" s="6" t="s">
        <v>260</v>
      </c>
      <c r="B397" s="35" t="n">
        <f aca="false">IF(B$43=0,($J$22*Quesería!$J$109+(1-$J$22)*Quesería!$E$105)*Quesería!$B$12*Quesería!$B$13/12*$J$23,(($J$22*Quesería!$J$109+(1-$J$22)*Quesería!$E$105)+($J$22*Quesería!$J$92+(1-$J$22)*Quesería!$E$92)*(B392-1))*IF(B$43=1,Quesería!$B$12,1))*$J$10</f>
        <v>45.6373732102639</v>
      </c>
      <c r="C397" s="35" t="n">
        <f aca="false">IF(C$43=0,($J$22*Quesería!$J$109+(1-$J$22)*Quesería!$E$105)*Quesería!$B$12*Quesería!$B$13/12*$J$23,(($J$22*Quesería!$J$109+(1-$J$22)*Quesería!$E$105)+($J$22*Quesería!$J$92+(1-$J$22)*Quesería!$E$92)*(C392-1))*IF(C$43=1,Quesería!$B$12,1))*$J$10</f>
        <v>137.165278593056</v>
      </c>
      <c r="D397" s="35" t="n">
        <f aca="false">IF(D$43=0,($J$22*Quesería!$J$109+(1-$J$22)*Quesería!$E$105)*Quesería!$B$12*Quesería!$B$13/12*$J$23,(($J$22*Quesería!$J$109+(1-$J$22)*Quesería!$E$105)+($J$22*Quesería!$J$92+(1-$J$22)*Quesería!$E$92)*(D392-1))*IF(D$43=1,Quesería!$B$12,1))*$J$10</f>
        <v>182.947525850489</v>
      </c>
      <c r="E397" s="35" t="n">
        <f aca="false">IF(E$43=0,($J$22*Quesería!$J$109+(1-$J$22)*Quesería!$E$105)*Quesería!$B$12*Quesería!$B$13/12*$J$23,(($J$22*Quesería!$J$109+(1-$J$22)*Quesería!$E$105)+($J$22*Quesería!$J$92+(1-$J$22)*Quesería!$E$92)*(E392-1))*IF(E$43=1,Quesería!$B$12,1))*$J$10</f>
        <v>183.008316015537</v>
      </c>
      <c r="F397" s="35" t="n">
        <f aca="false">IF(F$43=0,($J$22*Quesería!$J$109+(1-$J$22)*Quesería!$E$105)*Quesería!$B$12*Quesería!$B$13/12*$J$23,(($J$22*Quesería!$J$109+(1-$J$22)*Quesería!$E$105)+($J$22*Quesería!$J$92+(1-$J$22)*Quesería!$E$92)*(F392-1))*IF(F$43=1,Quesería!$B$12,1))*$J$10</f>
        <v>183.069410131409</v>
      </c>
      <c r="G397" s="35" t="n">
        <f aca="false">IF(G$43=0,($J$22*Quesería!$J$109+(1-$J$22)*Quesería!$E$105)*Quesería!$B$12*Quesería!$B$13/12*$J$23,(($J$22*Quesería!$J$109+(1-$J$22)*Quesería!$E$105)+($J$22*Quesería!$J$92+(1-$J$22)*Quesería!$E$92)*(G392-1))*IF(G$43=1,Quesería!$B$12,1))*$J$10</f>
        <v>183.130809717861</v>
      </c>
      <c r="H397" s="35" t="n">
        <f aca="false">IF(H$43=0,($J$22*Quesería!$J$109+(1-$J$22)*Quesería!$E$105)*Quesería!$B$12*Quesería!$B$13/12*$J$23,(($J$22*Quesería!$J$109+(1-$J$22)*Quesería!$E$105)+($J$22*Quesería!$J$92+(1-$J$22)*Quesería!$E$92)*(H392-1))*IF(H$43=1,Quesería!$B$12,1))*$J$10</f>
        <v>183.192516302245</v>
      </c>
      <c r="I397" s="35" t="n">
        <f aca="false">IF(I$43=0,($J$22*Quesería!$J$109+(1-$J$22)*Quesería!$E$105)*Quesería!$B$12*Quesería!$B$13/12*$J$23,(($J$22*Quesería!$J$109+(1-$J$22)*Quesería!$E$105)+($J$22*Quesería!$J$92+(1-$J$22)*Quesería!$E$92)*(I392-1))*IF(I$43=1,Quesería!$B$12,1))*$J$10</f>
        <v>183.254531419551</v>
      </c>
      <c r="J397" s="35" t="n">
        <f aca="false">IF(J$43=0,($J$22*Quesería!$J$109+(1-$J$22)*Quesería!$E$105)*Quesería!$B$12*Quesería!$B$13/12*$J$23,(($J$22*Quesería!$J$109+(1-$J$22)*Quesería!$E$105)+($J$22*Quesería!$J$92+(1-$J$22)*Quesería!$E$92)*(J392-1))*IF(J$43=1,Quesería!$B$12,1))*$J$10</f>
        <v>183.316856612443</v>
      </c>
      <c r="K397" s="35" t="n">
        <f aca="false">IF(K$43=0,($J$22*Quesería!$J$109+(1-$J$22)*Quesería!$E$105)*Quesería!$B$12*Quesería!$B$13/12*$J$23,(($J$22*Quesería!$J$109+(1-$J$22)*Quesería!$E$105)+($J$22*Quesería!$J$92+(1-$J$22)*Quesería!$E$92)*(K392-1))*IF(K$43=1,Quesería!$B$12,1))*$J$10</f>
        <v>183.3794934313</v>
      </c>
      <c r="L397" s="35" t="n">
        <f aca="false">IF(L$43=0,($J$22*Quesería!$J$109+(1-$J$22)*Quesería!$E$105)*Quesería!$B$12*Quesería!$B$13/12*$J$23,(($J$22*Quesería!$J$109+(1-$J$22)*Quesería!$E$105)+($J$22*Quesería!$J$92+(1-$J$22)*Quesería!$E$92)*(L392-1))*IF(L$43=1,Quesería!$B$12,1))*$J$10</f>
        <v>183.442443434251</v>
      </c>
    </row>
    <row r="398" customFormat="false" ht="15" hidden="false" customHeight="false" outlineLevel="0" collapsed="false">
      <c r="A398" s="6" t="s">
        <v>261</v>
      </c>
      <c r="B398" s="35" t="n">
        <f aca="false">IF(B$43&lt;=1,0,((($J$22*Quesería!$J$110+(1-$J$22)*Quesería!$E$106)-($J$22*Quesería!$J$99+(1-$J$22)*Quesería!$E$99)+$J$6*($J$22*Quesería!$J$99+(1-$J$22)*Quesería!$E$99)-(1-$J$9)*($J$22*Quesería!$J$102+(1-$J$22)*Quesería!$E$102))+($J$6*($J$22*Quesería!$J$99+(1-$J$22)*Quesería!$E$99)+$J$9*($J$22*Quesería!$J$102+(1-$J$22)*Quesería!$E$102))*(B392-1))*IF(B$43=2,Quesería!$B$12,1)+IF(B$43=2,Quesería!$B$14*$J$9*($J$22*Quesería!$J$102+(1-$J$22)*Quesería!$E$102)*B392,0))*$J$10*$J$21</f>
        <v>0</v>
      </c>
      <c r="C398" s="35" t="n">
        <f aca="false">IF(C$43&lt;=1,0,((($J$22*Quesería!$J$110+(1-$J$22)*Quesería!$E$106)-($J$22*Quesería!$J$99+(1-$J$22)*Quesería!$E$99)+$J$6*($J$22*Quesería!$J$99+(1-$J$22)*Quesería!$E$99)-(1-$J$9)*($J$22*Quesería!$J$102+(1-$J$22)*Quesería!$E$102))+($J$6*($J$22*Quesería!$J$99+(1-$J$22)*Quesería!$E$99)+$J$9*($J$22*Quesería!$J$102+(1-$J$22)*Quesería!$E$102))*(C392-1))*IF(C$43=2,Quesería!$B$12,1)+IF(C$43=2,Quesería!$B$14*$J$9*($J$22*Quesería!$J$102+(1-$J$22)*Quesería!$E$102)*C392,0))*$J$10*$J$21</f>
        <v>0</v>
      </c>
      <c r="D398" s="35" t="n">
        <f aca="false">IF(D$43&lt;=1,0,((($J$22*Quesería!$J$110+(1-$J$22)*Quesería!$E$106)-($J$22*Quesería!$J$99+(1-$J$22)*Quesería!$E$99)+$J$6*($J$22*Quesería!$J$99+(1-$J$22)*Quesería!$E$99)-(1-$J$9)*($J$22*Quesería!$J$102+(1-$J$22)*Quesería!$E$102))+($J$6*($J$22*Quesería!$J$99+(1-$J$22)*Quesería!$E$99)+$J$9*($J$22*Quesería!$J$102+(1-$J$22)*Quesería!$E$102))*(D392-1))*IF(D$43=2,Quesería!$B$12,1)+IF(D$43=2,Quesería!$B$14*$J$9*($J$22*Quesería!$J$102+(1-$J$22)*Quesería!$E$102)*D392,0))*$J$10*$J$21</f>
        <v>197.837804186257</v>
      </c>
      <c r="E398" s="35" t="n">
        <f aca="false">IF(E$43&lt;=1,0,((($J$22*Quesería!$J$110+(1-$J$22)*Quesería!$E$106)-($J$22*Quesería!$J$99+(1-$J$22)*Quesería!$E$99)+$J$6*($J$22*Quesería!$J$99+(1-$J$22)*Quesería!$E$99)-(1-$J$9)*($J$22*Quesería!$J$102+(1-$J$22)*Quesería!$E$102))+($J$6*($J$22*Quesería!$J$99+(1-$J$22)*Quesería!$E$99)+$J$9*($J$22*Quesería!$J$102+(1-$J$22)*Quesería!$E$102))*(E392-1))*IF(E$43=2,Quesería!$B$12,1)+IF(E$43=2,Quesería!$B$14*$J$9*($J$22*Quesería!$J$102+(1-$J$22)*Quesería!$E$102)*E392,0))*$J$10*$J$21</f>
        <v>234.441939047038</v>
      </c>
      <c r="F398" s="35" t="n">
        <f aca="false">IF(F$43&lt;=1,0,((($J$22*Quesería!$J$110+(1-$J$22)*Quesería!$E$106)-($J$22*Quesería!$J$99+(1-$J$22)*Quesería!$E$99)+$J$6*($J$22*Quesería!$J$99+(1-$J$22)*Quesería!$E$99)-(1-$J$9)*($J$22*Quesería!$J$102+(1-$J$22)*Quesería!$E$102))+($J$6*($J$22*Quesería!$J$99+(1-$J$22)*Quesería!$E$99)+$J$9*($J$22*Quesería!$J$102+(1-$J$22)*Quesería!$E$102))*(F392-1))*IF(F$43=2,Quesería!$B$12,1)+IF(F$43=2,Quesería!$B$14*$J$9*($J$22*Quesería!$J$102+(1-$J$22)*Quesería!$E$102)*F392,0))*$J$10*$J$21</f>
        <v>234.877078770292</v>
      </c>
      <c r="G398" s="35" t="n">
        <f aca="false">IF(G$43&lt;=1,0,((($J$22*Quesería!$J$110+(1-$J$22)*Quesería!$E$106)-($J$22*Quesería!$J$99+(1-$J$22)*Quesería!$E$99)+$J$6*($J$22*Quesería!$J$99+(1-$J$22)*Quesería!$E$99)-(1-$J$9)*($J$22*Quesería!$J$102+(1-$J$22)*Quesería!$E$102))+($J$6*($J$22*Quesería!$J$99+(1-$J$22)*Quesería!$E$99)+$J$9*($J$22*Quesería!$J$102+(1-$J$22)*Quesería!$E$102))*(G392-1))*IF(G$43=2,Quesería!$B$12,1)+IF(G$43=2,Quesería!$B$14*$J$9*($J$22*Quesería!$J$102+(1-$J$22)*Quesería!$E$102)*G392,0))*$J$10*$J$21</f>
        <v>235.314394192163</v>
      </c>
      <c r="H398" s="35" t="n">
        <f aca="false">IF(H$43&lt;=1,0,((($J$22*Quesería!$J$110+(1-$J$22)*Quesería!$E$106)-($J$22*Quesería!$J$99+(1-$J$22)*Quesería!$E$99)+$J$6*($J$22*Quesería!$J$99+(1-$J$22)*Quesería!$E$99)-(1-$J$9)*($J$22*Quesería!$J$102+(1-$J$22)*Quesería!$E$102))+($J$6*($J$22*Quesería!$J$99+(1-$J$22)*Quesería!$E$99)+$J$9*($J$22*Quesería!$J$102+(1-$J$22)*Quesería!$E$102))*(H392-1))*IF(H$43=2,Quesería!$B$12,1)+IF(H$43=2,Quesería!$B$14*$J$9*($J$22*Quesería!$J$102+(1-$J$22)*Quesería!$E$102)*H392,0))*$J$10*$J$21</f>
        <v>235.753896191143</v>
      </c>
      <c r="I398" s="35" t="n">
        <f aca="false">IF(I$43&lt;=1,0,((($J$22*Quesería!$J$110+(1-$J$22)*Quesería!$E$106)-($J$22*Quesería!$J$99+(1-$J$22)*Quesería!$E$99)+$J$6*($J$22*Quesería!$J$99+(1-$J$22)*Quesería!$E$99)-(1-$J$9)*($J$22*Quesería!$J$102+(1-$J$22)*Quesería!$E$102))+($J$6*($J$22*Quesería!$J$99+(1-$J$22)*Quesería!$E$99)+$J$9*($J$22*Quesería!$J$102+(1-$J$22)*Quesería!$E$102))*(I392-1))*IF(I$43=2,Quesería!$B$12,1)+IF(I$43=2,Quesería!$B$14*$J$9*($J$22*Quesería!$J$102+(1-$J$22)*Quesería!$E$102)*I392,0))*$J$10*$J$21</f>
        <v>236.195595700118</v>
      </c>
      <c r="J398" s="35" t="n">
        <f aca="false">IF(J$43&lt;=1,0,((($J$22*Quesería!$J$110+(1-$J$22)*Quesería!$E$106)-($J$22*Quesería!$J$99+(1-$J$22)*Quesería!$E$99)+$J$6*($J$22*Quesería!$J$99+(1-$J$22)*Quesería!$E$99)-(1-$J$9)*($J$22*Quesería!$J$102+(1-$J$22)*Quesería!$E$102))+($J$6*($J$22*Quesería!$J$99+(1-$J$22)*Quesería!$E$99)+$J$9*($J$22*Quesería!$J$102+(1-$J$22)*Quesería!$E$102))*(J392-1))*IF(J$43=2,Quesería!$B$12,1)+IF(J$43=2,Quesería!$B$14*$J$9*($J$22*Quesería!$J$102+(1-$J$22)*Quesería!$E$102)*J392,0))*$J$10*$J$21</f>
        <v>236.639503706638</v>
      </c>
      <c r="K398" s="35" t="n">
        <f aca="false">IF(K$43&lt;=1,0,((($J$22*Quesería!$J$110+(1-$J$22)*Quesería!$E$106)-($J$22*Quesería!$J$99+(1-$J$22)*Quesería!$E$99)+$J$6*($J$22*Quesería!$J$99+(1-$J$22)*Quesería!$E$99)-(1-$J$9)*($J$22*Quesería!$J$102+(1-$J$22)*Quesería!$E$102))+($J$6*($J$22*Quesería!$J$99+(1-$J$22)*Quesería!$E$99)+$J$9*($J$22*Quesería!$J$102+(1-$J$22)*Quesería!$E$102))*(K392-1))*IF(K$43=2,Quesería!$B$12,1)+IF(K$43=2,Quesería!$B$14*$J$9*($J$22*Quesería!$J$102+(1-$J$22)*Quesería!$E$102)*K392,0))*$J$10*$J$21</f>
        <v>237.08563125319</v>
      </c>
      <c r="L398" s="35" t="n">
        <f aca="false">IF(L$43&lt;=1,0,((($J$22*Quesería!$J$110+(1-$J$22)*Quesería!$E$106)-($J$22*Quesería!$J$99+(1-$J$22)*Quesería!$E$99)+$J$6*($J$22*Quesería!$J$99+(1-$J$22)*Quesería!$E$99)-(1-$J$9)*($J$22*Quesería!$J$102+(1-$J$22)*Quesería!$E$102))+($J$6*($J$22*Quesería!$J$99+(1-$J$22)*Quesería!$E$99)+$J$9*($J$22*Quesería!$J$102+(1-$J$22)*Quesería!$E$102))*(L392-1))*IF(L$43=2,Quesería!$B$12,1)+IF(L$43=2,Quesería!$B$14*$J$9*($J$22*Quesería!$J$102+(1-$J$22)*Quesería!$E$102)*L392,0))*$J$10*$J$21</f>
        <v>237.533989437476</v>
      </c>
    </row>
    <row r="399" customFormat="false" ht="15" hidden="false" customHeight="false" outlineLevel="0" collapsed="false">
      <c r="A399" s="5" t="s">
        <v>287</v>
      </c>
      <c r="B399" s="10" t="n">
        <f aca="false">B397+B398</f>
        <v>45.6373732102639</v>
      </c>
      <c r="C399" s="10" t="n">
        <f aca="false">C397+C398</f>
        <v>137.165278593056</v>
      </c>
      <c r="D399" s="10" t="n">
        <f aca="false">D397+D398</f>
        <v>380.785330036747</v>
      </c>
      <c r="E399" s="10" t="n">
        <f aca="false">E397+E398</f>
        <v>417.450255062574</v>
      </c>
      <c r="F399" s="10" t="n">
        <f aca="false">F397+F398</f>
        <v>417.946488901701</v>
      </c>
      <c r="G399" s="10" t="n">
        <f aca="false">G397+G398</f>
        <v>418.445203910024</v>
      </c>
      <c r="H399" s="10" t="n">
        <f aca="false">H397+H398</f>
        <v>418.946412493388</v>
      </c>
      <c r="I399" s="10" t="n">
        <f aca="false">I397+I398</f>
        <v>419.450127119669</v>
      </c>
      <c r="J399" s="10" t="n">
        <f aca="false">J397+J398</f>
        <v>419.956360319081</v>
      </c>
      <c r="K399" s="10" t="n">
        <f aca="false">K397+K398</f>
        <v>420.465124684491</v>
      </c>
      <c r="L399" s="10" t="n">
        <f aca="false">L397+L398</f>
        <v>420.976432871727</v>
      </c>
    </row>
    <row r="400" customFormat="false" ht="15" hidden="false" customHeight="false" outlineLevel="0" collapsed="false">
      <c r="A400" s="6" t="s">
        <v>288</v>
      </c>
      <c r="B400" s="35" t="n">
        <f aca="false">(IF(B$43&gt;=1,(Quesería!$B$21+Quesería!$B$54)*Quesería!$F$82*$J$11+Quesería!$B$22+'Beneficios y costos'!$B$118,0)+IF(B$43&gt;=2,((Quesería!$B$21+Quesería!$B$54)*Quesería!$F$83*$J$11+'Beneficios y costos'!$C$118)*$J$21,0))*$J$12</f>
        <v>0</v>
      </c>
      <c r="C400" s="35" t="n">
        <f aca="false">(IF(C$43&gt;=1,(Quesería!$B$21+Quesería!$B$54)*Quesería!$F$82*$J$11+Quesería!$B$22+'Beneficios y costos'!$B$118,0)+IF(C$43&gt;=2,((Quesería!$B$21+Quesería!$B$54)*Quesería!$F$83*$J$11+'Beneficios y costos'!$C$118)*$J$21,0))*$J$12</f>
        <v>34.5973569147333</v>
      </c>
      <c r="D400" s="35" t="n">
        <f aca="false">(IF(D$43&gt;=1,(Quesería!$B$21+Quesería!$B$54)*Quesería!$F$82*$J$11+Quesería!$B$22+'Beneficios y costos'!$B$118,0)+IF(D$43&gt;=2,((Quesería!$B$21+Quesería!$B$54)*Quesería!$F$83*$J$11+'Beneficios y costos'!$C$118)*$J$21,0))*$J$12</f>
        <v>83.201475082621</v>
      </c>
      <c r="E400" s="35" t="n">
        <f aca="false">(IF(E$43&gt;=1,(Quesería!$B$21+Quesería!$B$54)*Quesería!$F$82*$J$11+Quesería!$B$22+'Beneficios y costos'!$B$118,0)+IF(E$43&gt;=2,((Quesería!$B$21+Quesería!$B$54)*Quesería!$F$83*$J$11+'Beneficios y costos'!$C$118)*$J$21,0))*$J$12</f>
        <v>83.201475082621</v>
      </c>
      <c r="F400" s="35" t="n">
        <f aca="false">(IF(F$43&gt;=1,(Quesería!$B$21+Quesería!$B$54)*Quesería!$F$82*$J$11+Quesería!$B$22+'Beneficios y costos'!$B$118,0)+IF(F$43&gt;=2,((Quesería!$B$21+Quesería!$B$54)*Quesería!$F$83*$J$11+'Beneficios y costos'!$C$118)*$J$21,0))*$J$12</f>
        <v>83.201475082621</v>
      </c>
      <c r="G400" s="35" t="n">
        <f aca="false">(IF(G$43&gt;=1,(Quesería!$B$21+Quesería!$B$54)*Quesería!$F$82*$J$11+Quesería!$B$22+'Beneficios y costos'!$B$118,0)+IF(G$43&gt;=2,((Quesería!$B$21+Quesería!$B$54)*Quesería!$F$83*$J$11+'Beneficios y costos'!$C$118)*$J$21,0))*$J$12</f>
        <v>83.201475082621</v>
      </c>
      <c r="H400" s="35" t="n">
        <f aca="false">(IF(H$43&gt;=1,(Quesería!$B$21+Quesería!$B$54)*Quesería!$F$82*$J$11+Quesería!$B$22+'Beneficios y costos'!$B$118,0)+IF(H$43&gt;=2,((Quesería!$B$21+Quesería!$B$54)*Quesería!$F$83*$J$11+'Beneficios y costos'!$C$118)*$J$21,0))*$J$12</f>
        <v>83.201475082621</v>
      </c>
      <c r="I400" s="35" t="n">
        <f aca="false">(IF(I$43&gt;=1,(Quesería!$B$21+Quesería!$B$54)*Quesería!$F$82*$J$11+Quesería!$B$22+'Beneficios y costos'!$B$118,0)+IF(I$43&gt;=2,((Quesería!$B$21+Quesería!$B$54)*Quesería!$F$83*$J$11+'Beneficios y costos'!$C$118)*$J$21,0))*$J$12</f>
        <v>83.201475082621</v>
      </c>
      <c r="J400" s="35" t="n">
        <f aca="false">(IF(J$43&gt;=1,(Quesería!$B$21+Quesería!$B$54)*Quesería!$F$82*$J$11+Quesería!$B$22+'Beneficios y costos'!$B$118,0)+IF(J$43&gt;=2,((Quesería!$B$21+Quesería!$B$54)*Quesería!$F$83*$J$11+'Beneficios y costos'!$C$118)*$J$21,0))*$J$12</f>
        <v>83.201475082621</v>
      </c>
      <c r="K400" s="35" t="n">
        <f aca="false">(IF(K$43&gt;=1,(Quesería!$B$21+Quesería!$B$54)*Quesería!$F$82*$J$11+Quesería!$B$22+'Beneficios y costos'!$B$118,0)+IF(K$43&gt;=2,((Quesería!$B$21+Quesería!$B$54)*Quesería!$F$83*$J$11+'Beneficios y costos'!$C$118)*$J$21,0))*$J$12</f>
        <v>83.201475082621</v>
      </c>
      <c r="L400" s="35" t="n">
        <f aca="false">(IF(L$43&gt;=1,(Quesería!$B$21+Quesería!$B$54)*Quesería!$F$82*$J$11+Quesería!$B$22+'Beneficios y costos'!$B$118,0)+IF(L$43&gt;=2,((Quesería!$B$21+Quesería!$B$54)*Quesería!$F$83*$J$11+'Beneficios y costos'!$C$118)*$J$21,0))*$J$12</f>
        <v>83.201475082621</v>
      </c>
    </row>
    <row r="401" customFormat="false" ht="15" hidden="false" customHeight="false" outlineLevel="0" collapsed="false">
      <c r="A401" s="6" t="s">
        <v>289</v>
      </c>
      <c r="B401" s="35" t="n">
        <f aca="false">IF(B$43=1,2*Quesería!$B$33*Quesería!$B$34/12*B392,0)*$J$21</f>
        <v>0</v>
      </c>
      <c r="C401" s="35" t="n">
        <f aca="false">IF(C$43=1,2*Quesería!$B$33*Quesería!$B$34/12*C392,0)*$J$21</f>
        <v>18.5166509433962</v>
      </c>
      <c r="D401" s="35" t="n">
        <f aca="false">IF(D$43=1,2*Quesería!$B$33*Quesería!$B$34/12*D392,0)*$J$21</f>
        <v>0</v>
      </c>
      <c r="E401" s="35" t="n">
        <f aca="false">IF(E$43=1,2*Quesería!$B$33*Quesería!$B$34/12*E392,0)*$J$21</f>
        <v>0</v>
      </c>
      <c r="F401" s="35" t="n">
        <f aca="false">IF(F$43=1,2*Quesería!$B$33*Quesería!$B$34/12*F392,0)*$J$21</f>
        <v>0</v>
      </c>
      <c r="G401" s="35" t="n">
        <f aca="false">IF(G$43=1,2*Quesería!$B$33*Quesería!$B$34/12*G392,0)*$J$21</f>
        <v>0</v>
      </c>
      <c r="H401" s="35" t="n">
        <f aca="false">IF(H$43=1,2*Quesería!$B$33*Quesería!$B$34/12*H392,0)*$J$21</f>
        <v>0</v>
      </c>
      <c r="I401" s="35" t="n">
        <f aca="false">IF(I$43=1,2*Quesería!$B$33*Quesería!$B$34/12*I392,0)*$J$21</f>
        <v>0</v>
      </c>
      <c r="J401" s="35" t="n">
        <f aca="false">IF(J$43=1,2*Quesería!$B$33*Quesería!$B$34/12*J392,0)*$J$21</f>
        <v>0</v>
      </c>
      <c r="K401" s="35" t="n">
        <f aca="false">IF(K$43=1,2*Quesería!$B$33*Quesería!$B$34/12*K392,0)*$J$21</f>
        <v>0</v>
      </c>
      <c r="L401" s="35" t="n">
        <f aca="false">IF(L$43=1,2*Quesería!$B$33*Quesería!$B$34/12*L392,0)*$J$21</f>
        <v>0</v>
      </c>
    </row>
    <row r="402" customFormat="false" ht="15" hidden="false" customHeight="false" outlineLevel="0" collapsed="false">
      <c r="A402" s="6" t="s">
        <v>290</v>
      </c>
      <c r="B402" s="35" t="n">
        <f aca="false">Quesería!$B$45*(B394+B395+B396+B400+B401)</f>
        <v>2.30909279939358</v>
      </c>
      <c r="C402" s="35" t="n">
        <f aca="false">Quesería!$B$45*(C394+C395+C396+C400+C401)</f>
        <v>2.66964452873991</v>
      </c>
      <c r="D402" s="35" t="n">
        <f aca="false">Quesería!$B$45*(D394+D395+D396+D400+D401)</f>
        <v>0.332805900330484</v>
      </c>
      <c r="E402" s="35" t="n">
        <f aca="false">Quesería!$B$45*(E394+E395+E396+E400+E401)</f>
        <v>0.332805900330484</v>
      </c>
      <c r="F402" s="35" t="n">
        <f aca="false">Quesería!$B$45*(F394+F395+F396+F400+F401)</f>
        <v>0.332805900330484</v>
      </c>
      <c r="G402" s="35" t="n">
        <f aca="false">Quesería!$B$45*(G394+G395+G396+G400+G401)</f>
        <v>0.434352566997151</v>
      </c>
      <c r="H402" s="35" t="n">
        <f aca="false">Quesería!$B$45*(H394+H395+H396+H400+H401)</f>
        <v>0.467245638370271</v>
      </c>
      <c r="I402" s="35" t="n">
        <f aca="false">Quesería!$B$45*(I394+I395+I396+I400+I401)</f>
        <v>0.332805900330484</v>
      </c>
      <c r="J402" s="35" t="n">
        <f aca="false">Quesería!$B$45*(J394+J395+J396+J400+J401)</f>
        <v>0.332805900330484</v>
      </c>
      <c r="K402" s="35" t="n">
        <f aca="false">Quesería!$B$45*(K394+K395+K396+K400+K401)</f>
        <v>0.332805900330484</v>
      </c>
      <c r="L402" s="35" t="n">
        <f aca="false">Quesería!$B$45*(L394+L395+L396+L400+L401)</f>
        <v>0.332805900330484</v>
      </c>
    </row>
    <row r="403" customFormat="false" ht="15" hidden="false" customHeight="false" outlineLevel="0" collapsed="false">
      <c r="A403" s="6" t="s">
        <v>291</v>
      </c>
      <c r="B403" s="35" t="n">
        <f aca="false">(IF($J$19=1,(SUMPRODUCT((Quesería!$C$62:$C$77=0)*(Quesería!$J$62:$J$77&gt;0)*(B$43&gt;=1)*(B$43&lt;=Quesería!$J$62:$J$77)*(Quesería!$H$62:$H$77&gt;0)*Quesería!$F$62:$F$77*(1+Quesería!$I$62:$I$77)/(Quesería!$J$62:$J$77+(Quesería!$J$62:$J$77=0)))+SUMPRODUCT((Quesería!$C$62:$C$77=0)*(Quesería!$J$62:$J$77=0)*(B$43=0)*(Quesería!$H$62:$H$77&gt;0)*Quesería!$F$62:$F$77*(1+Quesería!$I$62:$I$77)))*$B$391+(SUMPRODUCT((Quesería!$C$62:$C$77=1)*(Quesería!$J$62:$J$77&gt;0)*(B$43&gt;=2)*(B$43&lt;=Quesería!$J$62:$J$77+1)*(Quesería!$H$62:$H$77&gt;0)*Quesería!$F$62:$F$77*(1+Quesería!$I$62:$I$77)/(Quesería!$J$62:$J$77+(Quesería!$J$62:$J$77=0)))+SUMPRODUCT((Quesería!$C$62:$C$77=1)*(Quesería!$J$62:$J$77=0)*(B$43=1)*(Quesería!$H$62:$H$77&gt;0)*Quesería!$F$62:$F$77*(1+Quesería!$I$62:$I$77)))*$C$391*$J$21,IF(AND(B$43&gt;=1,B$43&lt;=Quesería!$B$11),Quesería!$F$80/Quesería!$B$11,0)*$B$391+IF(AND(B$43&gt;=2,B$43&lt;=Quesería!$B$11+1),Quesería!$F$81/Quesería!$B$11,0)*$C$391*$J$21)*$J$11+IF(AND(B$43&gt;=6,B$43&lt;=10),$G395*$G391/5,0)+IF(AND(B$43&gt;=7,B$43&lt;=11),$H395*$H391/5,0))*B393</f>
        <v>79.488055297529</v>
      </c>
      <c r="C403" s="35" t="n">
        <f aca="false">(IF($J$19=1,(SUMPRODUCT((Quesería!$C$62:$C$77=0)*(Quesería!$J$62:$J$77&gt;0)*(C$43&gt;=1)*(C$43&lt;=Quesería!$J$62:$J$77)*(Quesería!$H$62:$H$77&gt;0)*Quesería!$F$62:$F$77*(1+Quesería!$I$62:$I$77)/(Quesería!$J$62:$J$77+(Quesería!$J$62:$J$77=0)))+SUMPRODUCT((Quesería!$C$62:$C$77=0)*(Quesería!$J$62:$J$77=0)*(C$43=0)*(Quesería!$H$62:$H$77&gt;0)*Quesería!$F$62:$F$77*(1+Quesería!$I$62:$I$77)))*$B$391+(SUMPRODUCT((Quesería!$C$62:$C$77=1)*(Quesería!$J$62:$J$77&gt;0)*(C$43&gt;=2)*(C$43&lt;=Quesería!$J$62:$J$77+1)*(Quesería!$H$62:$H$77&gt;0)*Quesería!$F$62:$F$77*(1+Quesería!$I$62:$I$77)/(Quesería!$J$62:$J$77+(Quesería!$J$62:$J$77=0)))+SUMPRODUCT((Quesería!$C$62:$C$77=1)*(Quesería!$J$62:$J$77=0)*(C$43=1)*(Quesería!$H$62:$H$77&gt;0)*Quesería!$F$62:$F$77*(1+Quesería!$I$62:$I$77)))*$C$391*$J$21,IF(AND(C$43&gt;=1,C$43&lt;=Quesería!$B$11),Quesería!$F$80/Quesería!$B$11,0)*$B$391+IF(AND(C$43&gt;=2,C$43&lt;=Quesería!$B$11+1),Quesería!$F$81/Quesería!$B$11,0)*$C$391*$J$21)*$J$11+IF(AND(C$43&gt;=6,C$43&lt;=10),$G395*$G391/5,0)+IF(AND(C$43&gt;=7,C$43&lt;=11),$H395*$H391/5,0))*C393</f>
        <v>45.6800169041643</v>
      </c>
      <c r="D403" s="35" t="n">
        <f aca="false">(IF($J$19=1,(SUMPRODUCT((Quesería!$C$62:$C$77=0)*(Quesería!$J$62:$J$77&gt;0)*(D$43&gt;=1)*(D$43&lt;=Quesería!$J$62:$J$77)*(Quesería!$H$62:$H$77&gt;0)*Quesería!$F$62:$F$77*(1+Quesería!$I$62:$I$77)/(Quesería!$J$62:$J$77+(Quesería!$J$62:$J$77=0)))+SUMPRODUCT((Quesería!$C$62:$C$77=0)*(Quesería!$J$62:$J$77=0)*(D$43=0)*(Quesería!$H$62:$H$77&gt;0)*Quesería!$F$62:$F$77*(1+Quesería!$I$62:$I$77)))*$B$391+(SUMPRODUCT((Quesería!$C$62:$C$77=1)*(Quesería!$J$62:$J$77&gt;0)*(D$43&gt;=2)*(D$43&lt;=Quesería!$J$62:$J$77+1)*(Quesería!$H$62:$H$77&gt;0)*Quesería!$F$62:$F$77*(1+Quesería!$I$62:$I$77)/(Quesería!$J$62:$J$77+(Quesería!$J$62:$J$77=0)))+SUMPRODUCT((Quesería!$C$62:$C$77=1)*(Quesería!$J$62:$J$77=0)*(D$43=1)*(Quesería!$H$62:$H$77&gt;0)*Quesería!$F$62:$F$77*(1+Quesería!$I$62:$I$77)))*$C$391*$J$21,IF(AND(D$43&gt;=1,D$43&lt;=Quesería!$B$11),Quesería!$F$80/Quesería!$B$11,0)*$B$391+IF(AND(D$43&gt;=2,D$43&lt;=Quesería!$B$11+1),Quesería!$F$81/Quesería!$B$11,0)*$C$391*$J$21)*$J$11+IF(AND(D$43&gt;=6,D$43&lt;=10),$G395*$G391/5,0)+IF(AND(D$43&gt;=7,D$43&lt;=11),$H395*$H391/5,0))*D393</f>
        <v>93.1116019047407</v>
      </c>
      <c r="E403" s="35" t="n">
        <f aca="false">(IF($J$19=1,(SUMPRODUCT((Quesería!$C$62:$C$77=0)*(Quesería!$J$62:$J$77&gt;0)*(E$43&gt;=1)*(E$43&lt;=Quesería!$J$62:$J$77)*(Quesería!$H$62:$H$77&gt;0)*Quesería!$F$62:$F$77*(1+Quesería!$I$62:$I$77)/(Quesería!$J$62:$J$77+(Quesería!$J$62:$J$77=0)))+SUMPRODUCT((Quesería!$C$62:$C$77=0)*(Quesería!$J$62:$J$77=0)*(E$43=0)*(Quesería!$H$62:$H$77&gt;0)*Quesería!$F$62:$F$77*(1+Quesería!$I$62:$I$77)))*$B$391+(SUMPRODUCT((Quesería!$C$62:$C$77=1)*(Quesería!$J$62:$J$77&gt;0)*(E$43&gt;=2)*(E$43&lt;=Quesería!$J$62:$J$77+1)*(Quesería!$H$62:$H$77&gt;0)*Quesería!$F$62:$F$77*(1+Quesería!$I$62:$I$77)/(Quesería!$J$62:$J$77+(Quesería!$J$62:$J$77=0)))+SUMPRODUCT((Quesería!$C$62:$C$77=1)*(Quesería!$J$62:$J$77=0)*(E$43=1)*(Quesería!$H$62:$H$77&gt;0)*Quesería!$F$62:$F$77*(1+Quesería!$I$62:$I$77)))*$C$391*$J$21,IF(AND(E$43&gt;=1,E$43&lt;=Quesería!$B$11),Quesería!$F$80/Quesería!$B$11,0)*$B$391+IF(AND(E$43&gt;=2,E$43&lt;=Quesería!$B$11+1),Quesería!$F$81/Quesería!$B$11,0)*$C$391*$J$21)*$J$11+IF(AND(E$43&gt;=6,E$43&lt;=10),$G395*$G391/5,0)+IF(AND(E$43&gt;=7,E$43&lt;=11),$H395*$H391/5,0))*E393</f>
        <v>89.530386446866</v>
      </c>
      <c r="F403" s="35" t="n">
        <f aca="false">(IF($J$19=1,(SUMPRODUCT((Quesería!$C$62:$C$77=0)*(Quesería!$J$62:$J$77&gt;0)*(F$43&gt;=1)*(F$43&lt;=Quesería!$J$62:$J$77)*(Quesería!$H$62:$H$77&gt;0)*Quesería!$F$62:$F$77*(1+Quesería!$I$62:$I$77)/(Quesería!$J$62:$J$77+(Quesería!$J$62:$J$77=0)))+SUMPRODUCT((Quesería!$C$62:$C$77=0)*(Quesería!$J$62:$J$77=0)*(F$43=0)*(Quesería!$H$62:$H$77&gt;0)*Quesería!$F$62:$F$77*(1+Quesería!$I$62:$I$77)))*$B$391+(SUMPRODUCT((Quesería!$C$62:$C$77=1)*(Quesería!$J$62:$J$77&gt;0)*(F$43&gt;=2)*(F$43&lt;=Quesería!$J$62:$J$77+1)*(Quesería!$H$62:$H$77&gt;0)*Quesería!$F$62:$F$77*(1+Quesería!$I$62:$I$77)/(Quesería!$J$62:$J$77+(Quesería!$J$62:$J$77=0)))+SUMPRODUCT((Quesería!$C$62:$C$77=1)*(Quesería!$J$62:$J$77=0)*(F$43=1)*(Quesería!$H$62:$H$77&gt;0)*Quesería!$F$62:$F$77*(1+Quesería!$I$62:$I$77)))*$C$391*$J$21,IF(AND(F$43&gt;=1,F$43&lt;=Quesería!$B$11),Quesería!$F$80/Quesería!$B$11,0)*$B$391+IF(AND(F$43&gt;=2,F$43&lt;=Quesería!$B$11+1),Quesería!$F$81/Quesería!$B$11,0)*$C$391*$J$21)*$J$11+IF(AND(F$43&gt;=6,F$43&lt;=10),$G395*$G391/5,0)+IF(AND(F$43&gt;=7,F$43&lt;=11),$H395*$H391/5,0))*F393</f>
        <v>86.0869100450635</v>
      </c>
      <c r="G403" s="35" t="n">
        <f aca="false">(IF($J$19=1,(SUMPRODUCT((Quesería!$C$62:$C$77=0)*(Quesería!$J$62:$J$77&gt;0)*(G$43&gt;=1)*(G$43&lt;=Quesería!$J$62:$J$77)*(Quesería!$H$62:$H$77&gt;0)*Quesería!$F$62:$F$77*(1+Quesería!$I$62:$I$77)/(Quesería!$J$62:$J$77+(Quesería!$J$62:$J$77=0)))+SUMPRODUCT((Quesería!$C$62:$C$77=0)*(Quesería!$J$62:$J$77=0)*(G$43=0)*(Quesería!$H$62:$H$77&gt;0)*Quesería!$F$62:$F$77*(1+Quesería!$I$62:$I$77)))*$B$391+(SUMPRODUCT((Quesería!$C$62:$C$77=1)*(Quesería!$J$62:$J$77&gt;0)*(G$43&gt;=2)*(G$43&lt;=Quesería!$J$62:$J$77+1)*(Quesería!$H$62:$H$77&gt;0)*Quesería!$F$62:$F$77*(1+Quesería!$I$62:$I$77)/(Quesería!$J$62:$J$77+(Quesería!$J$62:$J$77=0)))+SUMPRODUCT((Quesería!$C$62:$C$77=1)*(Quesería!$J$62:$J$77=0)*(G$43=1)*(Quesería!$H$62:$H$77&gt;0)*Quesería!$F$62:$F$77*(1+Quesería!$I$62:$I$77)))*$C$391*$J$21,IF(AND(G$43&gt;=1,G$43&lt;=Quesería!$B$11),Quesería!$F$80/Quesería!$B$11,0)*$B$391+IF(AND(G$43&gt;=2,G$43&lt;=Quesería!$B$11+1),Quesería!$F$81/Quesería!$B$11,0)*$C$391*$J$21)*$J$11+IF(AND(G$43&gt;=6,G$43&lt;=10),$G395*$G391/5,0)+IF(AND(G$43&gt;=7,G$43&lt;=11),$H395*$H391/5,0))*G393</f>
        <v>82.7758750433303</v>
      </c>
      <c r="H403" s="35" t="n">
        <f aca="false">(IF($J$19=1,(SUMPRODUCT((Quesería!$C$62:$C$77=0)*(Quesería!$J$62:$J$77&gt;0)*(H$43&gt;=1)*(H$43&lt;=Quesería!$J$62:$J$77)*(Quesería!$H$62:$H$77&gt;0)*Quesería!$F$62:$F$77*(1+Quesería!$I$62:$I$77)/(Quesería!$J$62:$J$77+(Quesería!$J$62:$J$77=0)))+SUMPRODUCT((Quesería!$C$62:$C$77=0)*(Quesería!$J$62:$J$77=0)*(H$43=0)*(Quesería!$H$62:$H$77&gt;0)*Quesería!$F$62:$F$77*(1+Quesería!$I$62:$I$77)))*$B$391+(SUMPRODUCT((Quesería!$C$62:$C$77=1)*(Quesería!$J$62:$J$77&gt;0)*(H$43&gt;=2)*(H$43&lt;=Quesería!$J$62:$J$77+1)*(Quesería!$H$62:$H$77&gt;0)*Quesería!$F$62:$F$77*(1+Quesería!$I$62:$I$77)/(Quesería!$J$62:$J$77+(Quesería!$J$62:$J$77=0)))+SUMPRODUCT((Quesería!$C$62:$C$77=1)*(Quesería!$J$62:$J$77=0)*(H$43=1)*(Quesería!$H$62:$H$77&gt;0)*Quesería!$F$62:$F$77*(1+Quesería!$I$62:$I$77)))*$C$391*$J$21,IF(AND(H$43&gt;=1,H$43&lt;=Quesería!$B$11),Quesería!$F$80/Quesería!$B$11,0)*$B$391+IF(AND(H$43&gt;=2,H$43&lt;=Quesería!$B$11+1),Quesería!$F$81/Quesería!$B$11,0)*$C$391*$J$21)*$J$11+IF(AND(H$43&gt;=6,H$43&lt;=10),$G395*$G391/5,0)+IF(AND(H$43&gt;=7,H$43&lt;=11),$H395*$H391/5,0))*H393</f>
        <v>74.1384991250833</v>
      </c>
      <c r="I403" s="35" t="n">
        <f aca="false">(IF($J$19=1,(SUMPRODUCT((Quesería!$C$62:$C$77=0)*(Quesería!$J$62:$J$77&gt;0)*(I$43&gt;=1)*(I$43&lt;=Quesería!$J$62:$J$77)*(Quesería!$H$62:$H$77&gt;0)*Quesería!$F$62:$F$77*(1+Quesería!$I$62:$I$77)/(Quesería!$J$62:$J$77+(Quesería!$J$62:$J$77=0)))+SUMPRODUCT((Quesería!$C$62:$C$77=0)*(Quesería!$J$62:$J$77=0)*(I$43=0)*(Quesería!$H$62:$H$77&gt;0)*Quesería!$F$62:$F$77*(1+Quesería!$I$62:$I$77)))*$B$391+(SUMPRODUCT((Quesería!$C$62:$C$77=1)*(Quesería!$J$62:$J$77&gt;0)*(I$43&gt;=2)*(I$43&lt;=Quesería!$J$62:$J$77+1)*(Quesería!$H$62:$H$77&gt;0)*Quesería!$F$62:$F$77*(1+Quesería!$I$62:$I$77)/(Quesería!$J$62:$J$77+(Quesería!$J$62:$J$77=0)))+SUMPRODUCT((Quesería!$C$62:$C$77=1)*(Quesería!$J$62:$J$77=0)*(I$43=1)*(Quesería!$H$62:$H$77&gt;0)*Quesería!$F$62:$F$77*(1+Quesería!$I$62:$I$77)))*$C$391*$J$21,IF(AND(I$43&gt;=1,I$43&lt;=Quesería!$B$11),Quesería!$F$80/Quesería!$B$11,0)*$B$391+IF(AND(I$43&gt;=2,I$43&lt;=Quesería!$B$11+1),Quesería!$F$81/Quesería!$B$11,0)*$C$391*$J$21)*$J$11+IF(AND(I$43&gt;=6,I$43&lt;=10),$G395*$G391/5,0)+IF(AND(I$43&gt;=7,I$43&lt;=11),$H395*$H391/5,0))*I393</f>
        <v>76.7184880905288</v>
      </c>
      <c r="J403" s="35" t="n">
        <f aca="false">(IF($J$19=1,(SUMPRODUCT((Quesería!$C$62:$C$77=0)*(Quesería!$J$62:$J$77&gt;0)*(J$43&gt;=1)*(J$43&lt;=Quesería!$J$62:$J$77)*(Quesería!$H$62:$H$77&gt;0)*Quesería!$F$62:$F$77*(1+Quesería!$I$62:$I$77)/(Quesería!$J$62:$J$77+(Quesería!$J$62:$J$77=0)))+SUMPRODUCT((Quesería!$C$62:$C$77=0)*(Quesería!$J$62:$J$77=0)*(J$43=0)*(Quesería!$H$62:$H$77&gt;0)*Quesería!$F$62:$F$77*(1+Quesería!$I$62:$I$77)))*$B$391+(SUMPRODUCT((Quesería!$C$62:$C$77=1)*(Quesería!$J$62:$J$77&gt;0)*(J$43&gt;=2)*(J$43&lt;=Quesería!$J$62:$J$77+1)*(Quesería!$H$62:$H$77&gt;0)*Quesería!$F$62:$F$77*(1+Quesería!$I$62:$I$77)/(Quesería!$J$62:$J$77+(Quesería!$J$62:$J$77=0)))+SUMPRODUCT((Quesería!$C$62:$C$77=1)*(Quesería!$J$62:$J$77=0)*(J$43=1)*(Quesería!$H$62:$H$77&gt;0)*Quesería!$F$62:$F$77*(1+Quesería!$I$62:$I$77)))*$C$391*$J$21,IF(AND(J$43&gt;=1,J$43&lt;=Quesería!$B$11),Quesería!$F$80/Quesería!$B$11,0)*$B$391+IF(AND(J$43&gt;=2,J$43&lt;=Quesería!$B$11+1),Quesería!$F$81/Quesería!$B$11,0)*$C$391*$J$21)*$J$11+IF(AND(J$43&gt;=6,J$43&lt;=10),$G395*$G391/5,0)+IF(AND(J$43&gt;=7,J$43&lt;=11),$H395*$H391/5,0))*J393</f>
        <v>73.7677770101239</v>
      </c>
      <c r="K403" s="35" t="n">
        <f aca="false">(IF($J$19=1,(SUMPRODUCT((Quesería!$C$62:$C$77=0)*(Quesería!$J$62:$J$77&gt;0)*(K$43&gt;=1)*(K$43&lt;=Quesería!$J$62:$J$77)*(Quesería!$H$62:$H$77&gt;0)*Quesería!$F$62:$F$77*(1+Quesería!$I$62:$I$77)/(Quesería!$J$62:$J$77+(Quesería!$J$62:$J$77=0)))+SUMPRODUCT((Quesería!$C$62:$C$77=0)*(Quesería!$J$62:$J$77=0)*(K$43=0)*(Quesería!$H$62:$H$77&gt;0)*Quesería!$F$62:$F$77*(1+Quesería!$I$62:$I$77)))*$B$391+(SUMPRODUCT((Quesería!$C$62:$C$77=1)*(Quesería!$J$62:$J$77&gt;0)*(K$43&gt;=2)*(K$43&lt;=Quesería!$J$62:$J$77+1)*(Quesería!$H$62:$H$77&gt;0)*Quesería!$F$62:$F$77*(1+Quesería!$I$62:$I$77)/(Quesería!$J$62:$J$77+(Quesería!$J$62:$J$77=0)))+SUMPRODUCT((Quesería!$C$62:$C$77=1)*(Quesería!$J$62:$J$77=0)*(K$43=1)*(Quesería!$H$62:$H$77&gt;0)*Quesería!$F$62:$F$77*(1+Quesería!$I$62:$I$77)))*$C$391*$J$21,IF(AND(K$43&gt;=1,K$43&lt;=Quesería!$B$11),Quesería!$F$80/Quesería!$B$11,0)*$B$391+IF(AND(K$43&gt;=2,K$43&lt;=Quesería!$B$11+1),Quesería!$F$81/Quesería!$B$11,0)*$C$391*$J$21)*$J$11+IF(AND(K$43&gt;=6,K$43&lt;=10),$G395*$G391/5,0)+IF(AND(K$43&gt;=7,K$43&lt;=11),$H395*$H391/5,0))*K393</f>
        <v>70.9305548174268</v>
      </c>
      <c r="L403" s="35" t="n">
        <f aca="false">(IF($J$19=1,(SUMPRODUCT((Quesería!$C$62:$C$77=0)*(Quesería!$J$62:$J$77&gt;0)*(L$43&gt;=1)*(L$43&lt;=Quesería!$J$62:$J$77)*(Quesería!$H$62:$H$77&gt;0)*Quesería!$F$62:$F$77*(1+Quesería!$I$62:$I$77)/(Quesería!$J$62:$J$77+(Quesería!$J$62:$J$77=0)))+SUMPRODUCT((Quesería!$C$62:$C$77=0)*(Quesería!$J$62:$J$77=0)*(L$43=0)*(Quesería!$H$62:$H$77&gt;0)*Quesería!$F$62:$F$77*(1+Quesería!$I$62:$I$77)))*$B$391+(SUMPRODUCT((Quesería!$C$62:$C$77=1)*(Quesería!$J$62:$J$77&gt;0)*(L$43&gt;=2)*(L$43&lt;=Quesería!$J$62:$J$77+1)*(Quesería!$H$62:$H$77&gt;0)*Quesería!$F$62:$F$77*(1+Quesería!$I$62:$I$77)/(Quesería!$J$62:$J$77+(Quesería!$J$62:$J$77=0)))+SUMPRODUCT((Quesería!$C$62:$C$77=1)*(Quesería!$J$62:$J$77=0)*(L$43=1)*(Quesería!$H$62:$H$77&gt;0)*Quesería!$F$62:$F$77*(1+Quesería!$I$62:$I$77)))*$C$391*$J$21,IF(AND(L$43&gt;=1,L$43&lt;=Quesería!$B$11),Quesería!$F$80/Quesería!$B$11,0)*$B$391+IF(AND(L$43&gt;=2,L$43&lt;=Quesería!$B$11+1),Quesería!$F$81/Quesería!$B$11,0)*$C$391*$J$21)*$J$11+IF(AND(L$43&gt;=6,L$43&lt;=10),$G395*$G391/5,0)+IF(AND(L$43&gt;=7,L$43&lt;=11),$H395*$H391/5,0))*L393</f>
        <v>68.2024565552181</v>
      </c>
    </row>
    <row r="404" customFormat="false" ht="15" hidden="false" customHeight="false" outlineLevel="0" collapsed="false">
      <c r="A404" s="9" t="s">
        <v>292</v>
      </c>
      <c r="B404" s="36" t="n">
        <f aca="false">IF(B$43=1,MIN($J$7*Quesería!$B$35*Quesería!$F$75*$J$11*$J$21,Quesería!$B$50*Quesería!$B$51),0)</f>
        <v>0</v>
      </c>
      <c r="C404" s="36" t="n">
        <f aca="false">IF(C$43=1,MIN($J$7*Quesería!$B$35*Quesería!$F$75*$J$11*$J$21,Quesería!$B$50*Quesería!$B$51),0)</f>
        <v>16</v>
      </c>
      <c r="D404" s="36" t="n">
        <f aca="false">IF(D$43=1,MIN($J$7*Quesería!$B$35*Quesería!$F$75*$J$11*$J$21,Quesería!$B$50*Quesería!$B$51),0)</f>
        <v>0</v>
      </c>
      <c r="E404" s="36" t="n">
        <f aca="false">IF(E$43=1,MIN($J$7*Quesería!$B$35*Quesería!$F$75*$J$11*$J$21,Quesería!$B$50*Quesería!$B$51),0)</f>
        <v>0</v>
      </c>
      <c r="F404" s="36" t="n">
        <f aca="false">IF(F$43=1,MIN($J$7*Quesería!$B$35*Quesería!$F$75*$J$11*$J$21,Quesería!$B$50*Quesería!$B$51),0)</f>
        <v>0</v>
      </c>
      <c r="G404" s="36" t="n">
        <f aca="false">IF(G$43=1,MIN($J$7*Quesería!$B$35*Quesería!$F$75*$J$11*$J$21,Quesería!$B$50*Quesería!$B$51),0)</f>
        <v>0</v>
      </c>
      <c r="H404" s="36" t="n">
        <f aca="false">IF(H$43=1,MIN($J$7*Quesería!$B$35*Quesería!$F$75*$J$11*$J$21,Quesería!$B$50*Quesería!$B$51),0)</f>
        <v>0</v>
      </c>
      <c r="I404" s="36" t="n">
        <f aca="false">IF(I$43=1,MIN($J$7*Quesería!$B$35*Quesería!$F$75*$J$11*$J$21,Quesería!$B$50*Quesería!$B$51),0)</f>
        <v>0</v>
      </c>
      <c r="J404" s="36" t="n">
        <f aca="false">IF(J$43=1,MIN($J$7*Quesería!$B$35*Quesería!$F$75*$J$11*$J$21,Quesería!$B$50*Quesería!$B$51),0)</f>
        <v>0</v>
      </c>
      <c r="K404" s="36" t="n">
        <f aca="false">IF(K$43=1,MIN($J$7*Quesería!$B$35*Quesería!$F$75*$J$11*$J$21,Quesería!$B$50*Quesería!$B$51),0)</f>
        <v>0</v>
      </c>
      <c r="L404" s="36" t="n">
        <f aca="false">IF(L$43=1,MIN($J$7*Quesería!$B$35*Quesería!$F$75*$J$11*$J$21,Quesería!$B$50*Quesería!$B$51),0)</f>
        <v>0</v>
      </c>
    </row>
    <row r="405" customFormat="false" ht="15" hidden="false" customHeight="false" outlineLevel="0" collapsed="false">
      <c r="A405" s="9" t="s">
        <v>293</v>
      </c>
      <c r="B405" s="36" t="n">
        <v>0</v>
      </c>
      <c r="C405" s="36" t="n">
        <f aca="false">$J$20*Quesería!$B$52*Quesería!$F$86*$J$11*$B$391/C391</f>
        <v>133.503905031772</v>
      </c>
      <c r="D405" s="36" t="n">
        <v>0</v>
      </c>
      <c r="E405" s="36" t="n">
        <v>0</v>
      </c>
      <c r="F405" s="36" t="n">
        <v>0</v>
      </c>
      <c r="G405" s="36" t="n">
        <v>0</v>
      </c>
      <c r="H405" s="36" t="n">
        <v>0</v>
      </c>
      <c r="I405" s="36" t="n">
        <v>0</v>
      </c>
      <c r="J405" s="36" t="n">
        <v>0</v>
      </c>
      <c r="K405" s="36" t="n">
        <v>0</v>
      </c>
      <c r="L405" s="36" t="n">
        <v>0</v>
      </c>
    </row>
    <row r="406" customFormat="false" ht="15" hidden="false" customHeight="false" outlineLevel="0" collapsed="false">
      <c r="A406" s="9" t="s">
        <v>294</v>
      </c>
      <c r="B406" s="36" t="n">
        <f aca="false">0</f>
        <v>0</v>
      </c>
      <c r="C406" s="36" t="n">
        <f aca="false">B396*B391/C391</f>
        <v>75.6936194194994</v>
      </c>
      <c r="D406" s="36" t="n">
        <f aca="false">C396*C391/D391</f>
        <v>93.8574674296177</v>
      </c>
      <c r="E406" s="36" t="n">
        <f aca="false">D396*D391/E391</f>
        <v>0</v>
      </c>
      <c r="F406" s="36" t="n">
        <f aca="false">E396*E391/F391</f>
        <v>0</v>
      </c>
      <c r="G406" s="36" t="n">
        <f aca="false">F396*F391/G391</f>
        <v>0</v>
      </c>
      <c r="H406" s="36" t="n">
        <f aca="false">G396*G391/H391</f>
        <v>3.8974358974359</v>
      </c>
      <c r="I406" s="36" t="n">
        <f aca="false">H396*H391/I391</f>
        <v>5.15989621597436</v>
      </c>
      <c r="J406" s="36" t="n">
        <f aca="false">I396*I391/J391</f>
        <v>0</v>
      </c>
      <c r="K406" s="36" t="n">
        <f aca="false">J396*J391/K391</f>
        <v>0</v>
      </c>
      <c r="L406" s="36" t="n">
        <f aca="false">K396*K391/L391</f>
        <v>0</v>
      </c>
    </row>
    <row r="407" customFormat="false" ht="15" hidden="false" customHeight="false" outlineLevel="0" collapsed="false">
      <c r="A407" s="6" t="s">
        <v>86</v>
      </c>
      <c r="B407" s="35" t="n">
        <f aca="false">$J$17*(B399-B400-B401-0.5*B402-B403)-B404-B405-B406</f>
        <v>-12.2518299704367</v>
      </c>
      <c r="C407" s="35" t="n">
        <f aca="false">$J$17*(C399-C400-C401-0.5*C402-C403)-C404-C405-C406</f>
        <v>-212.234773403035</v>
      </c>
      <c r="D407" s="35" t="n">
        <f aca="false">$J$17*(D399-D400-D401-0.5*D402-D403)-D404-D405-D406</f>
        <v>-22.3504198948909</v>
      </c>
      <c r="E407" s="35" t="n">
        <f aca="false">$J$17*(E399-E400-E401-0.5*E402-E403)-E404-E405-E406</f>
        <v>85.5931967040227</v>
      </c>
      <c r="F407" s="35" t="n">
        <f aca="false">$J$17*(F399-F400-F401-0.5*F402-F403)-F404-F405-F406</f>
        <v>86.972095288348</v>
      </c>
      <c r="G407" s="35" t="n">
        <f aca="false">$J$17*(G399-G400-G401-0.5*G402-G403)-G404-G405-G406</f>
        <v>88.2877371252008</v>
      </c>
      <c r="H407" s="35" t="n">
        <f aca="false">$J$17*(H399-H400-H401-0.5*H402-H403)-H404-H405-H406</f>
        <v>87.5830495158385</v>
      </c>
      <c r="I407" s="35" t="n">
        <f aca="false">$J$17*(I399-I400-I401-0.5*I402-I403)-I404-I405-I406</f>
        <v>85.6174201327494</v>
      </c>
      <c r="J407" s="35" t="n">
        <f aca="false">$J$17*(J399-J400-J401-0.5*J402-J403)-J404-J405-J406</f>
        <v>91.9872468466598</v>
      </c>
      <c r="K407" s="35" t="n">
        <f aca="false">$J$17*(K399-K400-K401-0.5*K402-K403)-K404-K405-K406</f>
        <v>93.1583421419971</v>
      </c>
      <c r="L407" s="35" t="n">
        <f aca="false">$J$17*(L399-L400-L401-0.5*L402-L403)-L404-L405-L406</f>
        <v>94.2921343993029</v>
      </c>
    </row>
    <row r="408" customFormat="false" ht="15" hidden="false" customHeight="false" outlineLevel="0" collapsed="false">
      <c r="A408" s="9" t="s">
        <v>295</v>
      </c>
      <c r="B408" s="36" t="n">
        <f aca="false">(IF(B$43&gt;=1,Quesería!$G$107*IF(B$43=1,Quesería!$B$12,1),Quesería!$G$107*Quesería!$B$12*Quesería!$B$13/12*$J$23)+IF(B$43&gt;=2,Quesería!$G$108*$J$21*IF(B$43=2,Quesería!$B$12,1),0))*$J$10</f>
        <v>26.8516916045565</v>
      </c>
      <c r="C408" s="36" t="n">
        <f aca="false">(IF(C$43&gt;=1,Quesería!$G$107*IF(C$43=1,Quesería!$B$12,1),Quesería!$G$107*Quesería!$B$12*Quesería!$B$13/12*$J$23)+IF(C$43&gt;=2,Quesería!$G$108*$J$21*IF(C$43=2,Quesería!$B$12,1),0))*$J$10</f>
        <v>80.5550748136695</v>
      </c>
      <c r="D408" s="36" t="n">
        <f aca="false">(IF(D$43&gt;=1,Quesería!$G$107*IF(D$43=1,Quesería!$B$12,1),Quesería!$G$107*Quesería!$B$12*Quesería!$B$13/12*$J$23)+IF(D$43&gt;=2,Quesería!$G$108*$J$21*IF(D$43=2,Quesería!$B$12,1),0))*$J$10</f>
        <v>189.651223070959</v>
      </c>
      <c r="E408" s="36" t="n">
        <f aca="false">(IF(E$43&gt;=1,Quesería!$G$107*IF(E$43=1,Quesería!$B$12,1),Quesería!$G$107*Quesería!$B$12*Quesería!$B$13/12*$J$23)+IF(E$43&gt;=2,Quesería!$G$108*$J$21*IF(E$43=2,Quesería!$B$12,1),0))*$J$10</f>
        <v>217.066041955203</v>
      </c>
      <c r="F408" s="36" t="n">
        <f aca="false">(IF(F$43&gt;=1,Quesería!$G$107*IF(F$43=1,Quesería!$B$12,1),Quesería!$G$107*Quesería!$B$12*Quesería!$B$13/12*$J$23)+IF(F$43&gt;=2,Quesería!$G$108*$J$21*IF(F$43=2,Quesería!$B$12,1),0))*$J$10</f>
        <v>217.066041955203</v>
      </c>
      <c r="G408" s="36" t="n">
        <f aca="false">(IF(G$43&gt;=1,Quesería!$G$107*IF(G$43=1,Quesería!$B$12,1),Quesería!$G$107*Quesería!$B$12*Quesería!$B$13/12*$J$23)+IF(G$43&gt;=2,Quesería!$G$108*$J$21*IF(G$43=2,Quesería!$B$12,1),0))*$J$10</f>
        <v>217.066041955203</v>
      </c>
      <c r="H408" s="36" t="n">
        <f aca="false">(IF(H$43&gt;=1,Quesería!$G$107*IF(H$43=1,Quesería!$B$12,1),Quesería!$G$107*Quesería!$B$12*Quesería!$B$13/12*$J$23)+IF(H$43&gt;=2,Quesería!$G$108*$J$21*IF(H$43=2,Quesería!$B$12,1),0))*$J$10</f>
        <v>217.066041955203</v>
      </c>
      <c r="I408" s="36" t="n">
        <f aca="false">(IF(I$43&gt;=1,Quesería!$G$107*IF(I$43=1,Quesería!$B$12,1),Quesería!$G$107*Quesería!$B$12*Quesería!$B$13/12*$J$23)+IF(I$43&gt;=2,Quesería!$G$108*$J$21*IF(I$43=2,Quesería!$B$12,1),0))*$J$10</f>
        <v>217.066041955203</v>
      </c>
      <c r="J408" s="36" t="n">
        <f aca="false">(IF(J$43&gt;=1,Quesería!$G$107*IF(J$43=1,Quesería!$B$12,1),Quesería!$G$107*Quesería!$B$12*Quesería!$B$13/12*$J$23)+IF(J$43&gt;=2,Quesería!$G$108*$J$21*IF(J$43=2,Quesería!$B$12,1),0))*$J$10</f>
        <v>217.066041955203</v>
      </c>
      <c r="K408" s="36" t="n">
        <f aca="false">(IF(K$43&gt;=1,Quesería!$G$107*IF(K$43=1,Quesería!$B$12,1),Quesería!$G$107*Quesería!$B$12*Quesería!$B$13/12*$J$23)+IF(K$43&gt;=2,Quesería!$G$108*$J$21*IF(K$43=2,Quesería!$B$12,1),0))*$J$10</f>
        <v>217.066041955203</v>
      </c>
      <c r="L408" s="36" t="n">
        <f aca="false">(IF(L$43&gt;=1,Quesería!$G$107*IF(L$43=1,Quesería!$B$12,1),Quesería!$G$107*Quesería!$B$12*Quesería!$B$13/12*$J$23)+IF(L$43&gt;=2,Quesería!$G$108*$J$21*IF(L$43=2,Quesería!$B$12,1),0))*$J$10</f>
        <v>217.066041955203</v>
      </c>
    </row>
    <row r="409" customFormat="false" ht="15" hidden="false" customHeight="false" outlineLevel="0" collapsed="false">
      <c r="A409" s="6" t="s">
        <v>296</v>
      </c>
      <c r="B409" s="35" t="n">
        <f aca="false">(B408*(Quesería!$B$23+Quesería!$B$25*Quesería!$B$24)/365-B400*Quesería!$B$26/365)</f>
        <v>2.50861009237089</v>
      </c>
      <c r="C409" s="35" t="n">
        <f aca="false">(C408*(Quesería!$B$23+Quesería!$B$25*Quesería!$B$24)/365-C400*Quesería!$B$26/365)-(B408*(Quesería!$B$23+Quesería!$B$25*Quesería!$B$24)/365-B400*Quesería!$B$26/365)*B391/C391</f>
        <v>3.05135766538218</v>
      </c>
      <c r="D409" s="35" t="n">
        <f aca="false">(D408*(Quesería!$B$23+Quesería!$B$25*Quesería!$B$24)/365-D400*Quesería!$B$26/365)-(C408*(Quesería!$B$23+Quesería!$B$25*Quesería!$B$24)/365-C400*Quesería!$B$26/365)*C391/D391</f>
        <v>7.49698734312286</v>
      </c>
      <c r="E409" s="35" t="n">
        <f aca="false">(E408*(Quesería!$B$23+Quesería!$B$25*Quesería!$B$24)/365-E400*Quesería!$B$26/365)-(D408*(Quesería!$B$23+Quesería!$B$25*Quesería!$B$24)/365-D400*Quesería!$B$26/365)*D391/E391</f>
        <v>3.04980534011308</v>
      </c>
      <c r="F409" s="35" t="n">
        <f aca="false">(F408*(Quesería!$B$23+Quesería!$B$25*Quesería!$B$24)/365-F400*Quesería!$B$26/365)-(E408*(Quesería!$B$23+Quesería!$B$25*Quesería!$B$24)/365-E400*Quesería!$B$26/365)*E391/F391</f>
        <v>0.587093738551609</v>
      </c>
      <c r="G409" s="35" t="n">
        <f aca="false">(G408*(Quesería!$B$23+Quesería!$B$25*Quesería!$B$24)/365-G400*Quesería!$B$26/365)-(F408*(Quesería!$B$23+Quesería!$B$25*Quesería!$B$24)/365-F400*Quesería!$B$26/365)*F391/G391</f>
        <v>0.58709373855161</v>
      </c>
      <c r="H409" s="35" t="n">
        <f aca="false">(H408*(Quesería!$B$23+Quesería!$B$25*Quesería!$B$24)/365-H400*Quesería!$B$26/365)-(G408*(Quesería!$B$23+Quesería!$B$25*Quesería!$B$24)/365-G400*Quesería!$B$26/365)*G391/H391</f>
        <v>0.58709373855161</v>
      </c>
      <c r="I409" s="35" t="n">
        <f aca="false">(I408*(Quesería!$B$23+Quesería!$B$25*Quesería!$B$24)/365-I400*Quesería!$B$26/365)-(H408*(Quesería!$B$23+Quesería!$B$25*Quesería!$B$24)/365-H400*Quesería!$B$26/365)*H391/I391</f>
        <v>0.587093738551609</v>
      </c>
      <c r="J409" s="35" t="n">
        <f aca="false">(J408*(Quesería!$B$23+Quesería!$B$25*Quesería!$B$24)/365-J400*Quesería!$B$26/365)-(I408*(Quesería!$B$23+Quesería!$B$25*Quesería!$B$24)/365-I400*Quesería!$B$26/365)*I391/J391</f>
        <v>0.58709373855161</v>
      </c>
      <c r="K409" s="35" t="n">
        <f aca="false">(K408*(Quesería!$B$23+Quesería!$B$25*Quesería!$B$24)/365-K400*Quesería!$B$26/365)-(J408*(Quesería!$B$23+Quesería!$B$25*Quesería!$B$24)/365-J400*Quesería!$B$26/365)*J391/K391</f>
        <v>0.587093738551612</v>
      </c>
      <c r="L409" s="35" t="n">
        <f aca="false">-(K408*(Quesería!$B$23+Quesería!$B$25*Quesería!$B$24)/365-K400*Quesería!$B$26/365)*K391/L391</f>
        <v>-14.6773434637902</v>
      </c>
    </row>
    <row r="410" customFormat="false" ht="15" hidden="false" customHeight="false" outlineLevel="0" collapsed="false">
      <c r="A410" s="6" t="s">
        <v>297</v>
      </c>
      <c r="B410" s="35" t="n">
        <v>0</v>
      </c>
      <c r="C410" s="35" t="n">
        <v>0</v>
      </c>
      <c r="D410" s="35" t="n">
        <v>0</v>
      </c>
      <c r="E410" s="35" t="n">
        <v>0</v>
      </c>
      <c r="F410" s="35" t="n">
        <v>0</v>
      </c>
      <c r="G410" s="35" t="n">
        <v>0</v>
      </c>
      <c r="H410" s="35" t="n">
        <v>0</v>
      </c>
      <c r="I410" s="35" t="n">
        <v>0</v>
      </c>
      <c r="J410" s="35" t="n">
        <v>0</v>
      </c>
      <c r="K410" s="35" t="n">
        <v>0</v>
      </c>
      <c r="L410" s="35" t="n">
        <f aca="false">$J$8*Quesería!$B$39*(Quesería!$F$82+Quesería!$F$83*$J$21)*$J$11*(1-$J$17)</f>
        <v>44.8402342561333</v>
      </c>
    </row>
    <row r="411" customFormat="false" ht="15" hidden="false" customHeight="false" outlineLevel="0" collapsed="false">
      <c r="A411" s="5" t="s">
        <v>298</v>
      </c>
      <c r="B411" s="37" t="n">
        <f aca="false">B399-B400-B401-B402-B407-B394-B395-B396-B409+B410</f>
        <v>-524.201699559459</v>
      </c>
      <c r="C411" s="37" t="n">
        <f aca="false">C399-C400-C401-C402-C407-C394-C395-C396-C409+C410</f>
        <v>-323.732082383009</v>
      </c>
      <c r="D411" s="37" t="n">
        <f aca="false">D399-D400-D401-D402-D407-D394-D395-D396-D409+D410</f>
        <v>312.104481605563</v>
      </c>
      <c r="E411" s="37" t="n">
        <f aca="false">E399-E400-E401-E402-E407-E394-E395-E396-E409+E410</f>
        <v>245.272972035487</v>
      </c>
      <c r="F411" s="37" t="n">
        <f aca="false">F399-F400-F401-F402-F407-F394-F395-F396-F409+F410</f>
        <v>246.85301889185</v>
      </c>
      <c r="G411" s="37" t="n">
        <f aca="false">G399-G400-G401-G402-G407-G394-G395-G396-G409+G410</f>
        <v>220.547878729986</v>
      </c>
      <c r="H411" s="37" t="n">
        <f aca="false">H399-H400-H401-H402-H407-H394-H395-H396-H409+H410</f>
        <v>213.49761400806</v>
      </c>
      <c r="I411" s="37" t="n">
        <f aca="false">I399-I400-I401-I402-I407-I394-I395-I396-I409+I410</f>
        <v>249.711332265416</v>
      </c>
      <c r="J411" s="37" t="n">
        <f aca="false">J399-J400-J401-J402-J407-J394-J395-J396-J409+J410</f>
        <v>243.847738750918</v>
      </c>
      <c r="K411" s="37" t="n">
        <f aca="false">K399-K400-K401-K402-K407-K394-K395-K396-K409+K410</f>
        <v>243.18540782099</v>
      </c>
      <c r="L411" s="37" t="n">
        <f aca="false">L399-L400-L401-L402-L407-L394-L395-L396-L409+L410</f>
        <v>302.667595209396</v>
      </c>
    </row>
    <row r="412" customFormat="false" ht="15" hidden="false" customHeight="false" outlineLevel="0" collapsed="false">
      <c r="A412" s="9" t="s">
        <v>299</v>
      </c>
      <c r="B412" s="36" t="n">
        <f aca="false">B411*B391</f>
        <v>-555.653801533026</v>
      </c>
      <c r="C412" s="36" t="n">
        <f aca="false">C411*C391</f>
        <v>-360.313807692289</v>
      </c>
      <c r="D412" s="36" t="n">
        <f aca="false">D411*D391</f>
        <v>363.004040988206</v>
      </c>
      <c r="E412" s="36" t="n">
        <f aca="false">E411*E391</f>
        <v>296.68424726709</v>
      </c>
      <c r="F412" s="36" t="n">
        <f aca="false">F411*F391</f>
        <v>310.539304625618</v>
      </c>
      <c r="G412" s="36" t="n">
        <f aca="false">G411*G391</f>
        <v>288.545534557833</v>
      </c>
      <c r="H412" s="36" t="n">
        <f aca="false">H411*H391</f>
        <v>290.494448897629</v>
      </c>
      <c r="I412" s="36" t="n">
        <f aca="false">I411*I391</f>
        <v>353.359199981899</v>
      </c>
      <c r="J412" s="36" t="n">
        <f aca="false">J411*J391</f>
        <v>358.864272376986</v>
      </c>
      <c r="K412" s="36" t="n">
        <f aca="false">K411*K391</f>
        <v>372.205118950498</v>
      </c>
      <c r="L412" s="36" t="n">
        <f aca="false">L411*L391</f>
        <v>481.774817240317</v>
      </c>
    </row>
    <row r="413" customFormat="false" ht="15" hidden="false" customHeight="false" outlineLevel="0" collapsed="false">
      <c r="A413" s="6" t="s">
        <v>300</v>
      </c>
      <c r="B413" s="35" t="n">
        <f aca="false">B411</f>
        <v>-524.201699559459</v>
      </c>
      <c r="C413" s="35" t="n">
        <f aca="false">B413+C411</f>
        <v>-847.933781942468</v>
      </c>
      <c r="D413" s="35" t="n">
        <f aca="false">C413+D411</f>
        <v>-535.829300336905</v>
      </c>
      <c r="E413" s="35" t="n">
        <f aca="false">D413+E411</f>
        <v>-290.556328301418</v>
      </c>
      <c r="F413" s="35" t="n">
        <f aca="false">E413+F411</f>
        <v>-43.7033094095678</v>
      </c>
      <c r="G413" s="35" t="n">
        <f aca="false">F413+G411</f>
        <v>176.844569320419</v>
      </c>
      <c r="H413" s="35" t="n">
        <f aca="false">G413+H411</f>
        <v>390.342183328478</v>
      </c>
      <c r="I413" s="35" t="n">
        <f aca="false">H413+I411</f>
        <v>640.053515593894</v>
      </c>
      <c r="J413" s="35" t="n">
        <f aca="false">I413+J411</f>
        <v>883.901254344813</v>
      </c>
      <c r="K413" s="35" t="n">
        <f aca="false">J413+K411</f>
        <v>1127.0866621658</v>
      </c>
      <c r="L413" s="35" t="n">
        <f aca="false">K413+L411</f>
        <v>1429.7542573752</v>
      </c>
    </row>
    <row r="414" customFormat="false" ht="15" hidden="false" customHeight="false" outlineLevel="0" collapsed="false">
      <c r="A414" s="9" t="s">
        <v>301</v>
      </c>
      <c r="B414" s="38" t="n">
        <v>0</v>
      </c>
      <c r="C414" s="38" t="n">
        <f aca="false">IF(AND(B413&lt;0,C413&gt;=0),B$43+(-B413)/C411,0)</f>
        <v>0</v>
      </c>
      <c r="D414" s="38" t="n">
        <f aca="false">IF(AND(C413&lt;0,D413&gt;=0),C$43+(-C413)/D411,0)</f>
        <v>0</v>
      </c>
      <c r="E414" s="38" t="n">
        <f aca="false">IF(AND(D413&lt;0,E413&gt;=0),D$43+(-D413)/E411,0)</f>
        <v>0</v>
      </c>
      <c r="F414" s="38" t="n">
        <f aca="false">IF(AND(E413&lt;0,F413&gt;=0),E$43+(-E413)/F411,0)</f>
        <v>0</v>
      </c>
      <c r="G414" s="38" t="n">
        <f aca="false">IF(AND(F413&lt;0,G413&gt;=0),F$43+(-F413)/G411,0)</f>
        <v>4.19815792226718</v>
      </c>
      <c r="H414" s="38" t="n">
        <f aca="false">IF(AND(G413&lt;0,H413&gt;=0),G$43+(-G413)/H411,0)</f>
        <v>0</v>
      </c>
      <c r="I414" s="38" t="n">
        <f aca="false">IF(AND(H413&lt;0,I413&gt;=0),H$43+(-H413)/I411,0)</f>
        <v>0</v>
      </c>
      <c r="J414" s="38" t="n">
        <f aca="false">IF(AND(I413&lt;0,J413&gt;=0),I$43+(-I413)/J411,0)</f>
        <v>0</v>
      </c>
      <c r="K414" s="38" t="n">
        <f aca="false">IF(AND(J413&lt;0,K413&gt;=0),J$43+(-J413)/K411,0)</f>
        <v>0</v>
      </c>
      <c r="L414" s="38" t="n">
        <f aca="false">IF(AND(K413&lt;0,L413&gt;=0),K$43+(-K413)/L411,0)</f>
        <v>0</v>
      </c>
    </row>
    <row r="415" customFormat="false" ht="15" hidden="false" customHeight="false" outlineLevel="0" collapsed="false">
      <c r="A415" s="9" t="s">
        <v>302</v>
      </c>
      <c r="B415" s="34" t="n">
        <f aca="false">(B391/$B$391)/(1+$J$25)^B$43</f>
        <v>1</v>
      </c>
      <c r="C415" s="34" t="n">
        <f aca="false">(C391/$B$391)/(1+$J$25)^C$43</f>
        <v>0.921735848062819</v>
      </c>
      <c r="D415" s="34" t="n">
        <f aca="false">(D391/$B$391)/(1+$J$25)^D$43</f>
        <v>0.845551273729778</v>
      </c>
      <c r="E415" s="34" t="n">
        <f aca="false">(E391/$B$391)/(1+$J$25)^E$43</f>
        <v>0.771952302082657</v>
      </c>
      <c r="F415" s="34" t="n">
        <f aca="false">(F391/$B$391)/(1+$J$25)^F$43</f>
        <v>0.704759575444925</v>
      </c>
      <c r="G415" s="34" t="n">
        <f aca="false">(G391/$B$391)/(1+$J$25)^G$43</f>
        <v>0.643415477667852</v>
      </c>
      <c r="H415" s="34" t="n">
        <f aca="false">(H391/$B$391)/(1+$J$25)^H$43</f>
        <v>0.587410928955732</v>
      </c>
      <c r="I415" s="34" t="n">
        <f aca="false">(I391/$B$391)/(1+$J$25)^I$43</f>
        <v>0.536281161136071</v>
      </c>
      <c r="J415" s="34" t="n">
        <f aca="false">(J391/$B$391)/(1+$J$25)^J$43</f>
        <v>0.489601860661204</v>
      </c>
      <c r="K415" s="34" t="n">
        <f aca="false">(K391/$B$391)/(1+$J$25)^K$43</f>
        <v>0.446985647333025</v>
      </c>
      <c r="L415" s="34" t="n">
        <f aca="false">(L391/$B$391)/(1+$J$25)^L$43</f>
        <v>0.408078859528639</v>
      </c>
    </row>
    <row r="416" customFormat="false" ht="15" hidden="false" customHeight="false" outlineLevel="0" collapsed="false">
      <c r="A416" s="9" t="s">
        <v>303</v>
      </c>
      <c r="B416" s="36" t="n">
        <f aca="false">B411*B415</f>
        <v>-524.201699559459</v>
      </c>
      <c r="C416" s="36" t="n">
        <f aca="false">C411*C415</f>
        <v>-298.395465500445</v>
      </c>
      <c r="D416" s="36" t="n">
        <f aca="false">D411*D415</f>
        <v>263.900341958356</v>
      </c>
      <c r="E416" s="36" t="n">
        <f aca="false">E411*E415</f>
        <v>189.339035401449</v>
      </c>
      <c r="F416" s="36" t="n">
        <f aca="false">F411*F415</f>
        <v>173.972028791518</v>
      </c>
      <c r="G416" s="36" t="n">
        <f aca="false">G411*G415</f>
        <v>141.903918741686</v>
      </c>
      <c r="H416" s="36" t="n">
        <f aca="false">H411*H415</f>
        <v>125.410831774307</v>
      </c>
      <c r="I416" s="36" t="n">
        <f aca="false">I411*I415</f>
        <v>133.915483216133</v>
      </c>
      <c r="J416" s="36" t="n">
        <f aca="false">J411*J415</f>
        <v>119.388306610477</v>
      </c>
      <c r="K416" s="36" t="n">
        <f aca="false">K411*K415</f>
        <v>108.700386936811</v>
      </c>
      <c r="L416" s="36" t="n">
        <f aca="false">L411*L415</f>
        <v>123.512247069326</v>
      </c>
    </row>
    <row r="417" customFormat="false" ht="15" hidden="false" customHeight="false" outlineLevel="0" collapsed="false">
      <c r="A417" s="9" t="s">
        <v>304</v>
      </c>
      <c r="B417" s="36" t="n">
        <f aca="false">B416</f>
        <v>-524.201699559459</v>
      </c>
      <c r="C417" s="36" t="n">
        <f aca="false">B417+C416</f>
        <v>-822.597165059904</v>
      </c>
      <c r="D417" s="36" t="n">
        <f aca="false">C417+D416</f>
        <v>-558.696823101548</v>
      </c>
      <c r="E417" s="36" t="n">
        <f aca="false">D417+E416</f>
        <v>-369.357787700099</v>
      </c>
      <c r="F417" s="36" t="n">
        <f aca="false">E417+F416</f>
        <v>-195.38575890858</v>
      </c>
      <c r="G417" s="36" t="n">
        <f aca="false">F417+G416</f>
        <v>-53.4818401668946</v>
      </c>
      <c r="H417" s="36" t="n">
        <f aca="false">G417+H416</f>
        <v>71.928991607412</v>
      </c>
      <c r="I417" s="36" t="n">
        <f aca="false">H417+I416</f>
        <v>205.844474823545</v>
      </c>
      <c r="J417" s="36" t="n">
        <f aca="false">I417+J416</f>
        <v>325.232781434021</v>
      </c>
      <c r="K417" s="36" t="n">
        <f aca="false">J417+K416</f>
        <v>433.933168370832</v>
      </c>
      <c r="L417" s="36" t="n">
        <f aca="false">K417+L416</f>
        <v>557.445415440158</v>
      </c>
    </row>
    <row r="418" customFormat="false" ht="15" hidden="false" customHeight="false" outlineLevel="0" collapsed="false">
      <c r="A418" s="9" t="s">
        <v>305</v>
      </c>
      <c r="B418" s="38" t="n">
        <v>0</v>
      </c>
      <c r="C418" s="38" t="n">
        <f aca="false">IF(AND(B417&lt;0,C417&gt;=0),B$43+(-B417)/C416,0)</f>
        <v>0</v>
      </c>
      <c r="D418" s="38" t="n">
        <f aca="false">IF(AND(C417&lt;0,D417&gt;=0),C$43+(-C417)/D416,0)</f>
        <v>0</v>
      </c>
      <c r="E418" s="38" t="n">
        <f aca="false">IF(AND(D417&lt;0,E417&gt;=0),D$43+(-D417)/E416,0)</f>
        <v>0</v>
      </c>
      <c r="F418" s="38" t="n">
        <f aca="false">IF(AND(E417&lt;0,F417&gt;=0),E$43+(-E417)/F416,0)</f>
        <v>0</v>
      </c>
      <c r="G418" s="38" t="n">
        <f aca="false">IF(AND(F417&lt;0,G417&gt;=0),F$43+(-F417)/G416,0)</f>
        <v>0</v>
      </c>
      <c r="H418" s="38" t="n">
        <f aca="false">IF(AND(G417&lt;0,H417&gt;=0),G$43+(-G417)/H416,0)</f>
        <v>5.42645311740809</v>
      </c>
      <c r="I418" s="38" t="n">
        <f aca="false">IF(AND(H417&lt;0,I417&gt;=0),H$43+(-H417)/I416,0)</f>
        <v>0</v>
      </c>
      <c r="J418" s="38" t="n">
        <f aca="false">IF(AND(I417&lt;0,J417&gt;=0),I$43+(-I417)/J416,0)</f>
        <v>0</v>
      </c>
      <c r="K418" s="38" t="n">
        <f aca="false">IF(AND(J417&lt;0,K417&gt;=0),J$43+(-J417)/K416,0)</f>
        <v>0</v>
      </c>
      <c r="L418" s="38" t="n">
        <f aca="false">IF(AND(K417&lt;0,L417&gt;=0),K$43+(-K417)/L416,0)</f>
        <v>0</v>
      </c>
    </row>
    <row r="419" customFormat="false" ht="15" hidden="false" customHeight="false" outlineLevel="0" collapsed="false">
      <c r="A419" s="9" t="s">
        <v>306</v>
      </c>
      <c r="B419" s="36" t="n">
        <f aca="false">IF(B$43&lt;0,0,(Quesería!$B$40*$B$394*$B$391)*(1-MAX(0,MIN(B$43-0-Quesería!$B$43,(Quesería!$B$42-Quesería!$B$43)))/(Quesería!$B$42-Quesería!$B$43)))+IF(B$43&lt;1,0,(Quesería!$B$40*$C$394*$C$391)*(1-MAX(0,MIN(B$43-1-Quesería!$B$43,(Quesería!$B$42-Quesería!$B$43)))/(Quesería!$B$42-Quesería!$B$43)))</f>
        <v>369.363815397777</v>
      </c>
      <c r="C419" s="36" t="n">
        <f aca="false">IF(C$43&lt;0,0,(Quesería!$B$40*$B$394*$B$391)*(1-MAX(0,MIN(C$43-0-Quesería!$B$43,(Quesería!$B$42-Quesería!$B$43)))/(Quesería!$B$42-Quesería!$B$43)))+IF(C$43&lt;1,0,(Quesería!$B$40*$C$394*$C$391)*(1-MAX(0,MIN(C$43-1-Quesería!$B$43,(Quesería!$B$42-Quesería!$B$43)))/(Quesería!$B$42-Quesería!$B$43)))</f>
        <v>771.54775620706</v>
      </c>
      <c r="D419" s="36" t="n">
        <f aca="false">IF(D$43&lt;0,0,(Quesería!$B$40*$B$394*$B$391)*(1-MAX(0,MIN(D$43-0-Quesería!$B$43,(Quesería!$B$42-Quesería!$B$43)))/(Quesería!$B$42-Quesería!$B$43)))+IF(D$43&lt;1,0,(Quesería!$B$40*$C$394*$C$391)*(1-MAX(0,MIN(D$43-1-Quesería!$B$43,(Quesería!$B$42-Quesería!$B$43)))/(Quesería!$B$42-Quesería!$B$43)))</f>
        <v>709.987120307431</v>
      </c>
      <c r="E419" s="36" t="n">
        <f aca="false">IF(E$43&lt;0,0,(Quesería!$B$40*$B$394*$B$391)*(1-MAX(0,MIN(E$43-0-Quesería!$B$43,(Quesería!$B$42-Quesería!$B$43)))/(Quesería!$B$42-Quesería!$B$43)))+IF(E$43&lt;1,0,(Quesería!$B$40*$C$394*$C$391)*(1-MAX(0,MIN(E$43-1-Quesería!$B$43,(Quesería!$B$42-Quesería!$B$43)))/(Quesería!$B$42-Quesería!$B$43)))</f>
        <v>581.395827606254</v>
      </c>
      <c r="F419" s="36" t="n">
        <f aca="false">IF(F$43&lt;0,0,(Quesería!$B$40*$B$394*$B$391)*(1-MAX(0,MIN(F$43-0-Quesería!$B$43,(Quesería!$B$42-Quesería!$B$43)))/(Quesería!$B$42-Quesería!$B$43)))+IF(F$43&lt;1,0,(Quesería!$B$40*$C$394*$C$391)*(1-MAX(0,MIN(F$43-1-Quesería!$B$43,(Quesería!$B$42-Quesería!$B$43)))/(Quesería!$B$42-Quesería!$B$43)))</f>
        <v>452.804534905077</v>
      </c>
      <c r="G419" s="36" t="n">
        <f aca="false">IF(G$43&lt;0,0,(Quesería!$B$40*$B$394*$B$391)*(1-MAX(0,MIN(G$43-0-Quesería!$B$43,(Quesería!$B$42-Quesería!$B$43)))/(Quesería!$B$42-Quesería!$B$43)))+IF(G$43&lt;1,0,(Quesería!$B$40*$C$394*$C$391)*(1-MAX(0,MIN(G$43-1-Quesería!$B$43,(Quesería!$B$42-Quesería!$B$43)))/(Quesería!$B$42-Quesería!$B$43)))</f>
        <v>324.213242203901</v>
      </c>
      <c r="H419" s="36" t="n">
        <f aca="false">IF(H$43&lt;0,0,(Quesería!$B$40*$B$394*$B$391)*(1-MAX(0,MIN(H$43-0-Quesería!$B$43,(Quesería!$B$42-Quesería!$B$43)))/(Quesería!$B$42-Quesería!$B$43)))+IF(H$43&lt;1,0,(Quesería!$B$40*$C$394*$C$391)*(1-MAX(0,MIN(H$43-1-Quesería!$B$43,(Quesería!$B$42-Quesería!$B$43)))/(Quesería!$B$42-Quesería!$B$43)))</f>
        <v>195.621949502724</v>
      </c>
      <c r="I419" s="36" t="n">
        <f aca="false">IF(I$43&lt;0,0,(Quesería!$B$40*$B$394*$B$391)*(1-MAX(0,MIN(I$43-0-Quesería!$B$43,(Quesería!$B$42-Quesería!$B$43)))/(Quesería!$B$42-Quesería!$B$43)))+IF(I$43&lt;1,0,(Quesería!$B$40*$C$394*$C$391)*(1-MAX(0,MIN(I$43-1-Quesería!$B$43,(Quesería!$B$42-Quesería!$B$43)))/(Quesería!$B$42-Quesería!$B$43)))</f>
        <v>67.0306568015472</v>
      </c>
      <c r="J419" s="36" t="n">
        <f aca="false">IF(J$43&lt;0,0,(Quesería!$B$40*$B$394*$B$391)*(1-MAX(0,MIN(J$43-0-Quesería!$B$43,(Quesería!$B$42-Quesería!$B$43)))/(Quesería!$B$42-Quesería!$B$43)))+IF(J$43&lt;1,0,(Quesería!$B$40*$C$394*$C$391)*(1-MAX(0,MIN(J$43-1-Quesería!$B$43,(Quesería!$B$42-Quesería!$B$43)))/(Quesería!$B$42-Quesería!$B$43)))</f>
        <v>0</v>
      </c>
      <c r="K419" s="36" t="n">
        <f aca="false">IF(K$43&lt;0,0,(Quesería!$B$40*$B$394*$B$391)*(1-MAX(0,MIN(K$43-0-Quesería!$B$43,(Quesería!$B$42-Quesería!$B$43)))/(Quesería!$B$42-Quesería!$B$43)))+IF(K$43&lt;1,0,(Quesería!$B$40*$C$394*$C$391)*(1-MAX(0,MIN(K$43-1-Quesería!$B$43,(Quesería!$B$42-Quesería!$B$43)))/(Quesería!$B$42-Quesería!$B$43)))</f>
        <v>0</v>
      </c>
      <c r="L419" s="36" t="n">
        <f aca="false">IF(L$43&lt;0,0,(Quesería!$B$40*$B$394*$B$391)*(1-MAX(0,MIN(L$43-0-Quesería!$B$43,(Quesería!$B$42-Quesería!$B$43)))/(Quesería!$B$42-Quesería!$B$43)))+IF(L$43&lt;1,0,(Quesería!$B$40*$C$394*$C$391)*(1-MAX(0,MIN(L$43-1-Quesería!$B$43,(Quesería!$B$42-Quesería!$B$43)))/(Quesería!$B$42-Quesería!$B$43)))</f>
        <v>0</v>
      </c>
    </row>
    <row r="420" customFormat="false" ht="15" hidden="false" customHeight="false" outlineLevel="0" collapsed="false">
      <c r="A420" s="6" t="s">
        <v>307</v>
      </c>
      <c r="B420" s="35" t="n">
        <f aca="false">Quesería!$B$40*B394</f>
        <v>348.456429620544</v>
      </c>
      <c r="C420" s="35" t="n">
        <f aca="false">Quesería!$B$40*C394</f>
        <v>361.351249604028</v>
      </c>
      <c r="D420" s="35" t="n">
        <f aca="false">Quesería!$B$40*D394</f>
        <v>0</v>
      </c>
      <c r="E420" s="35" t="n">
        <f aca="false">Quesería!$B$40*E394</f>
        <v>0</v>
      </c>
      <c r="F420" s="35" t="n">
        <f aca="false">Quesería!$B$40*F394</f>
        <v>0</v>
      </c>
      <c r="G420" s="35" t="n">
        <f aca="false">Quesería!$B$40*G394</f>
        <v>0</v>
      </c>
      <c r="H420" s="35" t="n">
        <f aca="false">Quesería!$B$40*H394</f>
        <v>0</v>
      </c>
      <c r="I420" s="35" t="n">
        <f aca="false">Quesería!$B$40*I394</f>
        <v>0</v>
      </c>
      <c r="J420" s="35" t="n">
        <f aca="false">Quesería!$B$40*J394</f>
        <v>0</v>
      </c>
      <c r="K420" s="35" t="n">
        <f aca="false">Quesería!$B$40*K394</f>
        <v>0</v>
      </c>
      <c r="L420" s="35" t="n">
        <f aca="false">Quesería!$B$40*L394</f>
        <v>0</v>
      </c>
    </row>
    <row r="421" customFormat="false" ht="15" hidden="false" customHeight="false" outlineLevel="0" collapsed="false">
      <c r="A421" s="6" t="s">
        <v>308</v>
      </c>
      <c r="B421" s="35" t="n">
        <f aca="false">(IF(AND(B$43&gt;0,B$43&lt;=0+Quesería!$B$42),($J$14+$J$24)*((Quesería!$B$40*$B$394*$B$391)-(Quesería!$B$40*$B$394*$B$391)/(Quesería!$B$42-Quesería!$B$43)*MAX(0,MIN(B$43-1-0-Quesería!$B$43,(Quesería!$B$42-Quesería!$B$43)))),0)+IF(AND(B$43&gt;1,B$43&lt;=1+Quesería!$B$42),($J$14+$J$24)*((Quesería!$B$40*$C$394*$C$391)-(Quesería!$B$40*$C$394*$C$391)/(Quesería!$B$42-Quesería!$B$43)*MAX(0,MIN(B$43-1-1-Quesería!$B$43,(Quesería!$B$42-Quesería!$B$43)))),0))*B393</f>
        <v>0</v>
      </c>
      <c r="C421" s="35" t="n">
        <f aca="false">(IF(AND(C$43&gt;0,C$43&lt;=0+Quesería!$B$42),($J$14+$J$24)*((Quesería!$B$40*$B$394*$B$391)-(Quesería!$B$40*$B$394*$B$391)/(Quesería!$B$42-Quesería!$B$43)*MAX(0,MIN(C$43-1-0-Quesería!$B$43,(Quesería!$B$42-Quesería!$B$43)))),0)+IF(AND(C$43&gt;1,C$43&lt;=1+Quesería!$B$42),($J$14+$J$24)*((Quesería!$B$40*$C$394*$C$391)-(Quesería!$B$40*$C$394*$C$391)/(Quesería!$B$42-Quesería!$B$43)*MAX(0,MIN(C$43-1-1-Quesería!$B$43,(Quesería!$B$42-Quesería!$B$43)))),0))*C393</f>
        <v>46.7927205490445</v>
      </c>
      <c r="D421" s="35" t="n">
        <f aca="false">(IF(AND(D$43&gt;0,D$43&lt;=0+Quesería!$B$42),($J$14+$J$24)*((Quesería!$B$40*$B$394*$B$391)-(Quesería!$B$40*$B$394*$B$391)/(Quesería!$B$42-Quesería!$B$43)*MAX(0,MIN(D$43-1-0-Quesería!$B$43,(Quesería!$B$42-Quesería!$B$43)))),0)+IF(AND(D$43&gt;1,D$43&lt;=1+Quesería!$B$42),($J$14+$J$24)*((Quesería!$B$40*$C$394*$C$391)-(Quesería!$B$40*$C$394*$C$391)/(Quesería!$B$42-Quesería!$B$43)*MAX(0,MIN(D$43-1-1-Quesería!$B$43,(Quesería!$B$42-Quesería!$B$43)))),0))*D393</f>
        <v>93.5342074097727</v>
      </c>
      <c r="E421" s="35" t="n">
        <f aca="false">(IF(AND(E$43&gt;0,E$43&lt;=0+Quesería!$B$42),($J$14+$J$24)*((Quesería!$B$40*$B$394*$B$391)-(Quesería!$B$40*$B$394*$B$391)/(Quesería!$B$42-Quesería!$B$43)*MAX(0,MIN(E$43-1-0-Quesería!$B$43,(Quesería!$B$42-Quesería!$B$43)))),0)+IF(AND(E$43&gt;1,E$43&lt;=1+Quesería!$B$42),($J$14+$J$24)*((Quesería!$B$40*$C$394*$C$391)-(Quesería!$B$40*$C$394*$C$391)/(Quesería!$B$42-Quesería!$B$43)*MAX(0,MIN(E$43-1-1-Quesería!$B$43,(Quesería!$B$42-Quesería!$B$43)))),0))*E393</f>
        <v>82.7608207444225</v>
      </c>
      <c r="F421" s="35" t="n">
        <f aca="false">(IF(AND(F$43&gt;0,F$43&lt;=0+Quesería!$B$42),($J$14+$J$24)*((Quesería!$B$40*$B$394*$B$391)-(Quesería!$B$40*$B$394*$B$391)/(Quesería!$B$42-Quesería!$B$43)*MAX(0,MIN(F$43-1-0-Quesería!$B$43,(Quesería!$B$42-Quesería!$B$43)))),0)+IF(AND(F$43&gt;1,F$43&lt;=1+Quesería!$B$42),($J$14+$J$24)*((Quesería!$B$40*$C$394*$C$391)-(Quesería!$B$40*$C$394*$C$391)/(Quesería!$B$42-Quesería!$B$43)*MAX(0,MIN(F$43-1-1-Quesería!$B$43,(Quesería!$B$42-Quesería!$B$43)))),0))*F393</f>
        <v>65.1647734891864</v>
      </c>
      <c r="G421" s="35" t="n">
        <f aca="false">(IF(AND(G$43&gt;0,G$43&lt;=0+Quesería!$B$42),($J$14+$J$24)*((Quesería!$B$40*$B$394*$B$391)-(Quesería!$B$40*$B$394*$B$391)/(Quesería!$B$42-Quesería!$B$43)*MAX(0,MIN(G$43-1-0-Quesería!$B$43,(Quesería!$B$42-Quesería!$B$43)))),0)+IF(AND(G$43&gt;1,G$43&lt;=1+Quesería!$B$42),($J$14+$J$24)*((Quesería!$B$40*$C$394*$C$391)-(Quesería!$B$40*$C$394*$C$391)/(Quesería!$B$42-Quesería!$B$43)*MAX(0,MIN(G$43-1-1-Quesería!$B$43,(Quesería!$B$42-Quesería!$B$43)))),0))*G393</f>
        <v>48.7998410808849</v>
      </c>
      <c r="H421" s="35" t="n">
        <f aca="false">(IF(AND(H$43&gt;0,H$43&lt;=0+Quesería!$B$42),($J$14+$J$24)*((Quesería!$B$40*$B$394*$B$391)-(Quesería!$B$40*$B$394*$B$391)/(Quesería!$B$42-Quesería!$B$43)*MAX(0,MIN(H$43-1-0-Quesería!$B$43,(Quesería!$B$42-Quesería!$B$43)))),0)+IF(AND(H$43&gt;1,H$43&lt;=1+Quesería!$B$42),($J$14+$J$24)*((Quesería!$B$40*$C$394*$C$391)-(Quesería!$B$40*$C$394*$C$391)/(Quesería!$B$42-Quesería!$B$43)*MAX(0,MIN(H$43-1-1-Quesería!$B$43,(Quesería!$B$42-Quesería!$B$43)))),0))*H393</f>
        <v>33.5973520331493</v>
      </c>
      <c r="I421" s="35" t="n">
        <f aca="false">(IF(AND(I$43&gt;0,I$43&lt;=0+Quesería!$B$42),($J$14+$J$24)*((Quesería!$B$40*$B$394*$B$391)-(Quesería!$B$40*$B$394*$B$391)/(Quesería!$B$42-Quesería!$B$43)*MAX(0,MIN(I$43-1-0-Quesería!$B$43,(Quesería!$B$42-Quesería!$B$43)))),0)+IF(AND(I$43&gt;1,I$43&lt;=1+Quesería!$B$42),($J$14+$J$24)*((Quesería!$B$40*$C$394*$C$391)-(Quesería!$B$40*$C$394*$C$391)/(Quesería!$B$42-Quesería!$B$43)*MAX(0,MIN(I$43-1-1-Quesería!$B$43,(Quesería!$B$42-Quesería!$B$43)))),0))*I393</f>
        <v>19.4920961058298</v>
      </c>
      <c r="J421" s="35" t="n">
        <f aca="false">(IF(AND(J$43&gt;0,J$43&lt;=0+Quesería!$B$42),($J$14+$J$24)*((Quesería!$B$40*$B$394*$B$391)-(Quesería!$B$40*$B$394*$B$391)/(Quesería!$B$42-Quesería!$B$43)*MAX(0,MIN(J$43-1-0-Quesería!$B$43,(Quesería!$B$42-Quesería!$B$43)))),0)+IF(AND(J$43&gt;1,J$43&lt;=1+Quesería!$B$42),($J$14+$J$24)*((Quesería!$B$40*$C$394*$C$391)-(Quesería!$B$40*$C$394*$C$391)/(Quesería!$B$42-Quesería!$B$43)*MAX(0,MIN(J$43-1-1-Quesería!$B$43,(Quesería!$B$42-Quesería!$B$43)))),0))*J393</f>
        <v>6.42215964032619</v>
      </c>
      <c r="K421" s="35" t="n">
        <f aca="false">(IF(AND(K$43&gt;0,K$43&lt;=0+Quesería!$B$42),($J$14+$J$24)*((Quesería!$B$40*$B$394*$B$391)-(Quesería!$B$40*$B$394*$B$391)/(Quesería!$B$42-Quesería!$B$43)*MAX(0,MIN(K$43-1-0-Quesería!$B$43,(Quesería!$B$42-Quesería!$B$43)))),0)+IF(AND(K$43&gt;1,K$43&lt;=1+Quesería!$B$42),($J$14+$J$24)*((Quesería!$B$40*$C$394*$C$391)-(Quesería!$B$40*$C$394*$C$391)/(Quesería!$B$42-Quesería!$B$43)*MAX(0,MIN(K$43-1-1-Quesería!$B$43,(Quesería!$B$42-Quesería!$B$43)))),0))*K393</f>
        <v>0</v>
      </c>
      <c r="L421" s="35" t="n">
        <f aca="false">(IF(AND(L$43&gt;0,L$43&lt;=0+Quesería!$B$42),($J$14+$J$24)*((Quesería!$B$40*$B$394*$B$391)-(Quesería!$B$40*$B$394*$B$391)/(Quesería!$B$42-Quesería!$B$43)*MAX(0,MIN(L$43-1-0-Quesería!$B$43,(Quesería!$B$42-Quesería!$B$43)))),0)+IF(AND(L$43&gt;1,L$43&lt;=1+Quesería!$B$42),($J$14+$J$24)*((Quesería!$B$40*$C$394*$C$391)-(Quesería!$B$40*$C$394*$C$391)/(Quesería!$B$42-Quesería!$B$43)*MAX(0,MIN(L$43-1-1-Quesería!$B$43,(Quesería!$B$42-Quesería!$B$43)))),0))*L393</f>
        <v>0</v>
      </c>
    </row>
    <row r="422" customFormat="false" ht="15" hidden="false" customHeight="false" outlineLevel="0" collapsed="false">
      <c r="A422" s="6" t="s">
        <v>309</v>
      </c>
      <c r="B422" s="35" t="n">
        <f aca="false">(IF(AND(B$43&gt;0+Quesería!$B$43,B$43&lt;=0+Quesería!$B$42),(Quesería!$B$40*$B$394*$B$391)/(Quesería!$B$42-Quesería!$B$43),0)+IF(AND(B$43&gt;1+Quesería!$B$43,B$43&lt;=1+Quesería!$B$42),(Quesería!$B$40*$C$394*$C$391)/(Quesería!$B$42-Quesería!$B$43),0))*B393</f>
        <v>0</v>
      </c>
      <c r="C422" s="35" t="n">
        <f aca="false">(IF(AND(C$43&gt;0+Quesería!$B$43,C$43&lt;=0+Quesería!$B$42),(Quesería!$B$40*$B$394*$B$391)/(Quesería!$B$42-Quesería!$B$43),0)+IF(AND(C$43&gt;1+Quesería!$B$43,C$43&lt;=1+Quesería!$B$42),(Quesería!$B$40*$C$394*$C$391)/(Quesería!$B$42-Quesería!$B$43),0))*C393</f>
        <v>0</v>
      </c>
      <c r="D422" s="35" t="n">
        <f aca="false">(IF(AND(D$43&gt;0+Quesería!$B$43,D$43&lt;=0+Quesería!$B$42),(Quesería!$B$40*$B$394*$B$391)/(Quesería!$B$42-Quesería!$B$43),0)+IF(AND(D$43&gt;1+Quesería!$B$43,D$43&lt;=1+Quesería!$B$42),(Quesería!$B$40*$C$394*$C$391)/(Quesería!$B$42-Quesería!$B$43),0))*D393</f>
        <v>52.9287506069028</v>
      </c>
      <c r="E422" s="35" t="n">
        <f aca="false">(IF(AND(E$43&gt;0+Quesería!$B$43,E$43&lt;=0+Quesería!$B$42),(Quesería!$B$40*$B$394*$B$391)/(Quesería!$B$42-Quesería!$B$43),0)+IF(AND(E$43&gt;1+Quesería!$B$43,E$43&lt;=1+Quesería!$B$42),(Quesería!$B$40*$C$394*$C$391)/(Quesería!$B$42-Quesería!$B$43),0))*E393</f>
        <v>106.308200820345</v>
      </c>
      <c r="F422" s="35" t="n">
        <f aca="false">(IF(AND(F$43&gt;0+Quesería!$B$43,F$43&lt;=0+Quesería!$B$42),(Quesería!$B$40*$B$394*$B$391)/(Quesería!$B$42-Quesería!$B$43),0)+IF(AND(F$43&gt;1+Quesería!$B$43,F$43&lt;=1+Quesería!$B$42),(Quesería!$B$40*$C$394*$C$391)/(Quesería!$B$42-Quesería!$B$43),0))*F393</f>
        <v>102.219423865717</v>
      </c>
      <c r="G422" s="35" t="n">
        <f aca="false">(IF(AND(G$43&gt;0+Quesería!$B$43,G$43&lt;=0+Quesería!$B$42),(Quesería!$B$40*$B$394*$B$391)/(Quesería!$B$42-Quesería!$B$43),0)+IF(AND(G$43&gt;1+Quesería!$B$43,G$43&lt;=1+Quesería!$B$42),(Quesería!$B$40*$C$394*$C$391)/(Quesería!$B$42-Quesería!$B$43),0))*G393</f>
        <v>98.2879075631892</v>
      </c>
      <c r="H422" s="35" t="n">
        <f aca="false">(IF(AND(H$43&gt;0+Quesería!$B$43,H$43&lt;=0+Quesería!$B$42),(Quesería!$B$40*$B$394*$B$391)/(Quesería!$B$42-Quesería!$B$43),0)+IF(AND(H$43&gt;1+Quesería!$B$43,H$43&lt;=1+Quesería!$B$42),(Quesería!$B$40*$C$394*$C$391)/(Quesería!$B$42-Quesería!$B$43),0))*H393</f>
        <v>94.5076034261434</v>
      </c>
      <c r="I422" s="35" t="n">
        <f aca="false">(IF(AND(I$43&gt;0+Quesería!$B$43,I$43&lt;=0+Quesería!$B$42),(Quesería!$B$40*$B$394*$B$391)/(Quesería!$B$42-Quesería!$B$43),0)+IF(AND(I$43&gt;1+Quesería!$B$43,I$43&lt;=1+Quesería!$B$42),(Quesería!$B$40*$C$394*$C$391)/(Quesería!$B$42-Quesería!$B$43),0))*I393</f>
        <v>90.872695602061</v>
      </c>
      <c r="J422" s="35" t="n">
        <f aca="false">(IF(AND(J$43&gt;0+Quesería!$B$43,J$43&lt;=0+Quesería!$B$42),(Quesería!$B$40*$B$394*$B$391)/(Quesería!$B$42-Quesería!$B$43),0)+IF(AND(J$43&gt;1+Quesería!$B$43,J$43&lt;=1+Quesería!$B$42),(Quesería!$B$40*$C$394*$C$391)/(Quesería!$B$42-Quesería!$B$43),0))*J393</f>
        <v>45.5472314916751</v>
      </c>
      <c r="K422" s="35" t="n">
        <f aca="false">(IF(AND(K$43&gt;0+Quesería!$B$43,K$43&lt;=0+Quesería!$B$42),(Quesería!$B$40*$B$394*$B$391)/(Quesería!$B$42-Quesería!$B$43),0)+IF(AND(K$43&gt;1+Quesería!$B$43,K$43&lt;=1+Quesería!$B$42),(Quesería!$B$40*$C$394*$C$391)/(Quesería!$B$42-Quesería!$B$43),0))*K393</f>
        <v>0</v>
      </c>
      <c r="L422" s="35" t="n">
        <f aca="false">(IF(AND(L$43&gt;0+Quesería!$B$43,L$43&lt;=0+Quesería!$B$42),(Quesería!$B$40*$B$394*$B$391)/(Quesería!$B$42-Quesería!$B$43),0)+IF(AND(L$43&gt;1+Quesería!$B$43,L$43&lt;=1+Quesería!$B$42),(Quesería!$B$40*$C$394*$C$391)/(Quesería!$B$42-Quesería!$B$43),0))*L393</f>
        <v>0</v>
      </c>
    </row>
    <row r="423" customFormat="false" ht="15" hidden="false" customHeight="false" outlineLevel="0" collapsed="false">
      <c r="A423" s="6" t="s">
        <v>310</v>
      </c>
      <c r="B423" s="35" t="n">
        <f aca="false">$J$13*Quesería!$B$44*(1+0.19)*B419*B393+(1-$J$13)*IF(B$43=0,Quesería!$B$53,0)</f>
        <v>4</v>
      </c>
      <c r="C423" s="35" t="n">
        <f aca="false">$J$13*Quesería!$B$44*(1+0.19)*C419*C393+(1-$J$13)*IF(C$43=0,Quesería!$B$53,0)</f>
        <v>0</v>
      </c>
      <c r="D423" s="35" t="n">
        <f aca="false">$J$13*Quesería!$B$44*(1+0.19)*D419*D393+(1-$J$13)*IF(D$43=0,Quesería!$B$53,0)</f>
        <v>0</v>
      </c>
      <c r="E423" s="35" t="n">
        <f aca="false">$J$13*Quesería!$B$44*(1+0.19)*E419*E393+(1-$J$13)*IF(E$43=0,Quesería!$B$53,0)</f>
        <v>0</v>
      </c>
      <c r="F423" s="35" t="n">
        <f aca="false">$J$13*Quesería!$B$44*(1+0.19)*F419*F393+(1-$J$13)*IF(F$43=0,Quesería!$B$53,0)</f>
        <v>0</v>
      </c>
      <c r="G423" s="35" t="n">
        <f aca="false">$J$13*Quesería!$B$44*(1+0.19)*G419*G393+(1-$J$13)*IF(G$43=0,Quesería!$B$53,0)</f>
        <v>0</v>
      </c>
      <c r="H423" s="35" t="n">
        <f aca="false">$J$13*Quesería!$B$44*(1+0.19)*H419*H393+(1-$J$13)*IF(H$43=0,Quesería!$B$53,0)</f>
        <v>0</v>
      </c>
      <c r="I423" s="35" t="n">
        <f aca="false">$J$13*Quesería!$B$44*(1+0.19)*I419*I393+(1-$J$13)*IF(I$43=0,Quesería!$B$53,0)</f>
        <v>0</v>
      </c>
      <c r="J423" s="35" t="n">
        <f aca="false">$J$13*Quesería!$B$44*(1+0.19)*J419*J393+(1-$J$13)*IF(J$43=0,Quesería!$B$53,0)</f>
        <v>0</v>
      </c>
      <c r="K423" s="35" t="n">
        <f aca="false">$J$13*Quesería!$B$44*(1+0.19)*K419*K393+(1-$J$13)*IF(K$43=0,Quesería!$B$53,0)</f>
        <v>0</v>
      </c>
      <c r="L423" s="35" t="n">
        <f aca="false">$J$13*Quesería!$B$44*(1+0.19)*L419*L393+(1-$J$13)*IF(L$43=0,Quesería!$B$53,0)</f>
        <v>0</v>
      </c>
    </row>
    <row r="424" customFormat="false" ht="15" hidden="false" customHeight="false" outlineLevel="0" collapsed="false">
      <c r="A424" s="6" t="s">
        <v>311</v>
      </c>
      <c r="B424" s="35" t="n">
        <f aca="false">Quesería!$B$45*(B421+B422+B423)</f>
        <v>0.016</v>
      </c>
      <c r="C424" s="35" t="n">
        <f aca="false">Quesería!$B$45*(C421+C422+C423)</f>
        <v>0.187170882196178</v>
      </c>
      <c r="D424" s="35" t="n">
        <f aca="false">Quesería!$B$45*(D421+D422+D423)</f>
        <v>0.585851832066702</v>
      </c>
      <c r="E424" s="35" t="n">
        <f aca="false">Quesería!$B$45*(E421+E422+E423)</f>
        <v>0.756276086259072</v>
      </c>
      <c r="F424" s="35" t="n">
        <f aca="false">Quesería!$B$45*(F421+F422+F423)</f>
        <v>0.669536789419613</v>
      </c>
      <c r="G424" s="35" t="n">
        <f aca="false">Quesería!$B$45*(G421+G422+G423)</f>
        <v>0.588350994576296</v>
      </c>
      <c r="H424" s="35" t="n">
        <f aca="false">Quesería!$B$45*(H421+H422+H423)</f>
        <v>0.512419821837171</v>
      </c>
      <c r="I424" s="35" t="n">
        <f aca="false">Quesería!$B$45*(I421+I422+I423)</f>
        <v>0.441459166831563</v>
      </c>
      <c r="J424" s="35" t="n">
        <f aca="false">Quesería!$B$45*(J421+J422+J423)</f>
        <v>0.207877564528005</v>
      </c>
      <c r="K424" s="35" t="n">
        <f aca="false">Quesería!$B$45*(K421+K422+K423)</f>
        <v>0</v>
      </c>
      <c r="L424" s="35" t="n">
        <f aca="false">Quesería!$B$45*(L421+L422+L423)</f>
        <v>0</v>
      </c>
    </row>
    <row r="425" customFormat="false" ht="15" hidden="false" customHeight="false" outlineLevel="0" collapsed="false">
      <c r="A425" s="6" t="s">
        <v>312</v>
      </c>
      <c r="B425" s="35" t="n">
        <f aca="false">$J$17*(B421+B423+0.5*B424)</f>
        <v>1.4028</v>
      </c>
      <c r="C425" s="35" t="n">
        <f aca="false">$J$17*(C421+C423+0.5*C424)</f>
        <v>16.4102070965499</v>
      </c>
      <c r="D425" s="35" t="n">
        <f aca="false">$J$17*(D421+D423+0.5*D424)</f>
        <v>32.8394966640321</v>
      </c>
      <c r="E425" s="35" t="n">
        <f aca="false">$J$17*(E421+E423+0.5*E424)</f>
        <v>29.0986355756432</v>
      </c>
      <c r="F425" s="35" t="n">
        <f aca="false">$J$17*(F421+F423+0.5*F424)</f>
        <v>22.9248396593637</v>
      </c>
      <c r="G425" s="35" t="n">
        <f aca="false">$J$17*(G421+G423+0.5*G424)</f>
        <v>17.1829058023606</v>
      </c>
      <c r="H425" s="35" t="n">
        <f aca="false">$J$17*(H421+H423+0.5*H424)</f>
        <v>11.8487466804237</v>
      </c>
      <c r="I425" s="35" t="n">
        <f aca="false">$J$17*(I421+I423+0.5*I424)</f>
        <v>6.89948899123597</v>
      </c>
      <c r="J425" s="35" t="n">
        <f aca="false">$J$17*(J421+J423+0.5*J424)</f>
        <v>2.28413444790657</v>
      </c>
      <c r="K425" s="35" t="n">
        <f aca="false">$J$17*(K421+K423+0.5*K424)</f>
        <v>0</v>
      </c>
      <c r="L425" s="35" t="n">
        <f aca="false">$J$17*(L421+L423+0.5*L424)</f>
        <v>0</v>
      </c>
    </row>
    <row r="426" customFormat="false" ht="15" hidden="false" customHeight="false" outlineLevel="0" collapsed="false">
      <c r="A426" s="5" t="s">
        <v>313</v>
      </c>
      <c r="B426" s="37" t="n">
        <f aca="false">B411+B420-B421-B422-B423-B424+B425</f>
        <v>-178.358469938914</v>
      </c>
      <c r="C426" s="37" t="n">
        <f aca="false">C411+C420-C421-C422-C423-C424+C425</f>
        <v>7.04948288632821</v>
      </c>
      <c r="D426" s="37" t="n">
        <f aca="false">D411+D420-D421-D422-D423-D424+D425</f>
        <v>197.895168420853</v>
      </c>
      <c r="E426" s="37" t="n">
        <f aca="false">E411+E420-E421-E422-E423-E424+E425</f>
        <v>84.5463099601033</v>
      </c>
      <c r="F426" s="37" t="n">
        <f aca="false">F411+F420-F421-F422-F423-F424+F425</f>
        <v>101.724124406891</v>
      </c>
      <c r="G426" s="37" t="n">
        <f aca="false">G411+G420-G421-G422-G423-G424+G425</f>
        <v>90.0546848936965</v>
      </c>
      <c r="H426" s="37" t="n">
        <f aca="false">H411+H420-H421-H422-H423-H424+H425</f>
        <v>96.7289854073536</v>
      </c>
      <c r="I426" s="37" t="n">
        <f aca="false">I411+I420-I421-I422-I423-I424+I425</f>
        <v>145.80457038193</v>
      </c>
      <c r="J426" s="37" t="n">
        <f aca="false">J411+J420-J421-J422-J423-J424+J425</f>
        <v>193.954604502295</v>
      </c>
      <c r="K426" s="37" t="n">
        <f aca="false">K411+K420-K421-K422-K423-K424+K425</f>
        <v>243.18540782099</v>
      </c>
      <c r="L426" s="37" t="n">
        <f aca="false">L411+L420-L421-L422-L423-L424+L425</f>
        <v>302.667595209396</v>
      </c>
    </row>
    <row r="427" customFormat="false" ht="15" hidden="false" customHeight="false" outlineLevel="0" collapsed="false">
      <c r="A427" s="9" t="s">
        <v>314</v>
      </c>
      <c r="B427" s="36" t="n">
        <f aca="false">B426*B391</f>
        <v>-189.059978135249</v>
      </c>
      <c r="C427" s="36" t="n">
        <f aca="false">C426*C391</f>
        <v>7.8460744524833</v>
      </c>
      <c r="D427" s="36" t="n">
        <f aca="false">D426*D391</f>
        <v>230.168901962768</v>
      </c>
      <c r="E427" s="36" t="n">
        <f aca="false">E426*E391</f>
        <v>102.267926716745</v>
      </c>
      <c r="F427" s="36" t="n">
        <f aca="false">F426*F391</f>
        <v>127.968209579829</v>
      </c>
      <c r="G427" s="36" t="n">
        <f aca="false">G426*G391</f>
        <v>117.819665016601</v>
      </c>
      <c r="H427" s="36" t="n">
        <f aca="false">H426*H391</f>
        <v>131.613804860954</v>
      </c>
      <c r="I427" s="36" t="n">
        <f aca="false">I426*I391</f>
        <v>206.323781449781</v>
      </c>
      <c r="J427" s="36" t="n">
        <f aca="false">J426*J391</f>
        <v>285.437865347522</v>
      </c>
      <c r="K427" s="36" t="n">
        <f aca="false">K426*K391</f>
        <v>372.205118950498</v>
      </c>
      <c r="L427" s="36" t="n">
        <f aca="false">L426*L391</f>
        <v>481.774817240317</v>
      </c>
    </row>
    <row r="428" customFormat="false" ht="15" hidden="false" customHeight="false" outlineLevel="0" collapsed="false">
      <c r="A428" s="9" t="s">
        <v>315</v>
      </c>
      <c r="B428" s="34" t="n">
        <f aca="false">(B391/$B$391)/(1+Quesería!$B$46+$J$24)^B$43</f>
        <v>1</v>
      </c>
      <c r="C428" s="34" t="n">
        <f aca="false">(C391/$B$391)/(1+Quesería!$B$46+$J$24)^C$43</f>
        <v>0.84</v>
      </c>
      <c r="D428" s="34" t="n">
        <f aca="false">(D391/$B$391)/(1+Quesería!$B$46+$J$24)^D$43</f>
        <v>0.70224</v>
      </c>
      <c r="E428" s="34" t="n">
        <f aca="false">(E391/$B$391)/(1+Quesería!$B$46+$J$24)^E$43</f>
        <v>0.58426368</v>
      </c>
      <c r="F428" s="34" t="n">
        <f aca="false">(F391/$B$391)/(1+Quesería!$B$46+$J$24)^F$43</f>
        <v>0.48610738176</v>
      </c>
      <c r="G428" s="34" t="n">
        <f aca="false">(G391/$B$391)/(1+Quesería!$B$46+$J$24)^G$43</f>
        <v>0.40444134162432</v>
      </c>
      <c r="H428" s="34" t="n">
        <f aca="false">(H391/$B$391)/(1+Quesería!$B$46+$J$24)^H$43</f>
        <v>0.336495196231434</v>
      </c>
      <c r="I428" s="34" t="n">
        <f aca="false">(I391/$B$391)/(1+Quesería!$B$46+$J$24)^I$43</f>
        <v>0.279964003264553</v>
      </c>
      <c r="J428" s="34" t="n">
        <f aca="false">(J391/$B$391)/(1+Quesería!$B$46+$J$24)^J$43</f>
        <v>0.232930050716108</v>
      </c>
      <c r="K428" s="34" t="n">
        <f aca="false">(K391/$B$391)/(1+Quesería!$B$46+$J$24)^K$43</f>
        <v>0.193797802195802</v>
      </c>
      <c r="L428" s="34" t="n">
        <f aca="false">(L391/$B$391)/(1+Quesería!$B$46+$J$24)^L$43</f>
        <v>0.161239771426907</v>
      </c>
    </row>
    <row r="429" customFormat="false" ht="15" hidden="false" customHeight="false" outlineLevel="0" collapsed="false">
      <c r="A429" s="9" t="s">
        <v>316</v>
      </c>
      <c r="B429" s="36" t="n">
        <f aca="false">B411+B394+B396+B425</f>
        <v>54.4743002889361</v>
      </c>
      <c r="C429" s="36" t="n">
        <f aca="false">C411+C394+C396+C425</f>
        <v>306.975249040389</v>
      </c>
      <c r="D429" s="36" t="n">
        <f aca="false">D411+D394+D396+D425</f>
        <v>344.943978269595</v>
      </c>
      <c r="E429" s="36" t="n">
        <f aca="false">E411+E394+E396+E425</f>
        <v>274.37160761113</v>
      </c>
      <c r="F429" s="36" t="n">
        <f aca="false">F411+F394+F396+F425</f>
        <v>269.777858551214</v>
      </c>
      <c r="G429" s="36" t="n">
        <f aca="false">G411+G394+G396+G425</f>
        <v>241.78411786568</v>
      </c>
      <c r="H429" s="36" t="n">
        <f aca="false">H411+H394+H396+H425</f>
        <v>230.712652753097</v>
      </c>
      <c r="I429" s="36" t="n">
        <f aca="false">I411+I394+I396+I425</f>
        <v>256.610821256652</v>
      </c>
      <c r="J429" s="36" t="n">
        <f aca="false">J411+J394+J396+J425</f>
        <v>246.131873198825</v>
      </c>
      <c r="K429" s="36" t="n">
        <f aca="false">K411+K394+K396+K425</f>
        <v>243.18540782099</v>
      </c>
      <c r="L429" s="36" t="n">
        <f aca="false">L411+L394+L396+L425</f>
        <v>302.667595209396</v>
      </c>
    </row>
    <row r="430" customFormat="false" ht="15" hidden="false" customHeight="false" outlineLevel="0" collapsed="false">
      <c r="A430" s="5" t="s">
        <v>317</v>
      </c>
      <c r="B430" s="12" t="str">
        <f aca="false">IF(AND(B$43&gt;=1,(B421+B422+B423)&gt;0.001),B429/(B421+B422+B423),"")</f>
        <v/>
      </c>
      <c r="C430" s="12" t="n">
        <f aca="false">IF(AND(C$43&gt;=1,(C421+C422+C423)&gt;0.001),C429/(C421+C422+C423),"")</f>
        <v>6.56032061052405</v>
      </c>
      <c r="D430" s="12" t="n">
        <f aca="false">IF(AND(D$43&gt;=1,(D421+D422+D423)&gt;0.001),D429/(D421+D422+D423),"")</f>
        <v>2.35516189854859</v>
      </c>
      <c r="E430" s="12" t="n">
        <f aca="false">IF(AND(E$43&gt;=1,(E421+E422+E423)&gt;0.001),E429/(E421+E422+E423),"")</f>
        <v>1.45117166916285</v>
      </c>
      <c r="F430" s="12" t="n">
        <f aca="false">IF(AND(F$43&gt;=1,(F421+F422+F423)&gt;0.001),F429/(F421+F422+F423),"")</f>
        <v>1.61172836393394</v>
      </c>
      <c r="G430" s="12" t="n">
        <f aca="false">IF(AND(G$43&gt;=1,(G421+G422+G423)&gt;0.001),G429/(G421+G422+G423),"")</f>
        <v>1.64380867947578</v>
      </c>
      <c r="H430" s="12" t="n">
        <f aca="false">IF(AND(H$43&gt;=1,(H421+H422+H423)&gt;0.001),H429/(H421+H422+H423),"")</f>
        <v>1.80096587150689</v>
      </c>
      <c r="I430" s="12" t="n">
        <f aca="false">IF(AND(I$43&gt;=1,(I421+I422+I423)&gt;0.001),I429/(I421+I422+I423),"")</f>
        <v>2.3251148965681</v>
      </c>
      <c r="J430" s="12" t="n">
        <f aca="false">IF(AND(J$43&gt;=1,(J421+J422+J423)&gt;0.001),J429/(J421+J422+J423),"")</f>
        <v>4.7360930701238</v>
      </c>
      <c r="K430" s="12" t="str">
        <f aca="false">IF(AND(K$43&gt;=1,(K421+K422+K423)&gt;0.001),K429/(K421+K422+K423),"")</f>
        <v/>
      </c>
      <c r="L430" s="12" t="str">
        <f aca="false">IF(AND(L$43&gt;=1,(L421+L422+L423)&gt;0.001),L429/(L421+L422+L423),"")</f>
        <v/>
      </c>
    </row>
    <row r="432" customFormat="false" ht="15" hidden="false" customHeight="false" outlineLevel="0" collapsed="false">
      <c r="A432" s="66" t="s">
        <v>635</v>
      </c>
      <c r="B432" s="67"/>
      <c r="C432" s="67"/>
      <c r="D432" s="67"/>
      <c r="E432" s="67"/>
      <c r="F432" s="67"/>
      <c r="G432" s="67"/>
      <c r="H432" s="67"/>
      <c r="I432" s="67"/>
      <c r="J432" s="67"/>
      <c r="K432" s="67"/>
      <c r="L432" s="67"/>
    </row>
    <row r="433" customFormat="false" ht="15" hidden="false" customHeight="false" outlineLevel="0" collapsed="false">
      <c r="A433" s="9" t="s">
        <v>281</v>
      </c>
      <c r="B433" s="33" t="n">
        <f aca="false">CHOOSE($K$15,Entorno!B$7,Entorno!B$8,Entorno!B$9)</f>
        <v>0.06</v>
      </c>
      <c r="C433" s="33" t="n">
        <f aca="false">CHOOSE($K$15,Entorno!C$7,Entorno!C$8,Entorno!C$9)</f>
        <v>0.05</v>
      </c>
      <c r="D433" s="33" t="n">
        <f aca="false">CHOOSE($K$15,Entorno!D$7,Entorno!D$8,Entorno!D$9)</f>
        <v>0.045</v>
      </c>
      <c r="E433" s="33" t="n">
        <f aca="false">CHOOSE($K$15,Entorno!E$7,Entorno!E$8,Entorno!E$9)</f>
        <v>0.04</v>
      </c>
      <c r="F433" s="33" t="n">
        <f aca="false">CHOOSE($K$15,Entorno!F$7,Entorno!F$8,Entorno!F$9)</f>
        <v>0.04</v>
      </c>
      <c r="G433" s="33" t="n">
        <f aca="false">CHOOSE($K$15,Entorno!G$7,Entorno!G$8,Entorno!G$9)</f>
        <v>0.04</v>
      </c>
      <c r="H433" s="33" t="n">
        <f aca="false">CHOOSE($K$15,Entorno!H$7,Entorno!H$8,Entorno!H$9)</f>
        <v>0.04</v>
      </c>
      <c r="I433" s="33" t="n">
        <f aca="false">CHOOSE($K$15,Entorno!I$7,Entorno!I$8,Entorno!I$9)</f>
        <v>0.04</v>
      </c>
      <c r="J433" s="33" t="n">
        <f aca="false">CHOOSE($K$15,Entorno!J$7,Entorno!J$8,Entorno!J$9)</f>
        <v>0.04</v>
      </c>
      <c r="K433" s="33" t="n">
        <f aca="false">CHOOSE($K$15,Entorno!K$7,Entorno!K$8,Entorno!K$9)</f>
        <v>0.04</v>
      </c>
      <c r="L433" s="33" t="n">
        <f aca="false">CHOOSE($K$15,Entorno!L$7,Entorno!L$8,Entorno!L$9)</f>
        <v>0.04</v>
      </c>
    </row>
    <row r="434" customFormat="false" ht="15" hidden="false" customHeight="false" outlineLevel="0" collapsed="false">
      <c r="A434" s="9" t="s">
        <v>282</v>
      </c>
      <c r="B434" s="34" t="n">
        <f aca="false">1+B433</f>
        <v>1.06</v>
      </c>
      <c r="C434" s="34" t="n">
        <f aca="false">B434*(1+C433)</f>
        <v>1.113</v>
      </c>
      <c r="D434" s="34" t="n">
        <f aca="false">C434*(1+D433)</f>
        <v>1.163085</v>
      </c>
      <c r="E434" s="34" t="n">
        <f aca="false">D434*(1+E433)</f>
        <v>1.2096084</v>
      </c>
      <c r="F434" s="34" t="n">
        <f aca="false">E434*(1+F433)</f>
        <v>1.257992736</v>
      </c>
      <c r="G434" s="34" t="n">
        <f aca="false">F434*(1+G433)</f>
        <v>1.30831244544</v>
      </c>
      <c r="H434" s="34" t="n">
        <f aca="false">G434*(1+H433)</f>
        <v>1.3606449432576</v>
      </c>
      <c r="I434" s="34" t="n">
        <f aca="false">H434*(1+I433)</f>
        <v>1.4150707409879</v>
      </c>
      <c r="J434" s="34" t="n">
        <f aca="false">I434*(1+J433)</f>
        <v>1.47167357062742</v>
      </c>
      <c r="K434" s="34" t="n">
        <f aca="false">J434*(1+K433)</f>
        <v>1.53054051345252</v>
      </c>
      <c r="L434" s="34" t="n">
        <f aca="false">K434*(1+L433)</f>
        <v>1.59176213399062</v>
      </c>
    </row>
    <row r="435" customFormat="false" ht="15" hidden="false" customHeight="false" outlineLevel="0" collapsed="false">
      <c r="A435" s="9" t="s">
        <v>283</v>
      </c>
      <c r="B435" s="34" t="n">
        <f aca="false">(1+$K$16)/(1+B433)</f>
        <v>1.02358490566038</v>
      </c>
      <c r="C435" s="34" t="n">
        <f aca="false">B435*(1+Entorno!$B$13)</f>
        <v>1.02870283018868</v>
      </c>
      <c r="D435" s="34" t="n">
        <f aca="false">C435*(1+Entorno!$B$13)</f>
        <v>1.03384634433962</v>
      </c>
      <c r="E435" s="34" t="n">
        <f aca="false">D435*(1+Entorno!$B$13)</f>
        <v>1.03901557606132</v>
      </c>
      <c r="F435" s="34" t="n">
        <f aca="false">E435*(1+Entorno!$B$13)</f>
        <v>1.04421065394163</v>
      </c>
      <c r="G435" s="34" t="n">
        <f aca="false">F435*(1+Entorno!$B$13)</f>
        <v>1.04943170721133</v>
      </c>
      <c r="H435" s="34" t="n">
        <f aca="false">G435*(1+Entorno!$B$13)</f>
        <v>1.05467886574739</v>
      </c>
      <c r="I435" s="34" t="n">
        <f aca="false">H435*(1+Entorno!$B$13)</f>
        <v>1.05995226007613</v>
      </c>
      <c r="J435" s="34" t="n">
        <f aca="false">I435*(1+Entorno!$B$13)</f>
        <v>1.06525202137651</v>
      </c>
      <c r="K435" s="34" t="n">
        <f aca="false">J435*(1+Entorno!$B$13)</f>
        <v>1.07057828148339</v>
      </c>
      <c r="L435" s="34" t="n">
        <f aca="false">K435*(1+Entorno!$B$13)</f>
        <v>1.07593117289081</v>
      </c>
    </row>
    <row r="436" customFormat="false" ht="15" hidden="false" customHeight="false" outlineLevel="0" collapsed="false">
      <c r="A436" s="9" t="s">
        <v>284</v>
      </c>
      <c r="B436" s="34" t="n">
        <f aca="false">1/B434</f>
        <v>0.943396226415094</v>
      </c>
      <c r="C436" s="34" t="n">
        <f aca="false">1/C434</f>
        <v>0.898472596585804</v>
      </c>
      <c r="D436" s="34" t="n">
        <f aca="false">1/D434</f>
        <v>0.859782389077324</v>
      </c>
      <c r="E436" s="34" t="n">
        <f aca="false">1/E434</f>
        <v>0.826713835651273</v>
      </c>
      <c r="F436" s="34" t="n">
        <f aca="false">1/F434</f>
        <v>0.794917149664686</v>
      </c>
      <c r="G436" s="34" t="n">
        <f aca="false">1/G434</f>
        <v>0.764343413139121</v>
      </c>
      <c r="H436" s="34" t="n">
        <f aca="false">1/H434</f>
        <v>0.734945589556847</v>
      </c>
      <c r="I436" s="34" t="n">
        <f aca="false">1/I434</f>
        <v>0.706678451496968</v>
      </c>
      <c r="J436" s="34" t="n">
        <f aca="false">1/J434</f>
        <v>0.679498511054777</v>
      </c>
      <c r="K436" s="34" t="n">
        <f aca="false">1/K434</f>
        <v>0.653363952937286</v>
      </c>
      <c r="L436" s="34" t="n">
        <f aca="false">1/L434</f>
        <v>0.628234570132006</v>
      </c>
    </row>
    <row r="437" customFormat="false" ht="15" hidden="false" customHeight="false" outlineLevel="0" collapsed="false">
      <c r="A437" s="6" t="s">
        <v>202</v>
      </c>
      <c r="B437" s="35" t="n">
        <f aca="false">IF(B$43=0,Quesería!$F$80,IF(B$43=1,Quesería!$F$81*$K$21,0))*$K$11</f>
        <v>622.243624322401</v>
      </c>
      <c r="C437" s="35" t="n">
        <f aca="false">IF(C$43=0,Quesería!$F$80,IF(C$43=1,Quesería!$F$81*$K$21,0))*$K$11</f>
        <v>645.270088578622</v>
      </c>
      <c r="D437" s="35" t="n">
        <f aca="false">IF(D$43=0,Quesería!$F$80,IF(D$43=1,Quesería!$F$81*$K$21,0))*$K$11</f>
        <v>0</v>
      </c>
      <c r="E437" s="35" t="n">
        <f aca="false">IF(E$43=0,Quesería!$F$80,IF(E$43=1,Quesería!$F$81*$K$21,0))*$K$11</f>
        <v>0</v>
      </c>
      <c r="F437" s="35" t="n">
        <f aca="false">IF(F$43=0,Quesería!$F$80,IF(F$43=1,Quesería!$F$81*$K$21,0))*$K$11</f>
        <v>0</v>
      </c>
      <c r="G437" s="35" t="n">
        <f aca="false">IF(G$43=0,Quesería!$F$80,IF(G$43=1,Quesería!$F$81*$K$21,0))*$K$11</f>
        <v>0</v>
      </c>
      <c r="H437" s="35" t="n">
        <f aca="false">IF(H$43=0,Quesería!$F$80,IF(H$43=1,Quesería!$F$81*$K$21,0))*$K$11</f>
        <v>0</v>
      </c>
      <c r="I437" s="35" t="n">
        <f aca="false">IF(I$43=0,Quesería!$F$80,IF(I$43=1,Quesería!$F$81*$K$21,0))*$K$11</f>
        <v>0</v>
      </c>
      <c r="J437" s="35" t="n">
        <f aca="false">IF(J$43=0,Quesería!$F$80,IF(J$43=1,Quesería!$F$81*$K$21,0))*$K$11</f>
        <v>0</v>
      </c>
      <c r="K437" s="35" t="n">
        <f aca="false">IF(K$43=0,Quesería!$F$80,IF(K$43=1,Quesería!$F$81*$K$21,0))*$K$11</f>
        <v>0</v>
      </c>
      <c r="L437" s="35" t="n">
        <f aca="false">IF(L$43=0,Quesería!$F$80,IF(L$43=1,Quesería!$F$81*$K$21,0))*$K$11</f>
        <v>0</v>
      </c>
    </row>
    <row r="438" customFormat="false" ht="15" hidden="false" customHeight="false" outlineLevel="0" collapsed="false">
      <c r="A438" s="6" t="s">
        <v>285</v>
      </c>
      <c r="B438" s="35" t="n">
        <f aca="false">IF(B$43=5,Quesería!$F$87,IF(B$43=6,Quesería!$F$88,0))*$K$11</f>
        <v>0</v>
      </c>
      <c r="C438" s="35" t="n">
        <f aca="false">IF(C$43=5,Quesería!$F$87,IF(C$43=6,Quesería!$F$88,0))*$K$11</f>
        <v>0</v>
      </c>
      <c r="D438" s="35" t="n">
        <f aca="false">IF(D$43=5,Quesería!$F$87,IF(D$43=6,Quesería!$F$88,0))*$K$11</f>
        <v>0</v>
      </c>
      <c r="E438" s="35" t="n">
        <f aca="false">IF(E$43=5,Quesería!$F$87,IF(E$43=6,Quesería!$F$88,0))*$K$11</f>
        <v>0</v>
      </c>
      <c r="F438" s="35" t="n">
        <f aca="false">IF(F$43=5,Quesería!$F$87,IF(F$43=6,Quesería!$F$88,0))*$K$11</f>
        <v>0</v>
      </c>
      <c r="G438" s="35" t="n">
        <f aca="false">IF(G$43=5,Quesería!$F$87,IF(G$43=6,Quesería!$F$88,0))*$K$11</f>
        <v>26.6666666666667</v>
      </c>
      <c r="H438" s="35" t="n">
        <f aca="false">IF(H$43=5,Quesería!$F$87,IF(H$43=6,Quesería!$F$88,0))*$K$11</f>
        <v>35.3045530566667</v>
      </c>
      <c r="I438" s="35" t="n">
        <f aca="false">IF(I$43=5,Quesería!$F$87,IF(I$43=6,Quesería!$F$88,0))*$K$11</f>
        <v>0</v>
      </c>
      <c r="J438" s="35" t="n">
        <f aca="false">IF(J$43=5,Quesería!$F$87,IF(J$43=6,Quesería!$F$88,0))*$K$11</f>
        <v>0</v>
      </c>
      <c r="K438" s="35" t="n">
        <f aca="false">IF(K$43=5,Quesería!$F$87,IF(K$43=6,Quesería!$F$88,0))*$K$11</f>
        <v>0</v>
      </c>
      <c r="L438" s="35" t="n">
        <f aca="false">IF(L$43=5,Quesería!$F$87,IF(L$43=6,Quesería!$F$88,0))*$K$11</f>
        <v>0</v>
      </c>
    </row>
    <row r="439" customFormat="false" ht="15" hidden="false" customHeight="false" outlineLevel="0" collapsed="false">
      <c r="A439" s="6" t="s">
        <v>286</v>
      </c>
      <c r="B439" s="35" t="n">
        <f aca="false">Quesería!$B$36*(IF(B$43=0,SUMPRODUCT((Quesería!$C$62:$C$77=0)*(Quesería!$H$62:$H$77&gt;0)*(Quesería!$J$62:$J$77&gt;0)*Quesería!$F$62:$F$77*(1+Quesería!$I$62:$I$77)),IF(B$43=1,SUMPRODUCT((Quesería!$C$62:$C$77=1)*(Quesería!$H$62:$H$77&gt;0)*(Quesería!$J$62:$J$77&gt;0)*Quesería!$F$62:$F$77*(1+Quesería!$I$62:$I$77))*$K$21,0))*$K$11+B438)</f>
        <v>99.347875488093</v>
      </c>
      <c r="C439" s="35" t="n">
        <f aca="false">Quesería!$B$36*(IF(C$43=0,SUMPRODUCT((Quesería!$C$62:$C$77=0)*(Quesería!$H$62:$H$77&gt;0)*(Quesería!$J$62:$J$77&gt;0)*Quesería!$F$62:$F$77*(1+Quesería!$I$62:$I$77)),IF(C$43=1,SUMPRODUCT((Quesería!$C$62:$C$77=1)*(Quesería!$H$62:$H$77&gt;0)*(Quesería!$J$62:$J$77&gt;0)*Quesería!$F$62:$F$77*(1+Quesería!$I$62:$I$77))*$K$21,0))*$K$11+C438)</f>
        <v>122.601316829938</v>
      </c>
      <c r="D439" s="35" t="n">
        <f aca="false">Quesería!$B$36*(IF(D$43=0,SUMPRODUCT((Quesería!$C$62:$C$77=0)*(Quesería!$H$62:$H$77&gt;0)*(Quesería!$J$62:$J$77&gt;0)*Quesería!$F$62:$F$77*(1+Quesería!$I$62:$I$77)),IF(D$43=1,SUMPRODUCT((Quesería!$C$62:$C$77=1)*(Quesería!$H$62:$H$77&gt;0)*(Quesería!$J$62:$J$77&gt;0)*Quesería!$F$62:$F$77*(1+Quesería!$I$62:$I$77))*$K$21,0))*$K$11+D438)</f>
        <v>0</v>
      </c>
      <c r="E439" s="35" t="n">
        <f aca="false">Quesería!$B$36*(IF(E$43=0,SUMPRODUCT((Quesería!$C$62:$C$77=0)*(Quesería!$H$62:$H$77&gt;0)*(Quesería!$J$62:$J$77&gt;0)*Quesería!$F$62:$F$77*(1+Quesería!$I$62:$I$77)),IF(E$43=1,SUMPRODUCT((Quesería!$C$62:$C$77=1)*(Quesería!$H$62:$H$77&gt;0)*(Quesería!$J$62:$J$77&gt;0)*Quesería!$F$62:$F$77*(1+Quesería!$I$62:$I$77))*$K$21,0))*$K$11+E438)</f>
        <v>0</v>
      </c>
      <c r="F439" s="35" t="n">
        <f aca="false">Quesería!$B$36*(IF(F$43=0,SUMPRODUCT((Quesería!$C$62:$C$77=0)*(Quesería!$H$62:$H$77&gt;0)*(Quesería!$J$62:$J$77&gt;0)*Quesería!$F$62:$F$77*(1+Quesería!$I$62:$I$77)),IF(F$43=1,SUMPRODUCT((Quesería!$C$62:$C$77=1)*(Quesería!$H$62:$H$77&gt;0)*(Quesería!$J$62:$J$77&gt;0)*Quesería!$F$62:$F$77*(1+Quesería!$I$62:$I$77))*$K$21,0))*$K$11+F438)</f>
        <v>0</v>
      </c>
      <c r="G439" s="35" t="n">
        <f aca="false">Quesería!$B$36*(IF(G$43=0,SUMPRODUCT((Quesería!$C$62:$C$77=0)*(Quesería!$H$62:$H$77&gt;0)*(Quesería!$J$62:$J$77&gt;0)*Quesería!$F$62:$F$77*(1+Quesería!$I$62:$I$77)),IF(G$43=1,SUMPRODUCT((Quesería!$C$62:$C$77=1)*(Quesería!$H$62:$H$77&gt;0)*(Quesería!$J$62:$J$77&gt;0)*Quesería!$F$62:$F$77*(1+Quesería!$I$62:$I$77))*$K$21,0))*$K$11+G438)</f>
        <v>5.06666666666667</v>
      </c>
      <c r="H439" s="35" t="n">
        <f aca="false">Quesería!$B$36*(IF(H$43=0,SUMPRODUCT((Quesería!$C$62:$C$77=0)*(Quesería!$H$62:$H$77&gt;0)*(Quesería!$J$62:$J$77&gt;0)*Quesería!$F$62:$F$77*(1+Quesería!$I$62:$I$77)),IF(H$43=1,SUMPRODUCT((Quesería!$C$62:$C$77=1)*(Quesería!$H$62:$H$77&gt;0)*(Quesería!$J$62:$J$77&gt;0)*Quesería!$F$62:$F$77*(1+Quesería!$I$62:$I$77))*$K$21,0))*$K$11+H438)</f>
        <v>6.70786508076667</v>
      </c>
      <c r="I439" s="35" t="n">
        <f aca="false">Quesería!$B$36*(IF(I$43=0,SUMPRODUCT((Quesería!$C$62:$C$77=0)*(Quesería!$H$62:$H$77&gt;0)*(Quesería!$J$62:$J$77&gt;0)*Quesería!$F$62:$F$77*(1+Quesería!$I$62:$I$77)),IF(I$43=1,SUMPRODUCT((Quesería!$C$62:$C$77=1)*(Quesería!$H$62:$H$77&gt;0)*(Quesería!$J$62:$J$77&gt;0)*Quesería!$F$62:$F$77*(1+Quesería!$I$62:$I$77))*$K$21,0))*$K$11+I438)</f>
        <v>0</v>
      </c>
      <c r="J439" s="35" t="n">
        <f aca="false">Quesería!$B$36*(IF(J$43=0,SUMPRODUCT((Quesería!$C$62:$C$77=0)*(Quesería!$H$62:$H$77&gt;0)*(Quesería!$J$62:$J$77&gt;0)*Quesería!$F$62:$F$77*(1+Quesería!$I$62:$I$77)),IF(J$43=1,SUMPRODUCT((Quesería!$C$62:$C$77=1)*(Quesería!$H$62:$H$77&gt;0)*(Quesería!$J$62:$J$77&gt;0)*Quesería!$F$62:$F$77*(1+Quesería!$I$62:$I$77))*$K$21,0))*$K$11+J438)</f>
        <v>0</v>
      </c>
      <c r="K439" s="35" t="n">
        <f aca="false">Quesería!$B$36*(IF(K$43=0,SUMPRODUCT((Quesería!$C$62:$C$77=0)*(Quesería!$H$62:$H$77&gt;0)*(Quesería!$J$62:$J$77&gt;0)*Quesería!$F$62:$F$77*(1+Quesería!$I$62:$I$77)),IF(K$43=1,SUMPRODUCT((Quesería!$C$62:$C$77=1)*(Quesería!$H$62:$H$77&gt;0)*(Quesería!$J$62:$J$77&gt;0)*Quesería!$F$62:$F$77*(1+Quesería!$I$62:$I$77))*$K$21,0))*$K$11+K438)</f>
        <v>0</v>
      </c>
      <c r="L439" s="35" t="n">
        <f aca="false">Quesería!$B$36*(IF(L$43=0,SUMPRODUCT((Quesería!$C$62:$C$77=0)*(Quesería!$H$62:$H$77&gt;0)*(Quesería!$J$62:$J$77&gt;0)*Quesería!$F$62:$F$77*(1+Quesería!$I$62:$I$77)),IF(L$43=1,SUMPRODUCT((Quesería!$C$62:$C$77=1)*(Quesería!$H$62:$H$77&gt;0)*(Quesería!$J$62:$J$77&gt;0)*Quesería!$F$62:$F$77*(1+Quesería!$I$62:$I$77))*$K$21,0))*$K$11+L438)</f>
        <v>0</v>
      </c>
    </row>
    <row r="440" customFormat="false" ht="15" hidden="false" customHeight="false" outlineLevel="0" collapsed="false">
      <c r="A440" s="6" t="s">
        <v>260</v>
      </c>
      <c r="B440" s="35" t="n">
        <f aca="false">IF(B$43=0,($K$22*Quesería!$J$109+(1-$K$22)*Quesería!$E$105)*Quesería!$B$12*Quesería!$B$13/12*$K$23,(($K$22*Quesería!$J$109+(1-$K$22)*Quesería!$E$105)+($K$22*Quesería!$J$92+(1-$K$22)*Quesería!$E$92)*(B435-1))*IF(B$43=1,Quesería!$B$12,1))*$K$10</f>
        <v>45.6373732102639</v>
      </c>
      <c r="C440" s="35" t="n">
        <f aca="false">IF(C$43=0,($K$22*Quesería!$J$109+(1-$K$22)*Quesería!$E$105)*Quesería!$B$12*Quesería!$B$13/12*$K$23,(($K$22*Quesería!$J$109+(1-$K$22)*Quesería!$E$105)+($K$22*Quesería!$J$92+(1-$K$22)*Quesería!$E$92)*(C435-1))*IF(C$43=1,Quesería!$B$12,1))*$K$10</f>
        <v>137.165278593056</v>
      </c>
      <c r="D440" s="35" t="n">
        <f aca="false">IF(D$43=0,($K$22*Quesería!$J$109+(1-$K$22)*Quesería!$E$105)*Quesería!$B$12*Quesería!$B$13/12*$K$23,(($K$22*Quesería!$J$109+(1-$K$22)*Quesería!$E$105)+($K$22*Quesería!$J$92+(1-$K$22)*Quesería!$E$92)*(D435-1))*IF(D$43=1,Quesería!$B$12,1))*$K$10</f>
        <v>182.947525850489</v>
      </c>
      <c r="E440" s="35" t="n">
        <f aca="false">IF(E$43=0,($K$22*Quesería!$J$109+(1-$K$22)*Quesería!$E$105)*Quesería!$B$12*Quesería!$B$13/12*$K$23,(($K$22*Quesería!$J$109+(1-$K$22)*Quesería!$E$105)+($K$22*Quesería!$J$92+(1-$K$22)*Quesería!$E$92)*(E435-1))*IF(E$43=1,Quesería!$B$12,1))*$K$10</f>
        <v>183.008316015537</v>
      </c>
      <c r="F440" s="35" t="n">
        <f aca="false">IF(F$43=0,($K$22*Quesería!$J$109+(1-$K$22)*Quesería!$E$105)*Quesería!$B$12*Quesería!$B$13/12*$K$23,(($K$22*Quesería!$J$109+(1-$K$22)*Quesería!$E$105)+($K$22*Quesería!$J$92+(1-$K$22)*Quesería!$E$92)*(F435-1))*IF(F$43=1,Quesería!$B$12,1))*$K$10</f>
        <v>183.069410131409</v>
      </c>
      <c r="G440" s="35" t="n">
        <f aca="false">IF(G$43=0,($K$22*Quesería!$J$109+(1-$K$22)*Quesería!$E$105)*Quesería!$B$12*Quesería!$B$13/12*$K$23,(($K$22*Quesería!$J$109+(1-$K$22)*Quesería!$E$105)+($K$22*Quesería!$J$92+(1-$K$22)*Quesería!$E$92)*(G435-1))*IF(G$43=1,Quesería!$B$12,1))*$K$10</f>
        <v>183.130809717861</v>
      </c>
      <c r="H440" s="35" t="n">
        <f aca="false">IF(H$43=0,($K$22*Quesería!$J$109+(1-$K$22)*Quesería!$E$105)*Quesería!$B$12*Quesería!$B$13/12*$K$23,(($K$22*Quesería!$J$109+(1-$K$22)*Quesería!$E$105)+($K$22*Quesería!$J$92+(1-$K$22)*Quesería!$E$92)*(H435-1))*IF(H$43=1,Quesería!$B$12,1))*$K$10</f>
        <v>183.192516302245</v>
      </c>
      <c r="I440" s="35" t="n">
        <f aca="false">IF(I$43=0,($K$22*Quesería!$J$109+(1-$K$22)*Quesería!$E$105)*Quesería!$B$12*Quesería!$B$13/12*$K$23,(($K$22*Quesería!$J$109+(1-$K$22)*Quesería!$E$105)+($K$22*Quesería!$J$92+(1-$K$22)*Quesería!$E$92)*(I435-1))*IF(I$43=1,Quesería!$B$12,1))*$K$10</f>
        <v>183.254531419551</v>
      </c>
      <c r="J440" s="35" t="n">
        <f aca="false">IF(J$43=0,($K$22*Quesería!$J$109+(1-$K$22)*Quesería!$E$105)*Quesería!$B$12*Quesería!$B$13/12*$K$23,(($K$22*Quesería!$J$109+(1-$K$22)*Quesería!$E$105)+($K$22*Quesería!$J$92+(1-$K$22)*Quesería!$E$92)*(J435-1))*IF(J$43=1,Quesería!$B$12,1))*$K$10</f>
        <v>183.316856612443</v>
      </c>
      <c r="K440" s="35" t="n">
        <f aca="false">IF(K$43=0,($K$22*Quesería!$J$109+(1-$K$22)*Quesería!$E$105)*Quesería!$B$12*Quesería!$B$13/12*$K$23,(($K$22*Quesería!$J$109+(1-$K$22)*Quesería!$E$105)+($K$22*Quesería!$J$92+(1-$K$22)*Quesería!$E$92)*(K435-1))*IF(K$43=1,Quesería!$B$12,1))*$K$10</f>
        <v>183.3794934313</v>
      </c>
      <c r="L440" s="35" t="n">
        <f aca="false">IF(L$43=0,($K$22*Quesería!$J$109+(1-$K$22)*Quesería!$E$105)*Quesería!$B$12*Quesería!$B$13/12*$K$23,(($K$22*Quesería!$J$109+(1-$K$22)*Quesería!$E$105)+($K$22*Quesería!$J$92+(1-$K$22)*Quesería!$E$92)*(L435-1))*IF(L$43=1,Quesería!$B$12,1))*$K$10</f>
        <v>183.442443434251</v>
      </c>
    </row>
    <row r="441" customFormat="false" ht="15" hidden="false" customHeight="false" outlineLevel="0" collapsed="false">
      <c r="A441" s="6" t="s">
        <v>261</v>
      </c>
      <c r="B441" s="35" t="n">
        <f aca="false">IF(B$43&lt;=1,0,((($K$22*Quesería!$J$110+(1-$K$22)*Quesería!$E$106)-($K$22*Quesería!$J$99+(1-$K$22)*Quesería!$E$99)+$K$6*($K$22*Quesería!$J$99+(1-$K$22)*Quesería!$E$99)-(1-$K$9)*($K$22*Quesería!$J$102+(1-$K$22)*Quesería!$E$102))+($K$6*($K$22*Quesería!$J$99+(1-$K$22)*Quesería!$E$99)+$K$9*($K$22*Quesería!$J$102+(1-$K$22)*Quesería!$E$102))*(B435-1))*IF(B$43=2,Quesería!$B$12,1)+IF(B$43=2,Quesería!$B$14*$K$9*($K$22*Quesería!$J$102+(1-$K$22)*Quesería!$E$102)*B435,0))*$K$10*$K$21</f>
        <v>0</v>
      </c>
      <c r="C441" s="35" t="n">
        <f aca="false">IF(C$43&lt;=1,0,((($K$22*Quesería!$J$110+(1-$K$22)*Quesería!$E$106)-($K$22*Quesería!$J$99+(1-$K$22)*Quesería!$E$99)+$K$6*($K$22*Quesería!$J$99+(1-$K$22)*Quesería!$E$99)-(1-$K$9)*($K$22*Quesería!$J$102+(1-$K$22)*Quesería!$E$102))+($K$6*($K$22*Quesería!$J$99+(1-$K$22)*Quesería!$E$99)+$K$9*($K$22*Quesería!$J$102+(1-$K$22)*Quesería!$E$102))*(C435-1))*IF(C$43=2,Quesería!$B$12,1)+IF(C$43=2,Quesería!$B$14*$K$9*($K$22*Quesería!$J$102+(1-$K$22)*Quesería!$E$102)*C435,0))*$K$10*$K$21</f>
        <v>0</v>
      </c>
      <c r="D441" s="35" t="n">
        <f aca="false">IF(D$43&lt;=1,0,((($K$22*Quesería!$J$110+(1-$K$22)*Quesería!$E$106)-($K$22*Quesería!$J$99+(1-$K$22)*Quesería!$E$99)+$K$6*($K$22*Quesería!$J$99+(1-$K$22)*Quesería!$E$99)-(1-$K$9)*($K$22*Quesería!$J$102+(1-$K$22)*Quesería!$E$102))+($K$6*($K$22*Quesería!$J$99+(1-$K$22)*Quesería!$E$99)+$K$9*($K$22*Quesería!$J$102+(1-$K$22)*Quesería!$E$102))*(D435-1))*IF(D$43=2,Quesería!$B$12,1)+IF(D$43=2,Quesería!$B$14*$K$9*($K$22*Quesería!$J$102+(1-$K$22)*Quesería!$E$102)*D435,0))*$K$10*$K$21</f>
        <v>197.837804186257</v>
      </c>
      <c r="E441" s="35" t="n">
        <f aca="false">IF(E$43&lt;=1,0,((($K$22*Quesería!$J$110+(1-$K$22)*Quesería!$E$106)-($K$22*Quesería!$J$99+(1-$K$22)*Quesería!$E$99)+$K$6*($K$22*Quesería!$J$99+(1-$K$22)*Quesería!$E$99)-(1-$K$9)*($K$22*Quesería!$J$102+(1-$K$22)*Quesería!$E$102))+($K$6*($K$22*Quesería!$J$99+(1-$K$22)*Quesería!$E$99)+$K$9*($K$22*Quesería!$J$102+(1-$K$22)*Quesería!$E$102))*(E435-1))*IF(E$43=2,Quesería!$B$12,1)+IF(E$43=2,Quesería!$B$14*$K$9*($K$22*Quesería!$J$102+(1-$K$22)*Quesería!$E$102)*E435,0))*$K$10*$K$21</f>
        <v>234.441939047038</v>
      </c>
      <c r="F441" s="35" t="n">
        <f aca="false">IF(F$43&lt;=1,0,((($K$22*Quesería!$J$110+(1-$K$22)*Quesería!$E$106)-($K$22*Quesería!$J$99+(1-$K$22)*Quesería!$E$99)+$K$6*($K$22*Quesería!$J$99+(1-$K$22)*Quesería!$E$99)-(1-$K$9)*($K$22*Quesería!$J$102+(1-$K$22)*Quesería!$E$102))+($K$6*($K$22*Quesería!$J$99+(1-$K$22)*Quesería!$E$99)+$K$9*($K$22*Quesería!$J$102+(1-$K$22)*Quesería!$E$102))*(F435-1))*IF(F$43=2,Quesería!$B$12,1)+IF(F$43=2,Quesería!$B$14*$K$9*($K$22*Quesería!$J$102+(1-$K$22)*Quesería!$E$102)*F435,0))*$K$10*$K$21</f>
        <v>234.877078770292</v>
      </c>
      <c r="G441" s="35" t="n">
        <f aca="false">IF(G$43&lt;=1,0,((($K$22*Quesería!$J$110+(1-$K$22)*Quesería!$E$106)-($K$22*Quesería!$J$99+(1-$K$22)*Quesería!$E$99)+$K$6*($K$22*Quesería!$J$99+(1-$K$22)*Quesería!$E$99)-(1-$K$9)*($K$22*Quesería!$J$102+(1-$K$22)*Quesería!$E$102))+($K$6*($K$22*Quesería!$J$99+(1-$K$22)*Quesería!$E$99)+$K$9*($K$22*Quesería!$J$102+(1-$K$22)*Quesería!$E$102))*(G435-1))*IF(G$43=2,Quesería!$B$12,1)+IF(G$43=2,Quesería!$B$14*$K$9*($K$22*Quesería!$J$102+(1-$K$22)*Quesería!$E$102)*G435,0))*$K$10*$K$21</f>
        <v>235.314394192163</v>
      </c>
      <c r="H441" s="35" t="n">
        <f aca="false">IF(H$43&lt;=1,0,((($K$22*Quesería!$J$110+(1-$K$22)*Quesería!$E$106)-($K$22*Quesería!$J$99+(1-$K$22)*Quesería!$E$99)+$K$6*($K$22*Quesería!$J$99+(1-$K$22)*Quesería!$E$99)-(1-$K$9)*($K$22*Quesería!$J$102+(1-$K$22)*Quesería!$E$102))+($K$6*($K$22*Quesería!$J$99+(1-$K$22)*Quesería!$E$99)+$K$9*($K$22*Quesería!$J$102+(1-$K$22)*Quesería!$E$102))*(H435-1))*IF(H$43=2,Quesería!$B$12,1)+IF(H$43=2,Quesería!$B$14*$K$9*($K$22*Quesería!$J$102+(1-$K$22)*Quesería!$E$102)*H435,0))*$K$10*$K$21</f>
        <v>235.753896191143</v>
      </c>
      <c r="I441" s="35" t="n">
        <f aca="false">IF(I$43&lt;=1,0,((($K$22*Quesería!$J$110+(1-$K$22)*Quesería!$E$106)-($K$22*Quesería!$J$99+(1-$K$22)*Quesería!$E$99)+$K$6*($K$22*Quesería!$J$99+(1-$K$22)*Quesería!$E$99)-(1-$K$9)*($K$22*Quesería!$J$102+(1-$K$22)*Quesería!$E$102))+($K$6*($K$22*Quesería!$J$99+(1-$K$22)*Quesería!$E$99)+$K$9*($K$22*Quesería!$J$102+(1-$K$22)*Quesería!$E$102))*(I435-1))*IF(I$43=2,Quesería!$B$12,1)+IF(I$43=2,Quesería!$B$14*$K$9*($K$22*Quesería!$J$102+(1-$K$22)*Quesería!$E$102)*I435,0))*$K$10*$K$21</f>
        <v>236.195595700118</v>
      </c>
      <c r="J441" s="35" t="n">
        <f aca="false">IF(J$43&lt;=1,0,((($K$22*Quesería!$J$110+(1-$K$22)*Quesería!$E$106)-($K$22*Quesería!$J$99+(1-$K$22)*Quesería!$E$99)+$K$6*($K$22*Quesería!$J$99+(1-$K$22)*Quesería!$E$99)-(1-$K$9)*($K$22*Quesería!$J$102+(1-$K$22)*Quesería!$E$102))+($K$6*($K$22*Quesería!$J$99+(1-$K$22)*Quesería!$E$99)+$K$9*($K$22*Quesería!$J$102+(1-$K$22)*Quesería!$E$102))*(J435-1))*IF(J$43=2,Quesería!$B$12,1)+IF(J$43=2,Quesería!$B$14*$K$9*($K$22*Quesería!$J$102+(1-$K$22)*Quesería!$E$102)*J435,0))*$K$10*$K$21</f>
        <v>236.639503706638</v>
      </c>
      <c r="K441" s="35" t="n">
        <f aca="false">IF(K$43&lt;=1,0,((($K$22*Quesería!$J$110+(1-$K$22)*Quesería!$E$106)-($K$22*Quesería!$J$99+(1-$K$22)*Quesería!$E$99)+$K$6*($K$22*Quesería!$J$99+(1-$K$22)*Quesería!$E$99)-(1-$K$9)*($K$22*Quesería!$J$102+(1-$K$22)*Quesería!$E$102))+($K$6*($K$22*Quesería!$J$99+(1-$K$22)*Quesería!$E$99)+$K$9*($K$22*Quesería!$J$102+(1-$K$22)*Quesería!$E$102))*(K435-1))*IF(K$43=2,Quesería!$B$12,1)+IF(K$43=2,Quesería!$B$14*$K$9*($K$22*Quesería!$J$102+(1-$K$22)*Quesería!$E$102)*K435,0))*$K$10*$K$21</f>
        <v>237.08563125319</v>
      </c>
      <c r="L441" s="35" t="n">
        <f aca="false">IF(L$43&lt;=1,0,((($K$22*Quesería!$J$110+(1-$K$22)*Quesería!$E$106)-($K$22*Quesería!$J$99+(1-$K$22)*Quesería!$E$99)+$K$6*($K$22*Quesería!$J$99+(1-$K$22)*Quesería!$E$99)-(1-$K$9)*($K$22*Quesería!$J$102+(1-$K$22)*Quesería!$E$102))+($K$6*($K$22*Quesería!$J$99+(1-$K$22)*Quesería!$E$99)+$K$9*($K$22*Quesería!$J$102+(1-$K$22)*Quesería!$E$102))*(L435-1))*IF(L$43=2,Quesería!$B$12,1)+IF(L$43=2,Quesería!$B$14*$K$9*($K$22*Quesería!$J$102+(1-$K$22)*Quesería!$E$102)*L435,0))*$K$10*$K$21</f>
        <v>237.533989437476</v>
      </c>
    </row>
    <row r="442" customFormat="false" ht="15" hidden="false" customHeight="false" outlineLevel="0" collapsed="false">
      <c r="A442" s="5" t="s">
        <v>287</v>
      </c>
      <c r="B442" s="10" t="n">
        <f aca="false">B440+B441</f>
        <v>45.6373732102639</v>
      </c>
      <c r="C442" s="10" t="n">
        <f aca="false">C440+C441</f>
        <v>137.165278593056</v>
      </c>
      <c r="D442" s="10" t="n">
        <f aca="false">D440+D441</f>
        <v>380.785330036747</v>
      </c>
      <c r="E442" s="10" t="n">
        <f aca="false">E440+E441</f>
        <v>417.450255062574</v>
      </c>
      <c r="F442" s="10" t="n">
        <f aca="false">F440+F441</f>
        <v>417.946488901701</v>
      </c>
      <c r="G442" s="10" t="n">
        <f aca="false">G440+G441</f>
        <v>418.445203910024</v>
      </c>
      <c r="H442" s="10" t="n">
        <f aca="false">H440+H441</f>
        <v>418.946412493388</v>
      </c>
      <c r="I442" s="10" t="n">
        <f aca="false">I440+I441</f>
        <v>419.450127119669</v>
      </c>
      <c r="J442" s="10" t="n">
        <f aca="false">J440+J441</f>
        <v>419.956360319081</v>
      </c>
      <c r="K442" s="10" t="n">
        <f aca="false">K440+K441</f>
        <v>420.465124684491</v>
      </c>
      <c r="L442" s="10" t="n">
        <f aca="false">L440+L441</f>
        <v>420.976432871727</v>
      </c>
    </row>
    <row r="443" customFormat="false" ht="15" hidden="false" customHeight="false" outlineLevel="0" collapsed="false">
      <c r="A443" s="6" t="s">
        <v>288</v>
      </c>
      <c r="B443" s="35" t="n">
        <f aca="false">(IF(B$43&gt;=1,(Quesería!$B$21+Quesería!$B$54)*Quesería!$F$82*$K$11+Quesería!$B$22+'Beneficios y costos'!$B$118,0)+IF(B$43&gt;=2,((Quesería!$B$21+Quesería!$B$54)*Quesería!$F$83*$K$11+'Beneficios y costos'!$C$118)*$K$21,0))*$K$12</f>
        <v>0</v>
      </c>
      <c r="C443" s="35" t="n">
        <f aca="false">(IF(C$43&gt;=1,(Quesería!$B$21+Quesería!$B$54)*Quesería!$F$82*$K$11+Quesería!$B$22+'Beneficios y costos'!$B$118,0)+IF(C$43&gt;=2,((Quesería!$B$21+Quesería!$B$54)*Quesería!$F$83*$K$11+'Beneficios y costos'!$C$118)*$K$21,0))*$K$12</f>
        <v>47.9597987224417</v>
      </c>
      <c r="D443" s="35" t="n">
        <f aca="false">(IF(D$43&gt;=1,(Quesería!$B$21+Quesería!$B$54)*Quesería!$F$82*$K$11+Quesería!$B$22+'Beneficios y costos'!$B$118,0)+IF(D$43&gt;=2,((Quesería!$B$21+Quesería!$B$54)*Quesería!$F$83*$K$11+'Beneficios y costos'!$C$118)*$K$21,0))*$K$12</f>
        <v>115.448455674029</v>
      </c>
      <c r="E443" s="35" t="n">
        <f aca="false">(IF(E$43&gt;=1,(Quesería!$B$21+Quesería!$B$54)*Quesería!$F$82*$K$11+Quesería!$B$22+'Beneficios y costos'!$B$118,0)+IF(E$43&gt;=2,((Quesería!$B$21+Quesería!$B$54)*Quesería!$F$83*$K$11+'Beneficios y costos'!$C$118)*$K$21,0))*$K$12</f>
        <v>115.448455674029</v>
      </c>
      <c r="F443" s="35" t="n">
        <f aca="false">(IF(F$43&gt;=1,(Quesería!$B$21+Quesería!$B$54)*Quesería!$F$82*$K$11+Quesería!$B$22+'Beneficios y costos'!$B$118,0)+IF(F$43&gt;=2,((Quesería!$B$21+Quesería!$B$54)*Quesería!$F$83*$K$11+'Beneficios y costos'!$C$118)*$K$21,0))*$K$12</f>
        <v>115.448455674029</v>
      </c>
      <c r="G443" s="35" t="n">
        <f aca="false">(IF(G$43&gt;=1,(Quesería!$B$21+Quesería!$B$54)*Quesería!$F$82*$K$11+Quesería!$B$22+'Beneficios y costos'!$B$118,0)+IF(G$43&gt;=2,((Quesería!$B$21+Quesería!$B$54)*Quesería!$F$83*$K$11+'Beneficios y costos'!$C$118)*$K$21,0))*$K$12</f>
        <v>115.448455674029</v>
      </c>
      <c r="H443" s="35" t="n">
        <f aca="false">(IF(H$43&gt;=1,(Quesería!$B$21+Quesería!$B$54)*Quesería!$F$82*$K$11+Quesería!$B$22+'Beneficios y costos'!$B$118,0)+IF(H$43&gt;=2,((Quesería!$B$21+Quesería!$B$54)*Quesería!$F$83*$K$11+'Beneficios y costos'!$C$118)*$K$21,0))*$K$12</f>
        <v>115.448455674029</v>
      </c>
      <c r="I443" s="35" t="n">
        <f aca="false">(IF(I$43&gt;=1,(Quesería!$B$21+Quesería!$B$54)*Quesería!$F$82*$K$11+Quesería!$B$22+'Beneficios y costos'!$B$118,0)+IF(I$43&gt;=2,((Quesería!$B$21+Quesería!$B$54)*Quesería!$F$83*$K$11+'Beneficios y costos'!$C$118)*$K$21,0))*$K$12</f>
        <v>115.448455674029</v>
      </c>
      <c r="J443" s="35" t="n">
        <f aca="false">(IF(J$43&gt;=1,(Quesería!$B$21+Quesería!$B$54)*Quesería!$F$82*$K$11+Quesería!$B$22+'Beneficios y costos'!$B$118,0)+IF(J$43&gt;=2,((Quesería!$B$21+Quesería!$B$54)*Quesería!$F$83*$K$11+'Beneficios y costos'!$C$118)*$K$21,0))*$K$12</f>
        <v>115.448455674029</v>
      </c>
      <c r="K443" s="35" t="n">
        <f aca="false">(IF(K$43&gt;=1,(Quesería!$B$21+Quesería!$B$54)*Quesería!$F$82*$K$11+Quesería!$B$22+'Beneficios y costos'!$B$118,0)+IF(K$43&gt;=2,((Quesería!$B$21+Quesería!$B$54)*Quesería!$F$83*$K$11+'Beneficios y costos'!$C$118)*$K$21,0))*$K$12</f>
        <v>115.448455674029</v>
      </c>
      <c r="L443" s="35" t="n">
        <f aca="false">(IF(L$43&gt;=1,(Quesería!$B$21+Quesería!$B$54)*Quesería!$F$82*$K$11+Quesería!$B$22+'Beneficios y costos'!$B$118,0)+IF(L$43&gt;=2,((Quesería!$B$21+Quesería!$B$54)*Quesería!$F$83*$K$11+'Beneficios y costos'!$C$118)*$K$21,0))*$K$12</f>
        <v>115.448455674029</v>
      </c>
    </row>
    <row r="444" customFormat="false" ht="15" hidden="false" customHeight="false" outlineLevel="0" collapsed="false">
      <c r="A444" s="6" t="s">
        <v>289</v>
      </c>
      <c r="B444" s="35" t="n">
        <f aca="false">IF(B$43=1,2*Quesería!$B$33*Quesería!$B$34/12*B435,0)*$K$21</f>
        <v>0</v>
      </c>
      <c r="C444" s="35" t="n">
        <f aca="false">IF(C$43=1,2*Quesería!$B$33*Quesería!$B$34/12*C435,0)*$K$21</f>
        <v>18.5166509433962</v>
      </c>
      <c r="D444" s="35" t="n">
        <f aca="false">IF(D$43=1,2*Quesería!$B$33*Quesería!$B$34/12*D435,0)*$K$21</f>
        <v>0</v>
      </c>
      <c r="E444" s="35" t="n">
        <f aca="false">IF(E$43=1,2*Quesería!$B$33*Quesería!$B$34/12*E435,0)*$K$21</f>
        <v>0</v>
      </c>
      <c r="F444" s="35" t="n">
        <f aca="false">IF(F$43=1,2*Quesería!$B$33*Quesería!$B$34/12*F435,0)*$K$21</f>
        <v>0</v>
      </c>
      <c r="G444" s="35" t="n">
        <f aca="false">IF(G$43=1,2*Quesería!$B$33*Quesería!$B$34/12*G435,0)*$K$21</f>
        <v>0</v>
      </c>
      <c r="H444" s="35" t="n">
        <f aca="false">IF(H$43=1,2*Quesería!$B$33*Quesería!$B$34/12*H435,0)*$K$21</f>
        <v>0</v>
      </c>
      <c r="I444" s="35" t="n">
        <f aca="false">IF(I$43=1,2*Quesería!$B$33*Quesería!$B$34/12*I435,0)*$K$21</f>
        <v>0</v>
      </c>
      <c r="J444" s="35" t="n">
        <f aca="false">IF(J$43=1,2*Quesería!$B$33*Quesería!$B$34/12*J435,0)*$K$21</f>
        <v>0</v>
      </c>
      <c r="K444" s="35" t="n">
        <f aca="false">IF(K$43=1,2*Quesería!$B$33*Quesería!$B$34/12*K435,0)*$K$21</f>
        <v>0</v>
      </c>
      <c r="L444" s="35" t="n">
        <f aca="false">IF(L$43=1,2*Quesería!$B$33*Quesería!$B$34/12*L435,0)*$K$21</f>
        <v>0</v>
      </c>
    </row>
    <row r="445" customFormat="false" ht="15" hidden="false" customHeight="false" outlineLevel="0" collapsed="false">
      <c r="A445" s="6" t="s">
        <v>290</v>
      </c>
      <c r="B445" s="35" t="n">
        <f aca="false">Quesería!$B$45*(B437+B438+B439+B443+B444)</f>
        <v>2.88636599924197</v>
      </c>
      <c r="C445" s="35" t="n">
        <f aca="false">Quesería!$B$45*(C437+C438+C439+C443+C444)</f>
        <v>3.33739142029759</v>
      </c>
      <c r="D445" s="35" t="n">
        <f aca="false">Quesería!$B$45*(D437+D438+D439+D443+D444)</f>
        <v>0.461793822696116</v>
      </c>
      <c r="E445" s="35" t="n">
        <f aca="false">Quesería!$B$45*(E437+E438+E439+E443+E444)</f>
        <v>0.461793822696116</v>
      </c>
      <c r="F445" s="35" t="n">
        <f aca="false">Quesería!$B$45*(F437+F438+F439+F443+F444)</f>
        <v>0.461793822696116</v>
      </c>
      <c r="G445" s="35" t="n">
        <f aca="false">Quesería!$B$45*(G437+G438+G439+G443+G444)</f>
        <v>0.58872715602945</v>
      </c>
      <c r="H445" s="35" t="n">
        <f aca="false">Quesería!$B$45*(H437+H438+H439+H443+H444)</f>
        <v>0.62984349524585</v>
      </c>
      <c r="I445" s="35" t="n">
        <f aca="false">Quesería!$B$45*(I437+I438+I439+I443+I444)</f>
        <v>0.461793822696116</v>
      </c>
      <c r="J445" s="35" t="n">
        <f aca="false">Quesería!$B$45*(J437+J438+J439+J443+J444)</f>
        <v>0.461793822696116</v>
      </c>
      <c r="K445" s="35" t="n">
        <f aca="false">Quesería!$B$45*(K437+K438+K439+K443+K444)</f>
        <v>0.461793822696116</v>
      </c>
      <c r="L445" s="35" t="n">
        <f aca="false">Quesería!$B$45*(L437+L438+L439+L443+L444)</f>
        <v>0.461793822696116</v>
      </c>
    </row>
    <row r="446" customFormat="false" ht="15" hidden="false" customHeight="false" outlineLevel="0" collapsed="false">
      <c r="A446" s="6" t="s">
        <v>291</v>
      </c>
      <c r="B446" s="35" t="n">
        <f aca="false">(IF($K$19=1,(SUMPRODUCT((Quesería!$C$62:$C$77=0)*(Quesería!$J$62:$J$77&gt;0)*(B$43&gt;=1)*(B$43&lt;=Quesería!$J$62:$J$77)*(Quesería!$H$62:$H$77&gt;0)*Quesería!$F$62:$F$77*(1+Quesería!$I$62:$I$77)/(Quesería!$J$62:$J$77+(Quesería!$J$62:$J$77=0)))+SUMPRODUCT((Quesería!$C$62:$C$77=0)*(Quesería!$J$62:$J$77=0)*(B$43=0)*(Quesería!$H$62:$H$77&gt;0)*Quesería!$F$62:$F$77*(1+Quesería!$I$62:$I$77)))*$B$434+(SUMPRODUCT((Quesería!$C$62:$C$77=1)*(Quesería!$J$62:$J$77&gt;0)*(B$43&gt;=2)*(B$43&lt;=Quesería!$J$62:$J$77+1)*(Quesería!$H$62:$H$77&gt;0)*Quesería!$F$62:$F$77*(1+Quesería!$I$62:$I$77)/(Quesería!$J$62:$J$77+(Quesería!$J$62:$J$77=0)))+SUMPRODUCT((Quesería!$C$62:$C$77=1)*(Quesería!$J$62:$J$77=0)*(B$43=1)*(Quesería!$H$62:$H$77&gt;0)*Quesería!$F$62:$F$77*(1+Quesería!$I$62:$I$77)))*$C$434*$K$21,IF(AND(B$43&gt;=1,B$43&lt;=Quesería!$B$11),Quesería!$F$80/Quesería!$B$11,0)*$B$434+IF(AND(B$43&gt;=2,B$43&lt;=Quesería!$B$11+1),Quesería!$F$81/Quesería!$B$11,0)*$C$434*$K$21)*$K$11+IF(AND(B$43&gt;=6,B$43&lt;=10),$G438*$G434/5,0)+IF(AND(B$43&gt;=7,B$43&lt;=11),$H438*$H434/5,0))*B436</f>
        <v>99.3600691219113</v>
      </c>
      <c r="C446" s="35" t="n">
        <f aca="false">(IF($K$19=1,(SUMPRODUCT((Quesería!$C$62:$C$77=0)*(Quesería!$J$62:$J$77&gt;0)*(C$43&gt;=1)*(C$43&lt;=Quesería!$J$62:$J$77)*(Quesería!$H$62:$H$77&gt;0)*Quesería!$F$62:$F$77*(1+Quesería!$I$62:$I$77)/(Quesería!$J$62:$J$77+(Quesería!$J$62:$J$77=0)))+SUMPRODUCT((Quesería!$C$62:$C$77=0)*(Quesería!$J$62:$J$77=0)*(C$43=0)*(Quesería!$H$62:$H$77&gt;0)*Quesería!$F$62:$F$77*(1+Quesería!$I$62:$I$77)))*$B$434+(SUMPRODUCT((Quesería!$C$62:$C$77=1)*(Quesería!$J$62:$J$77&gt;0)*(C$43&gt;=2)*(C$43&lt;=Quesería!$J$62:$J$77+1)*(Quesería!$H$62:$H$77&gt;0)*Quesería!$F$62:$F$77*(1+Quesería!$I$62:$I$77)/(Quesería!$J$62:$J$77+(Quesería!$J$62:$J$77=0)))+SUMPRODUCT((Quesería!$C$62:$C$77=1)*(Quesería!$J$62:$J$77=0)*(C$43=1)*(Quesería!$H$62:$H$77&gt;0)*Quesería!$F$62:$F$77*(1+Quesería!$I$62:$I$77)))*$C$434*$K$21,IF(AND(C$43&gt;=1,C$43&lt;=Quesería!$B$11),Quesería!$F$80/Quesería!$B$11,0)*$B$434+IF(AND(C$43&gt;=2,C$43&lt;=Quesería!$B$11+1),Quesería!$F$81/Quesería!$B$11,0)*$C$434*$K$21)*$K$11+IF(AND(C$43&gt;=6,C$43&lt;=10),$G438*$G434/5,0)+IF(AND(C$43&gt;=7,C$43&lt;=11),$H438*$H434/5,0))*C436</f>
        <v>57.1000211302053</v>
      </c>
      <c r="D446" s="35" t="n">
        <f aca="false">(IF($K$19=1,(SUMPRODUCT((Quesería!$C$62:$C$77=0)*(Quesería!$J$62:$J$77&gt;0)*(D$43&gt;=1)*(D$43&lt;=Quesería!$J$62:$J$77)*(Quesería!$H$62:$H$77&gt;0)*Quesería!$F$62:$F$77*(1+Quesería!$I$62:$I$77)/(Quesería!$J$62:$J$77+(Quesería!$J$62:$J$77=0)))+SUMPRODUCT((Quesería!$C$62:$C$77=0)*(Quesería!$J$62:$J$77=0)*(D$43=0)*(Quesería!$H$62:$H$77&gt;0)*Quesería!$F$62:$F$77*(1+Quesería!$I$62:$I$77)))*$B$434+(SUMPRODUCT((Quesería!$C$62:$C$77=1)*(Quesería!$J$62:$J$77&gt;0)*(D$43&gt;=2)*(D$43&lt;=Quesería!$J$62:$J$77+1)*(Quesería!$H$62:$H$77&gt;0)*Quesería!$F$62:$F$77*(1+Quesería!$I$62:$I$77)/(Quesería!$J$62:$J$77+(Quesería!$J$62:$J$77=0)))+SUMPRODUCT((Quesería!$C$62:$C$77=1)*(Quesería!$J$62:$J$77=0)*(D$43=1)*(Quesería!$H$62:$H$77&gt;0)*Quesería!$F$62:$F$77*(1+Quesería!$I$62:$I$77)))*$C$434*$K$21,IF(AND(D$43&gt;=1,D$43&lt;=Quesería!$B$11),Quesería!$F$80/Quesería!$B$11,0)*$B$434+IF(AND(D$43&gt;=2,D$43&lt;=Quesería!$B$11+1),Quesería!$F$81/Quesería!$B$11,0)*$C$434*$K$21)*$K$11+IF(AND(D$43&gt;=6,D$43&lt;=10),$G438*$G434/5,0)+IF(AND(D$43&gt;=7,D$43&lt;=11),$H438*$H434/5,0))*D436</f>
        <v>116.389502380926</v>
      </c>
      <c r="E446" s="35" t="n">
        <f aca="false">(IF($K$19=1,(SUMPRODUCT((Quesería!$C$62:$C$77=0)*(Quesería!$J$62:$J$77&gt;0)*(E$43&gt;=1)*(E$43&lt;=Quesería!$J$62:$J$77)*(Quesería!$H$62:$H$77&gt;0)*Quesería!$F$62:$F$77*(1+Quesería!$I$62:$I$77)/(Quesería!$J$62:$J$77+(Quesería!$J$62:$J$77=0)))+SUMPRODUCT((Quesería!$C$62:$C$77=0)*(Quesería!$J$62:$J$77=0)*(E$43=0)*(Quesería!$H$62:$H$77&gt;0)*Quesería!$F$62:$F$77*(1+Quesería!$I$62:$I$77)))*$B$434+(SUMPRODUCT((Quesería!$C$62:$C$77=1)*(Quesería!$J$62:$J$77&gt;0)*(E$43&gt;=2)*(E$43&lt;=Quesería!$J$62:$J$77+1)*(Quesería!$H$62:$H$77&gt;0)*Quesería!$F$62:$F$77*(1+Quesería!$I$62:$I$77)/(Quesería!$J$62:$J$77+(Quesería!$J$62:$J$77=0)))+SUMPRODUCT((Quesería!$C$62:$C$77=1)*(Quesería!$J$62:$J$77=0)*(E$43=1)*(Quesería!$H$62:$H$77&gt;0)*Quesería!$F$62:$F$77*(1+Quesería!$I$62:$I$77)))*$C$434*$K$21,IF(AND(E$43&gt;=1,E$43&lt;=Quesería!$B$11),Quesería!$F$80/Quesería!$B$11,0)*$B$434+IF(AND(E$43&gt;=2,E$43&lt;=Quesería!$B$11+1),Quesería!$F$81/Quesería!$B$11,0)*$C$434*$K$21)*$K$11+IF(AND(E$43&gt;=6,E$43&lt;=10),$G438*$G434/5,0)+IF(AND(E$43&gt;=7,E$43&lt;=11),$H438*$H434/5,0))*E436</f>
        <v>111.912983058583</v>
      </c>
      <c r="F446" s="35" t="n">
        <f aca="false">(IF($K$19=1,(SUMPRODUCT((Quesería!$C$62:$C$77=0)*(Quesería!$J$62:$J$77&gt;0)*(F$43&gt;=1)*(F$43&lt;=Quesería!$J$62:$J$77)*(Quesería!$H$62:$H$77&gt;0)*Quesería!$F$62:$F$77*(1+Quesería!$I$62:$I$77)/(Quesería!$J$62:$J$77+(Quesería!$J$62:$J$77=0)))+SUMPRODUCT((Quesería!$C$62:$C$77=0)*(Quesería!$J$62:$J$77=0)*(F$43=0)*(Quesería!$H$62:$H$77&gt;0)*Quesería!$F$62:$F$77*(1+Quesería!$I$62:$I$77)))*$B$434+(SUMPRODUCT((Quesería!$C$62:$C$77=1)*(Quesería!$J$62:$J$77&gt;0)*(F$43&gt;=2)*(F$43&lt;=Quesería!$J$62:$J$77+1)*(Quesería!$H$62:$H$77&gt;0)*Quesería!$F$62:$F$77*(1+Quesería!$I$62:$I$77)/(Quesería!$J$62:$J$77+(Quesería!$J$62:$J$77=0)))+SUMPRODUCT((Quesería!$C$62:$C$77=1)*(Quesería!$J$62:$J$77=0)*(F$43=1)*(Quesería!$H$62:$H$77&gt;0)*Quesería!$F$62:$F$77*(1+Quesería!$I$62:$I$77)))*$C$434*$K$21,IF(AND(F$43&gt;=1,F$43&lt;=Quesería!$B$11),Quesería!$F$80/Quesería!$B$11,0)*$B$434+IF(AND(F$43&gt;=2,F$43&lt;=Quesería!$B$11+1),Quesería!$F$81/Quesería!$B$11,0)*$C$434*$K$21)*$K$11+IF(AND(F$43&gt;=6,F$43&lt;=10),$G438*$G434/5,0)+IF(AND(F$43&gt;=7,F$43&lt;=11),$H438*$H434/5,0))*F436</f>
        <v>107.608637556329</v>
      </c>
      <c r="G446" s="35" t="n">
        <f aca="false">(IF($K$19=1,(SUMPRODUCT((Quesería!$C$62:$C$77=0)*(Quesería!$J$62:$J$77&gt;0)*(G$43&gt;=1)*(G$43&lt;=Quesería!$J$62:$J$77)*(Quesería!$H$62:$H$77&gt;0)*Quesería!$F$62:$F$77*(1+Quesería!$I$62:$I$77)/(Quesería!$J$62:$J$77+(Quesería!$J$62:$J$77=0)))+SUMPRODUCT((Quesería!$C$62:$C$77=0)*(Quesería!$J$62:$J$77=0)*(G$43=0)*(Quesería!$H$62:$H$77&gt;0)*Quesería!$F$62:$F$77*(1+Quesería!$I$62:$I$77)))*$B$434+(SUMPRODUCT((Quesería!$C$62:$C$77=1)*(Quesería!$J$62:$J$77&gt;0)*(G$43&gt;=2)*(G$43&lt;=Quesería!$J$62:$J$77+1)*(Quesería!$H$62:$H$77&gt;0)*Quesería!$F$62:$F$77*(1+Quesería!$I$62:$I$77)/(Quesería!$J$62:$J$77+(Quesería!$J$62:$J$77=0)))+SUMPRODUCT((Quesería!$C$62:$C$77=1)*(Quesería!$J$62:$J$77=0)*(G$43=1)*(Quesería!$H$62:$H$77&gt;0)*Quesería!$F$62:$F$77*(1+Quesería!$I$62:$I$77)))*$C$434*$K$21,IF(AND(G$43&gt;=1,G$43&lt;=Quesería!$B$11),Quesería!$F$80/Quesería!$B$11,0)*$B$434+IF(AND(G$43&gt;=2,G$43&lt;=Quesería!$B$11+1),Quesería!$F$81/Quesería!$B$11,0)*$C$434*$K$21)*$K$11+IF(AND(G$43&gt;=6,G$43&lt;=10),$G438*$G434/5,0)+IF(AND(G$43&gt;=7,G$43&lt;=11),$H438*$H434/5,0))*G436</f>
        <v>103.469843804163</v>
      </c>
      <c r="H446" s="35" t="n">
        <f aca="false">(IF($K$19=1,(SUMPRODUCT((Quesería!$C$62:$C$77=0)*(Quesería!$J$62:$J$77&gt;0)*(H$43&gt;=1)*(H$43&lt;=Quesería!$J$62:$J$77)*(Quesería!$H$62:$H$77&gt;0)*Quesería!$F$62:$F$77*(1+Quesería!$I$62:$I$77)/(Quesería!$J$62:$J$77+(Quesería!$J$62:$J$77=0)))+SUMPRODUCT((Quesería!$C$62:$C$77=0)*(Quesería!$J$62:$J$77=0)*(H$43=0)*(Quesería!$H$62:$H$77&gt;0)*Quesería!$F$62:$F$77*(1+Quesería!$I$62:$I$77)))*$B$434+(SUMPRODUCT((Quesería!$C$62:$C$77=1)*(Quesería!$J$62:$J$77&gt;0)*(H$43&gt;=2)*(H$43&lt;=Quesería!$J$62:$J$77+1)*(Quesería!$H$62:$H$77&gt;0)*Quesería!$F$62:$F$77*(1+Quesería!$I$62:$I$77)/(Quesería!$J$62:$J$77+(Quesería!$J$62:$J$77=0)))+SUMPRODUCT((Quesería!$C$62:$C$77=1)*(Quesería!$J$62:$J$77=0)*(H$43=1)*(Quesería!$H$62:$H$77&gt;0)*Quesería!$F$62:$F$77*(1+Quesería!$I$62:$I$77)))*$C$434*$K$21,IF(AND(H$43&gt;=1,H$43&lt;=Quesería!$B$11),Quesería!$F$80/Quesería!$B$11,0)*$B$434+IF(AND(H$43&gt;=2,H$43&lt;=Quesería!$B$11+1),Quesería!$F$81/Quesería!$B$11,0)*$C$434*$K$21)*$K$11+IF(AND(H$43&gt;=6,H$43&lt;=10),$G438*$G434/5,0)+IF(AND(H$43&gt;=7,H$43&lt;=11),$H438*$H434/5,0))*H436</f>
        <v>92.6731239063542</v>
      </c>
      <c r="I446" s="35" t="n">
        <f aca="false">(IF($K$19=1,(SUMPRODUCT((Quesería!$C$62:$C$77=0)*(Quesería!$J$62:$J$77&gt;0)*(I$43&gt;=1)*(I$43&lt;=Quesería!$J$62:$J$77)*(Quesería!$H$62:$H$77&gt;0)*Quesería!$F$62:$F$77*(1+Quesería!$I$62:$I$77)/(Quesería!$J$62:$J$77+(Quesería!$J$62:$J$77=0)))+SUMPRODUCT((Quesería!$C$62:$C$77=0)*(Quesería!$J$62:$J$77=0)*(I$43=0)*(Quesería!$H$62:$H$77&gt;0)*Quesería!$F$62:$F$77*(1+Quesería!$I$62:$I$77)))*$B$434+(SUMPRODUCT((Quesería!$C$62:$C$77=1)*(Quesería!$J$62:$J$77&gt;0)*(I$43&gt;=2)*(I$43&lt;=Quesería!$J$62:$J$77+1)*(Quesería!$H$62:$H$77&gt;0)*Quesería!$F$62:$F$77*(1+Quesería!$I$62:$I$77)/(Quesería!$J$62:$J$77+(Quesería!$J$62:$J$77=0)))+SUMPRODUCT((Quesería!$C$62:$C$77=1)*(Quesería!$J$62:$J$77=0)*(I$43=1)*(Quesería!$H$62:$H$77&gt;0)*Quesería!$F$62:$F$77*(1+Quesería!$I$62:$I$77)))*$C$434*$K$21,IF(AND(I$43&gt;=1,I$43&lt;=Quesería!$B$11),Quesería!$F$80/Quesería!$B$11,0)*$B$434+IF(AND(I$43&gt;=2,I$43&lt;=Quesería!$B$11+1),Quesería!$F$81/Quesería!$B$11,0)*$C$434*$K$21)*$K$11+IF(AND(I$43&gt;=6,I$43&lt;=10),$G438*$G434/5,0)+IF(AND(I$43&gt;=7,I$43&lt;=11),$H438*$H434/5,0))*I436</f>
        <v>95.8981101131611</v>
      </c>
      <c r="J446" s="35" t="n">
        <f aca="false">(IF($K$19=1,(SUMPRODUCT((Quesería!$C$62:$C$77=0)*(Quesería!$J$62:$J$77&gt;0)*(J$43&gt;=1)*(J$43&lt;=Quesería!$J$62:$J$77)*(Quesería!$H$62:$H$77&gt;0)*Quesería!$F$62:$F$77*(1+Quesería!$I$62:$I$77)/(Quesería!$J$62:$J$77+(Quesería!$J$62:$J$77=0)))+SUMPRODUCT((Quesería!$C$62:$C$77=0)*(Quesería!$J$62:$J$77=0)*(J$43=0)*(Quesería!$H$62:$H$77&gt;0)*Quesería!$F$62:$F$77*(1+Quesería!$I$62:$I$77)))*$B$434+(SUMPRODUCT((Quesería!$C$62:$C$77=1)*(Quesería!$J$62:$J$77&gt;0)*(J$43&gt;=2)*(J$43&lt;=Quesería!$J$62:$J$77+1)*(Quesería!$H$62:$H$77&gt;0)*Quesería!$F$62:$F$77*(1+Quesería!$I$62:$I$77)/(Quesería!$J$62:$J$77+(Quesería!$J$62:$J$77=0)))+SUMPRODUCT((Quesería!$C$62:$C$77=1)*(Quesería!$J$62:$J$77=0)*(J$43=1)*(Quesería!$H$62:$H$77&gt;0)*Quesería!$F$62:$F$77*(1+Quesería!$I$62:$I$77)))*$C$434*$K$21,IF(AND(J$43&gt;=1,J$43&lt;=Quesería!$B$11),Quesería!$F$80/Quesería!$B$11,0)*$B$434+IF(AND(J$43&gt;=2,J$43&lt;=Quesería!$B$11+1),Quesería!$F$81/Quesería!$B$11,0)*$C$434*$K$21)*$K$11+IF(AND(J$43&gt;=6,J$43&lt;=10),$G438*$G434/5,0)+IF(AND(J$43&gt;=7,J$43&lt;=11),$H438*$H434/5,0))*J436</f>
        <v>92.2097212626549</v>
      </c>
      <c r="K446" s="35" t="n">
        <f aca="false">(IF($K$19=1,(SUMPRODUCT((Quesería!$C$62:$C$77=0)*(Quesería!$J$62:$J$77&gt;0)*(K$43&gt;=1)*(K$43&lt;=Quesería!$J$62:$J$77)*(Quesería!$H$62:$H$77&gt;0)*Quesería!$F$62:$F$77*(1+Quesería!$I$62:$I$77)/(Quesería!$J$62:$J$77+(Quesería!$J$62:$J$77=0)))+SUMPRODUCT((Quesería!$C$62:$C$77=0)*(Quesería!$J$62:$J$77=0)*(K$43=0)*(Quesería!$H$62:$H$77&gt;0)*Quesería!$F$62:$F$77*(1+Quesería!$I$62:$I$77)))*$B$434+(SUMPRODUCT((Quesería!$C$62:$C$77=1)*(Quesería!$J$62:$J$77&gt;0)*(K$43&gt;=2)*(K$43&lt;=Quesería!$J$62:$J$77+1)*(Quesería!$H$62:$H$77&gt;0)*Quesería!$F$62:$F$77*(1+Quesería!$I$62:$I$77)/(Quesería!$J$62:$J$77+(Quesería!$J$62:$J$77=0)))+SUMPRODUCT((Quesería!$C$62:$C$77=1)*(Quesería!$J$62:$J$77=0)*(K$43=1)*(Quesería!$H$62:$H$77&gt;0)*Quesería!$F$62:$F$77*(1+Quesería!$I$62:$I$77)))*$C$434*$K$21,IF(AND(K$43&gt;=1,K$43&lt;=Quesería!$B$11),Quesería!$F$80/Quesería!$B$11,0)*$B$434+IF(AND(K$43&gt;=2,K$43&lt;=Quesería!$B$11+1),Quesería!$F$81/Quesería!$B$11,0)*$C$434*$K$21)*$K$11+IF(AND(K$43&gt;=6,K$43&lt;=10),$G438*$G434/5,0)+IF(AND(K$43&gt;=7,K$43&lt;=11),$H438*$H434/5,0))*K436</f>
        <v>88.6631935217835</v>
      </c>
      <c r="L446" s="35" t="n">
        <f aca="false">(IF($K$19=1,(SUMPRODUCT((Quesería!$C$62:$C$77=0)*(Quesería!$J$62:$J$77&gt;0)*(L$43&gt;=1)*(L$43&lt;=Quesería!$J$62:$J$77)*(Quesería!$H$62:$H$77&gt;0)*Quesería!$F$62:$F$77*(1+Quesería!$I$62:$I$77)/(Quesería!$J$62:$J$77+(Quesería!$J$62:$J$77=0)))+SUMPRODUCT((Quesería!$C$62:$C$77=0)*(Quesería!$J$62:$J$77=0)*(L$43=0)*(Quesería!$H$62:$H$77&gt;0)*Quesería!$F$62:$F$77*(1+Quesería!$I$62:$I$77)))*$B$434+(SUMPRODUCT((Quesería!$C$62:$C$77=1)*(Quesería!$J$62:$J$77&gt;0)*(L$43&gt;=2)*(L$43&lt;=Quesería!$J$62:$J$77+1)*(Quesería!$H$62:$H$77&gt;0)*Quesería!$F$62:$F$77*(1+Quesería!$I$62:$I$77)/(Quesería!$J$62:$J$77+(Quesería!$J$62:$J$77=0)))+SUMPRODUCT((Quesería!$C$62:$C$77=1)*(Quesería!$J$62:$J$77=0)*(L$43=1)*(Quesería!$H$62:$H$77&gt;0)*Quesería!$F$62:$F$77*(1+Quesería!$I$62:$I$77)))*$C$434*$K$21,IF(AND(L$43&gt;=1,L$43&lt;=Quesería!$B$11),Quesería!$F$80/Quesería!$B$11,0)*$B$434+IF(AND(L$43&gt;=2,L$43&lt;=Quesería!$B$11+1),Quesería!$F$81/Quesería!$B$11,0)*$C$434*$K$21)*$K$11+IF(AND(L$43&gt;=6,L$43&lt;=10),$G438*$G434/5,0)+IF(AND(L$43&gt;=7,L$43&lt;=11),$H438*$H434/5,0))*L436</f>
        <v>85.2530706940226</v>
      </c>
    </row>
    <row r="447" customFormat="false" ht="15" hidden="false" customHeight="false" outlineLevel="0" collapsed="false">
      <c r="A447" s="9" t="s">
        <v>292</v>
      </c>
      <c r="B447" s="36" t="n">
        <f aca="false">IF(B$43=1,MIN($K$7*Quesería!$B$35*Quesería!$F$75*$K$11*$K$21,Quesería!$B$50*Quesería!$B$51),0)</f>
        <v>0</v>
      </c>
      <c r="C447" s="36" t="n">
        <f aca="false">IF(C$43=1,MIN($K$7*Quesería!$B$35*Quesería!$F$75*$K$11*$K$21,Quesería!$B$50*Quesería!$B$51),0)</f>
        <v>20</v>
      </c>
      <c r="D447" s="36" t="n">
        <f aca="false">IF(D$43=1,MIN($K$7*Quesería!$B$35*Quesería!$F$75*$K$11*$K$21,Quesería!$B$50*Quesería!$B$51),0)</f>
        <v>0</v>
      </c>
      <c r="E447" s="36" t="n">
        <f aca="false">IF(E$43=1,MIN($K$7*Quesería!$B$35*Quesería!$F$75*$K$11*$K$21,Quesería!$B$50*Quesería!$B$51),0)</f>
        <v>0</v>
      </c>
      <c r="F447" s="36" t="n">
        <f aca="false">IF(F$43=1,MIN($K$7*Quesería!$B$35*Quesería!$F$75*$K$11*$K$21,Quesería!$B$50*Quesería!$B$51),0)</f>
        <v>0</v>
      </c>
      <c r="G447" s="36" t="n">
        <f aca="false">IF(G$43=1,MIN($K$7*Quesería!$B$35*Quesería!$F$75*$K$11*$K$21,Quesería!$B$50*Quesería!$B$51),0)</f>
        <v>0</v>
      </c>
      <c r="H447" s="36" t="n">
        <f aca="false">IF(H$43=1,MIN($K$7*Quesería!$B$35*Quesería!$F$75*$K$11*$K$21,Quesería!$B$50*Quesería!$B$51),0)</f>
        <v>0</v>
      </c>
      <c r="I447" s="36" t="n">
        <f aca="false">IF(I$43=1,MIN($K$7*Quesería!$B$35*Quesería!$F$75*$K$11*$K$21,Quesería!$B$50*Quesería!$B$51),0)</f>
        <v>0</v>
      </c>
      <c r="J447" s="36" t="n">
        <f aca="false">IF(J$43=1,MIN($K$7*Quesería!$B$35*Quesería!$F$75*$K$11*$K$21,Quesería!$B$50*Quesería!$B$51),0)</f>
        <v>0</v>
      </c>
      <c r="K447" s="36" t="n">
        <f aca="false">IF(K$43=1,MIN($K$7*Quesería!$B$35*Quesería!$F$75*$K$11*$K$21,Quesería!$B$50*Quesería!$B$51),0)</f>
        <v>0</v>
      </c>
      <c r="L447" s="36" t="n">
        <f aca="false">IF(L$43=1,MIN($K$7*Quesería!$B$35*Quesería!$F$75*$K$11*$K$21,Quesería!$B$50*Quesería!$B$51),0)</f>
        <v>0</v>
      </c>
    </row>
    <row r="448" customFormat="false" ht="15" hidden="false" customHeight="false" outlineLevel="0" collapsed="false">
      <c r="A448" s="9" t="s">
        <v>293</v>
      </c>
      <c r="B448" s="36" t="n">
        <v>0</v>
      </c>
      <c r="C448" s="36" t="n">
        <f aca="false">$K$20*Quesería!$B$52*Quesería!$F$86*$K$11*$B$434/C434</f>
        <v>166.879881289715</v>
      </c>
      <c r="D448" s="36" t="n">
        <v>0</v>
      </c>
      <c r="E448" s="36" t="n">
        <v>0</v>
      </c>
      <c r="F448" s="36" t="n">
        <v>0</v>
      </c>
      <c r="G448" s="36" t="n">
        <v>0</v>
      </c>
      <c r="H448" s="36" t="n">
        <v>0</v>
      </c>
      <c r="I448" s="36" t="n">
        <v>0</v>
      </c>
      <c r="J448" s="36" t="n">
        <v>0</v>
      </c>
      <c r="K448" s="36" t="n">
        <v>0</v>
      </c>
      <c r="L448" s="36" t="n">
        <v>0</v>
      </c>
    </row>
    <row r="449" customFormat="false" ht="15" hidden="false" customHeight="false" outlineLevel="0" collapsed="false">
      <c r="A449" s="9" t="s">
        <v>294</v>
      </c>
      <c r="B449" s="36" t="n">
        <f aca="false">0</f>
        <v>0</v>
      </c>
      <c r="C449" s="36" t="n">
        <f aca="false">B439*B434/C434</f>
        <v>94.6170242743742</v>
      </c>
      <c r="D449" s="36" t="n">
        <f aca="false">C439*C434/D434</f>
        <v>117.321834287022</v>
      </c>
      <c r="E449" s="36" t="n">
        <f aca="false">D439*D434/E434</f>
        <v>0</v>
      </c>
      <c r="F449" s="36" t="n">
        <f aca="false">E439*E434/F434</f>
        <v>0</v>
      </c>
      <c r="G449" s="36" t="n">
        <f aca="false">F439*F434/G434</f>
        <v>0</v>
      </c>
      <c r="H449" s="36" t="n">
        <f aca="false">G439*G434/H434</f>
        <v>4.87179487179487</v>
      </c>
      <c r="I449" s="36" t="n">
        <f aca="false">H439*H434/I434</f>
        <v>6.44987026996795</v>
      </c>
      <c r="J449" s="36" t="n">
        <f aca="false">I439*I434/J434</f>
        <v>0</v>
      </c>
      <c r="K449" s="36" t="n">
        <f aca="false">J439*J434/K434</f>
        <v>0</v>
      </c>
      <c r="L449" s="36" t="n">
        <f aca="false">K439*K434/L434</f>
        <v>0</v>
      </c>
    </row>
    <row r="450" customFormat="false" ht="15" hidden="false" customHeight="false" outlineLevel="0" collapsed="false">
      <c r="A450" s="6" t="s">
        <v>86</v>
      </c>
      <c r="B450" s="35" t="n">
        <f aca="false">$K$17*(B442-B443-B444-0.5*B445-B446)-B447-B448-B449</f>
        <v>-19.3080576189439</v>
      </c>
      <c r="C450" s="35" t="n">
        <f aca="false">$K$17*(C442-C443-C444-0.5*C445-C446)-C447-C448-C449</f>
        <v>-277.324866333687</v>
      </c>
      <c r="D450" s="35" t="n">
        <f aca="false">$K$17*(D442-D443-D444-0.5*D445-D446)-D447-D448-D449</f>
        <v>-65.2710680123669</v>
      </c>
      <c r="E450" s="35" t="n">
        <f aca="false">$K$17*(E442-E443-E444-0.5*E445-E446)-E447-E448-E449</f>
        <v>66.4502717965151</v>
      </c>
      <c r="F450" s="35" t="n">
        <f aca="false">$K$17*(F442-F443-F444-0.5*F445-F446)-F447-F448-F449</f>
        <v>68.1304745659981</v>
      </c>
      <c r="G450" s="35" t="n">
        <f aca="false">$K$17*(G442-G443-G444-0.5*G445-G446)-G447-G448-G449</f>
        <v>69.731389298836</v>
      </c>
      <c r="H450" s="35" t="n">
        <f aca="false">$K$17*(H442-H443-H444-0.5*H445-H446)-H447-H448-H449</f>
        <v>68.8066740360887</v>
      </c>
      <c r="I450" s="35" t="n">
        <f aca="false">$K$17*(I442-I443-I444-0.5*I445-I446)-I447-I448-I449</f>
        <v>66.3055622774278</v>
      </c>
      <c r="J450" s="35" t="n">
        <f aca="false">$K$17*(J442-J443-J444-0.5*J445-J446)-J447-J448-J449</f>
        <v>74.2235502648672</v>
      </c>
      <c r="K450" s="35" t="n">
        <f aca="false">$K$17*(K442-K443-K444-0.5*K445-K446)-K447-K448-K449</f>
        <v>75.6429025020655</v>
      </c>
      <c r="L450" s="35" t="n">
        <f aca="false">$K$17*(L442-L443-L444-0.5*L445-L446)-L447-L448-L449</f>
        <v>77.0154033573145</v>
      </c>
    </row>
    <row r="451" customFormat="false" ht="15" hidden="false" customHeight="false" outlineLevel="0" collapsed="false">
      <c r="A451" s="9" t="s">
        <v>295</v>
      </c>
      <c r="B451" s="36" t="n">
        <f aca="false">(IF(B$43&gt;=1,Quesería!$G$107*IF(B$43=1,Quesería!$B$12,1),Quesería!$G$107*Quesería!$B$12*Quesería!$B$13/12*$K$23)+IF(B$43&gt;=2,Quesería!$G$108*$K$21*IF(B$43=2,Quesería!$B$12,1),0))*$K$10</f>
        <v>26.8516916045565</v>
      </c>
      <c r="C451" s="36" t="n">
        <f aca="false">(IF(C$43&gt;=1,Quesería!$G$107*IF(C$43=1,Quesería!$B$12,1),Quesería!$G$107*Quesería!$B$12*Quesería!$B$13/12*$K$23)+IF(C$43&gt;=2,Quesería!$G$108*$K$21*IF(C$43=2,Quesería!$B$12,1),0))*$K$10</f>
        <v>80.5550748136695</v>
      </c>
      <c r="D451" s="36" t="n">
        <f aca="false">(IF(D$43&gt;=1,Quesería!$G$107*IF(D$43=1,Quesería!$B$12,1),Quesería!$G$107*Quesería!$B$12*Quesería!$B$13/12*$K$23)+IF(D$43&gt;=2,Quesería!$G$108*$K$21*IF(D$43=2,Quesería!$B$12,1),0))*$K$10</f>
        <v>189.651223070959</v>
      </c>
      <c r="E451" s="36" t="n">
        <f aca="false">(IF(E$43&gt;=1,Quesería!$G$107*IF(E$43=1,Quesería!$B$12,1),Quesería!$G$107*Quesería!$B$12*Quesería!$B$13/12*$K$23)+IF(E$43&gt;=2,Quesería!$G$108*$K$21*IF(E$43=2,Quesería!$B$12,1),0))*$K$10</f>
        <v>217.066041955203</v>
      </c>
      <c r="F451" s="36" t="n">
        <f aca="false">(IF(F$43&gt;=1,Quesería!$G$107*IF(F$43=1,Quesería!$B$12,1),Quesería!$G$107*Quesería!$B$12*Quesería!$B$13/12*$K$23)+IF(F$43&gt;=2,Quesería!$G$108*$K$21*IF(F$43=2,Quesería!$B$12,1),0))*$K$10</f>
        <v>217.066041955203</v>
      </c>
      <c r="G451" s="36" t="n">
        <f aca="false">(IF(G$43&gt;=1,Quesería!$G$107*IF(G$43=1,Quesería!$B$12,1),Quesería!$G$107*Quesería!$B$12*Quesería!$B$13/12*$K$23)+IF(G$43&gt;=2,Quesería!$G$108*$K$21*IF(G$43=2,Quesería!$B$12,1),0))*$K$10</f>
        <v>217.066041955203</v>
      </c>
      <c r="H451" s="36" t="n">
        <f aca="false">(IF(H$43&gt;=1,Quesería!$G$107*IF(H$43=1,Quesería!$B$12,1),Quesería!$G$107*Quesería!$B$12*Quesería!$B$13/12*$K$23)+IF(H$43&gt;=2,Quesería!$G$108*$K$21*IF(H$43=2,Quesería!$B$12,1),0))*$K$10</f>
        <v>217.066041955203</v>
      </c>
      <c r="I451" s="36" t="n">
        <f aca="false">(IF(I$43&gt;=1,Quesería!$G$107*IF(I$43=1,Quesería!$B$12,1),Quesería!$G$107*Quesería!$B$12*Quesería!$B$13/12*$K$23)+IF(I$43&gt;=2,Quesería!$G$108*$K$21*IF(I$43=2,Quesería!$B$12,1),0))*$K$10</f>
        <v>217.066041955203</v>
      </c>
      <c r="J451" s="36" t="n">
        <f aca="false">(IF(J$43&gt;=1,Quesería!$G$107*IF(J$43=1,Quesería!$B$12,1),Quesería!$G$107*Quesería!$B$12*Quesería!$B$13/12*$K$23)+IF(J$43&gt;=2,Quesería!$G$108*$K$21*IF(J$43=2,Quesería!$B$12,1),0))*$K$10</f>
        <v>217.066041955203</v>
      </c>
      <c r="K451" s="36" t="n">
        <f aca="false">(IF(K$43&gt;=1,Quesería!$G$107*IF(K$43=1,Quesería!$B$12,1),Quesería!$G$107*Quesería!$B$12*Quesería!$B$13/12*$K$23)+IF(K$43&gt;=2,Quesería!$G$108*$K$21*IF(K$43=2,Quesería!$B$12,1),0))*$K$10</f>
        <v>217.066041955203</v>
      </c>
      <c r="L451" s="36" t="n">
        <f aca="false">(IF(L$43&gt;=1,Quesería!$G$107*IF(L$43=1,Quesería!$B$12,1),Quesería!$G$107*Quesería!$B$12*Quesería!$B$13/12*$K$23)+IF(L$43&gt;=2,Quesería!$G$108*$K$21*IF(L$43=2,Quesería!$B$12,1),0))*$K$10</f>
        <v>217.066041955203</v>
      </c>
    </row>
    <row r="452" customFormat="false" ht="15" hidden="false" customHeight="false" outlineLevel="0" collapsed="false">
      <c r="A452" s="6" t="s">
        <v>296</v>
      </c>
      <c r="B452" s="35" t="n">
        <f aca="false">(B451*(Quesería!$B$23+Quesería!$B$25*Quesería!$B$24)/365-B443*Quesería!$B$26/365)</f>
        <v>2.50861009237089</v>
      </c>
      <c r="C452" s="35" t="n">
        <f aca="false">(C451*(Quesería!$B$23+Quesería!$B$25*Quesería!$B$24)/365-C443*Quesería!$B$26/365)-(B451*(Quesería!$B$23+Quesería!$B$25*Quesería!$B$24)/365-B443*Quesería!$B$26/365)*B434/C434</f>
        <v>2.24595021395866</v>
      </c>
      <c r="D452" s="35" t="n">
        <f aca="false">(D451*(Quesería!$B$23+Quesería!$B$25*Quesería!$B$24)/365-D443*Quesería!$B$26/365)-(C451*(Quesería!$B$23+Quesería!$B$25*Quesería!$B$24)/365-C443*Quesería!$B$26/365)*C434/D434</f>
        <v>6.32405855233336</v>
      </c>
      <c r="E452" s="35" t="n">
        <f aca="false">(E451*(Quesería!$B$23+Quesería!$B$25*Quesería!$B$24)/365-E443*Quesería!$B$26/365)-(D451*(Quesería!$B$23+Quesería!$B$25*Quesería!$B$24)/365-D443*Quesería!$B$26/365)*D434/E434</f>
        <v>2.97504943147125</v>
      </c>
      <c r="F452" s="35" t="n">
        <f aca="false">(F451*(Quesería!$B$23+Quesería!$B$25*Quesería!$B$24)/365-F443*Quesería!$B$26/365)-(E451*(Quesería!$B$23+Quesería!$B$25*Quesería!$B$24)/365-E443*Quesería!$B$26/365)*E434/F434</f>
        <v>0.512337829909777</v>
      </c>
      <c r="G452" s="35" t="n">
        <f aca="false">(G451*(Quesería!$B$23+Quesería!$B$25*Quesería!$B$24)/365-G443*Quesería!$B$26/365)-(F451*(Quesería!$B$23+Quesería!$B$25*Quesería!$B$24)/365-F443*Quesería!$B$26/365)*F434/G434</f>
        <v>0.512337829909781</v>
      </c>
      <c r="H452" s="35" t="n">
        <f aca="false">(H451*(Quesería!$B$23+Quesería!$B$25*Quesería!$B$24)/365-H443*Quesería!$B$26/365)-(G451*(Quesería!$B$23+Quesería!$B$25*Quesería!$B$24)/365-G443*Quesería!$B$26/365)*G434/H434</f>
        <v>0.512337829909781</v>
      </c>
      <c r="I452" s="35" t="n">
        <f aca="false">(I451*(Quesería!$B$23+Quesería!$B$25*Quesería!$B$24)/365-I443*Quesería!$B$26/365)-(H451*(Quesería!$B$23+Quesería!$B$25*Quesería!$B$24)/365-H443*Quesería!$B$26/365)*H434/I434</f>
        <v>0.512337829909779</v>
      </c>
      <c r="J452" s="35" t="n">
        <f aca="false">(J451*(Quesería!$B$23+Quesería!$B$25*Quesería!$B$24)/365-J443*Quesería!$B$26/365)-(I451*(Quesería!$B$23+Quesería!$B$25*Quesería!$B$24)/365-I443*Quesería!$B$26/365)*I434/J434</f>
        <v>0.512337829909779</v>
      </c>
      <c r="K452" s="35" t="n">
        <f aca="false">(K451*(Quesería!$B$23+Quesería!$B$25*Quesería!$B$24)/365-K443*Quesería!$B$26/365)-(J451*(Quesería!$B$23+Quesería!$B$25*Quesería!$B$24)/365-J443*Quesería!$B$26/365)*J434/K434</f>
        <v>0.512337829909779</v>
      </c>
      <c r="L452" s="35" t="n">
        <f aca="false">-(K451*(Quesería!$B$23+Quesería!$B$25*Quesería!$B$24)/365-K443*Quesería!$B$26/365)*K434/L434</f>
        <v>-12.8084457477445</v>
      </c>
    </row>
    <row r="453" customFormat="false" ht="15" hidden="false" customHeight="false" outlineLevel="0" collapsed="false">
      <c r="A453" s="6" t="s">
        <v>297</v>
      </c>
      <c r="B453" s="35" t="n">
        <v>0</v>
      </c>
      <c r="C453" s="35" t="n">
        <v>0</v>
      </c>
      <c r="D453" s="35" t="n">
        <v>0</v>
      </c>
      <c r="E453" s="35" t="n">
        <v>0</v>
      </c>
      <c r="F453" s="35" t="n">
        <v>0</v>
      </c>
      <c r="G453" s="35" t="n">
        <v>0</v>
      </c>
      <c r="H453" s="35" t="n">
        <v>0</v>
      </c>
      <c r="I453" s="35" t="n">
        <v>0</v>
      </c>
      <c r="J453" s="35" t="n">
        <v>0</v>
      </c>
      <c r="K453" s="35" t="n">
        <v>0</v>
      </c>
      <c r="L453" s="35" t="n">
        <f aca="false">$K$8*Quesería!$B$39*(Quesería!$F$82+Quesería!$F$83*$K$21)*$K$11*(1-$K$17)</f>
        <v>56.0502928201667</v>
      </c>
    </row>
    <row r="454" customFormat="false" ht="15" hidden="false" customHeight="false" outlineLevel="0" collapsed="false">
      <c r="A454" s="5" t="s">
        <v>298</v>
      </c>
      <c r="B454" s="37" t="n">
        <f aca="false">B442-B443-B444-B445-B450-B437-B438-B439-B452+B453</f>
        <v>-662.041045072899</v>
      </c>
      <c r="C454" s="37" t="n">
        <f aca="false">C442-C443-C444-C445-C450-C437-C438-C439-C452+C453</f>
        <v>-425.441051781911</v>
      </c>
      <c r="D454" s="37" t="n">
        <f aca="false">D442-D443-D444-D445-D450-D437-D438-D439-D452+D453</f>
        <v>323.822090000055</v>
      </c>
      <c r="E454" s="37" t="n">
        <f aca="false">E442-E443-E444-E445-E450-E437-E438-E439-E452+E453</f>
        <v>232.114684337863</v>
      </c>
      <c r="F454" s="37" t="n">
        <f aca="false">F442-F443-F444-F445-F450-F437-F438-F439-F452+F453</f>
        <v>233.393427009068</v>
      </c>
      <c r="G454" s="37" t="n">
        <f aca="false">G442-G443-G444-G445-G450-G437-G438-G439-G452+G453</f>
        <v>200.430960617886</v>
      </c>
      <c r="H454" s="37" t="n">
        <f aca="false">H442-H443-H444-H445-H450-H437-H438-H439-H452+H453</f>
        <v>191.536683320681</v>
      </c>
      <c r="I454" s="37" t="n">
        <f aca="false">I442-I443-I444-I445-I450-I437-I438-I439-I452+I453</f>
        <v>236.721977515606</v>
      </c>
      <c r="J454" s="37" t="n">
        <f aca="false">J442-J443-J444-J445-J450-J437-J438-J439-J452+J453</f>
        <v>229.310222727579</v>
      </c>
      <c r="K454" s="37" t="n">
        <f aca="false">K442-K443-K444-K445-K450-K437-K438-K439-K452+K453</f>
        <v>228.39963485579</v>
      </c>
      <c r="L454" s="37" t="n">
        <f aca="false">L442-L443-L444-L445-L450-L437-L438-L439-L452+L453</f>
        <v>296.909518585598</v>
      </c>
    </row>
    <row r="455" customFormat="false" ht="15" hidden="false" customHeight="false" outlineLevel="0" collapsed="false">
      <c r="A455" s="9" t="s">
        <v>299</v>
      </c>
      <c r="B455" s="36" t="n">
        <f aca="false">B454*B434</f>
        <v>-701.763507777273</v>
      </c>
      <c r="C455" s="36" t="n">
        <f aca="false">C454*C434</f>
        <v>-473.515890633267</v>
      </c>
      <c r="D455" s="36" t="n">
        <f aca="false">D454*D434</f>
        <v>376.632615547714</v>
      </c>
      <c r="E455" s="36" t="n">
        <f aca="false">E454*E434</f>
        <v>280.767871938427</v>
      </c>
      <c r="F455" s="36" t="n">
        <f aca="false">F454*F434</f>
        <v>293.607235807554</v>
      </c>
      <c r="G455" s="36" t="n">
        <f aca="false">G454*G434</f>
        <v>262.226320227875</v>
      </c>
      <c r="H455" s="36" t="n">
        <f aca="false">H454*H434</f>
        <v>260.613419608617</v>
      </c>
      <c r="I455" s="36" t="n">
        <f aca="false">I454*I434</f>
        <v>334.978344131131</v>
      </c>
      <c r="J455" s="36" t="n">
        <f aca="false">J454*J434</f>
        <v>337.469794262865</v>
      </c>
      <c r="K455" s="36" t="n">
        <f aca="false">K454*K434</f>
        <v>349.574894404549</v>
      </c>
      <c r="L455" s="36" t="n">
        <f aca="false">L454*L434</f>
        <v>472.609328905939</v>
      </c>
    </row>
    <row r="456" customFormat="false" ht="15" hidden="false" customHeight="false" outlineLevel="0" collapsed="false">
      <c r="A456" s="6" t="s">
        <v>300</v>
      </c>
      <c r="B456" s="35" t="n">
        <f aca="false">B454</f>
        <v>-662.041045072899</v>
      </c>
      <c r="C456" s="35" t="n">
        <f aca="false">B456+C454</f>
        <v>-1087.48209685481</v>
      </c>
      <c r="D456" s="35" t="n">
        <f aca="false">C456+D454</f>
        <v>-763.660006854755</v>
      </c>
      <c r="E456" s="35" t="n">
        <f aca="false">D456+E454</f>
        <v>-531.545322516892</v>
      </c>
      <c r="F456" s="35" t="n">
        <f aca="false">E456+F454</f>
        <v>-298.151895507824</v>
      </c>
      <c r="G456" s="35" t="n">
        <f aca="false">F456+G454</f>
        <v>-97.7209348899376</v>
      </c>
      <c r="H456" s="35" t="n">
        <f aca="false">G456+H454</f>
        <v>93.8157484307435</v>
      </c>
      <c r="I456" s="35" t="n">
        <f aca="false">H456+I454</f>
        <v>330.53772594635</v>
      </c>
      <c r="J456" s="35" t="n">
        <f aca="false">I456+J454</f>
        <v>559.847948673929</v>
      </c>
      <c r="K456" s="35" t="n">
        <f aca="false">J456+K454</f>
        <v>788.247583529719</v>
      </c>
      <c r="L456" s="35" t="n">
        <f aca="false">K456+L454</f>
        <v>1085.15710211532</v>
      </c>
    </row>
    <row r="457" customFormat="false" ht="15" hidden="false" customHeight="false" outlineLevel="0" collapsed="false">
      <c r="A457" s="9" t="s">
        <v>301</v>
      </c>
      <c r="B457" s="38" t="n">
        <v>0</v>
      </c>
      <c r="C457" s="38" t="n">
        <f aca="false">IF(AND(B456&lt;0,C456&gt;=0),B$43+(-B456)/C454,0)</f>
        <v>0</v>
      </c>
      <c r="D457" s="38" t="n">
        <f aca="false">IF(AND(C456&lt;0,D456&gt;=0),C$43+(-C456)/D454,0)</f>
        <v>0</v>
      </c>
      <c r="E457" s="38" t="n">
        <f aca="false">IF(AND(D456&lt;0,E456&gt;=0),D$43+(-D456)/E454,0)</f>
        <v>0</v>
      </c>
      <c r="F457" s="38" t="n">
        <f aca="false">IF(AND(E456&lt;0,F456&gt;=0),E$43+(-E456)/F454,0)</f>
        <v>0</v>
      </c>
      <c r="G457" s="38" t="n">
        <f aca="false">IF(AND(F456&lt;0,G456&gt;=0),F$43+(-F456)/G454,0)</f>
        <v>0</v>
      </c>
      <c r="H457" s="38" t="n">
        <f aca="false">IF(AND(G456&lt;0,H456&gt;=0),G$43+(-G456)/H454,0)</f>
        <v>5.51019435648433</v>
      </c>
      <c r="I457" s="38" t="n">
        <f aca="false">IF(AND(H456&lt;0,I456&gt;=0),H$43+(-H456)/I454,0)</f>
        <v>0</v>
      </c>
      <c r="J457" s="38" t="n">
        <f aca="false">IF(AND(I456&lt;0,J456&gt;=0),I$43+(-I456)/J454,0)</f>
        <v>0</v>
      </c>
      <c r="K457" s="38" t="n">
        <f aca="false">IF(AND(J456&lt;0,K456&gt;=0),J$43+(-J456)/K454,0)</f>
        <v>0</v>
      </c>
      <c r="L457" s="38" t="n">
        <f aca="false">IF(AND(K456&lt;0,L456&gt;=0),K$43+(-K456)/L454,0)</f>
        <v>0</v>
      </c>
    </row>
    <row r="458" customFormat="false" ht="15" hidden="false" customHeight="false" outlineLevel="0" collapsed="false">
      <c r="A458" s="9" t="s">
        <v>302</v>
      </c>
      <c r="B458" s="34" t="n">
        <f aca="false">(B434/$B$434)/(1+$K$25)^B$43</f>
        <v>1</v>
      </c>
      <c r="C458" s="34" t="n">
        <f aca="false">(C434/$B$434)/(1+$K$25)^C$43</f>
        <v>0.921735848062819</v>
      </c>
      <c r="D458" s="34" t="n">
        <f aca="false">(D434/$B$434)/(1+$K$25)^D$43</f>
        <v>0.845551273729778</v>
      </c>
      <c r="E458" s="34" t="n">
        <f aca="false">(E434/$B$434)/(1+$K$25)^E$43</f>
        <v>0.771952302082657</v>
      </c>
      <c r="F458" s="34" t="n">
        <f aca="false">(F434/$B$434)/(1+$K$25)^F$43</f>
        <v>0.704759575444925</v>
      </c>
      <c r="G458" s="34" t="n">
        <f aca="false">(G434/$B$434)/(1+$K$25)^G$43</f>
        <v>0.643415477667852</v>
      </c>
      <c r="H458" s="34" t="n">
        <f aca="false">(H434/$B$434)/(1+$K$25)^H$43</f>
        <v>0.587410928955732</v>
      </c>
      <c r="I458" s="34" t="n">
        <f aca="false">(I434/$B$434)/(1+$K$25)^I$43</f>
        <v>0.536281161136071</v>
      </c>
      <c r="J458" s="34" t="n">
        <f aca="false">(J434/$B$434)/(1+$K$25)^J$43</f>
        <v>0.489601860661204</v>
      </c>
      <c r="K458" s="34" t="n">
        <f aca="false">(K434/$B$434)/(1+$K$25)^K$43</f>
        <v>0.446985647333025</v>
      </c>
      <c r="L458" s="34" t="n">
        <f aca="false">(L434/$B$434)/(1+$K$25)^L$43</f>
        <v>0.408078859528639</v>
      </c>
    </row>
    <row r="459" customFormat="false" ht="15" hidden="false" customHeight="false" outlineLevel="0" collapsed="false">
      <c r="A459" s="9" t="s">
        <v>303</v>
      </c>
      <c r="B459" s="36" t="n">
        <f aca="false">B454*B458</f>
        <v>-662.041045072899</v>
      </c>
      <c r="C459" s="36" t="n">
        <f aca="false">C454*C458</f>
        <v>-392.144268664937</v>
      </c>
      <c r="D459" s="36" t="n">
        <f aca="false">D454*D458</f>
        <v>273.808180661385</v>
      </c>
      <c r="E459" s="36" t="n">
        <f aca="false">E454*E458</f>
        <v>179.181464921803</v>
      </c>
      <c r="F459" s="36" t="n">
        <f aca="false">F454*F458</f>
        <v>164.486252530547</v>
      </c>
      <c r="G459" s="36" t="n">
        <f aca="false">G454*G458</f>
        <v>128.960382265384</v>
      </c>
      <c r="H459" s="36" t="n">
        <f aca="false">H454*H458</f>
        <v>112.510741078501</v>
      </c>
      <c r="I459" s="36" t="n">
        <f aca="false">I454*I458</f>
        <v>126.949536968496</v>
      </c>
      <c r="J459" s="36" t="n">
        <f aca="false">J454*J458</f>
        <v>112.270711716058</v>
      </c>
      <c r="K459" s="36" t="n">
        <f aca="false">K454*K458</f>
        <v>102.091358636642</v>
      </c>
      <c r="L459" s="36" t="n">
        <f aca="false">L454*L458</f>
        <v>121.162497727608</v>
      </c>
    </row>
    <row r="460" customFormat="false" ht="15" hidden="false" customHeight="false" outlineLevel="0" collapsed="false">
      <c r="A460" s="9" t="s">
        <v>304</v>
      </c>
      <c r="B460" s="36" t="n">
        <f aca="false">B459</f>
        <v>-662.041045072899</v>
      </c>
      <c r="C460" s="36" t="n">
        <f aca="false">B460+C459</f>
        <v>-1054.18531373784</v>
      </c>
      <c r="D460" s="36" t="n">
        <f aca="false">C460+D459</f>
        <v>-780.377133076451</v>
      </c>
      <c r="E460" s="36" t="n">
        <f aca="false">D460+E459</f>
        <v>-601.195668154648</v>
      </c>
      <c r="F460" s="36" t="n">
        <f aca="false">E460+F459</f>
        <v>-436.709415624101</v>
      </c>
      <c r="G460" s="36" t="n">
        <f aca="false">F460+G459</f>
        <v>-307.749033358717</v>
      </c>
      <c r="H460" s="36" t="n">
        <f aca="false">G460+H459</f>
        <v>-195.238292280216</v>
      </c>
      <c r="I460" s="36" t="n">
        <f aca="false">H460+I459</f>
        <v>-68.2887553117202</v>
      </c>
      <c r="J460" s="36" t="n">
        <f aca="false">I460+J459</f>
        <v>43.9819564043376</v>
      </c>
      <c r="K460" s="36" t="n">
        <f aca="false">J460+K459</f>
        <v>146.07331504098</v>
      </c>
      <c r="L460" s="36" t="n">
        <f aca="false">K460+L459</f>
        <v>267.235812768588</v>
      </c>
    </row>
    <row r="461" customFormat="false" ht="15" hidden="false" customHeight="false" outlineLevel="0" collapsed="false">
      <c r="A461" s="9" t="s">
        <v>305</v>
      </c>
      <c r="B461" s="38" t="n">
        <v>0</v>
      </c>
      <c r="C461" s="38" t="n">
        <f aca="false">IF(AND(B460&lt;0,C460&gt;=0),B$43+(-B460)/C459,0)</f>
        <v>0</v>
      </c>
      <c r="D461" s="38" t="n">
        <f aca="false">IF(AND(C460&lt;0,D460&gt;=0),C$43+(-C460)/D459,0)</f>
        <v>0</v>
      </c>
      <c r="E461" s="38" t="n">
        <f aca="false">IF(AND(D460&lt;0,E460&gt;=0),D$43+(-D460)/E459,0)</f>
        <v>0</v>
      </c>
      <c r="F461" s="38" t="n">
        <f aca="false">IF(AND(E460&lt;0,F460&gt;=0),E$43+(-E460)/F459,0)</f>
        <v>0</v>
      </c>
      <c r="G461" s="38" t="n">
        <f aca="false">IF(AND(F460&lt;0,G460&gt;=0),F$43+(-F460)/G459,0)</f>
        <v>0</v>
      </c>
      <c r="H461" s="38" t="n">
        <f aca="false">IF(AND(G460&lt;0,H460&gt;=0),G$43+(-G460)/H459,0)</f>
        <v>0</v>
      </c>
      <c r="I461" s="38" t="n">
        <f aca="false">IF(AND(H460&lt;0,I460&gt;=0),H$43+(-H460)/I459,0)</f>
        <v>0</v>
      </c>
      <c r="J461" s="38" t="n">
        <f aca="false">IF(AND(I460&lt;0,J460&gt;=0),I$43+(-I460)/J459,0)</f>
        <v>7.60825084537122</v>
      </c>
      <c r="K461" s="38" t="n">
        <f aca="false">IF(AND(J460&lt;0,K460&gt;=0),J$43+(-J460)/K459,0)</f>
        <v>0</v>
      </c>
      <c r="L461" s="38" t="n">
        <f aca="false">IF(AND(K460&lt;0,L460&gt;=0),K$43+(-K460)/L459,0)</f>
        <v>0</v>
      </c>
    </row>
    <row r="462" customFormat="false" ht="15" hidden="false" customHeight="false" outlineLevel="0" collapsed="false">
      <c r="A462" s="9" t="s">
        <v>306</v>
      </c>
      <c r="B462" s="36" t="n">
        <f aca="false">IF(B$43&lt;0,0,(Quesería!$B$40*$B$437*$B$434)*(1-MAX(0,MIN(B$43-0-Quesería!$B$43,(Quesería!$B$42-Quesería!$B$43)))/(Quesería!$B$42-Quesería!$B$43)))+IF(B$43&lt;1,0,(Quesería!$B$40*$C$437*$C$434)*(1-MAX(0,MIN(B$43-1-Quesería!$B$43,(Quesería!$B$42-Quesería!$B$43)))/(Quesería!$B$42-Quesería!$B$43)))</f>
        <v>461.704769247221</v>
      </c>
      <c r="C462" s="36" t="n">
        <f aca="false">IF(C$43&lt;0,0,(Quesería!$B$40*$B$437*$B$434)*(1-MAX(0,MIN(C$43-0-Quesería!$B$43,(Quesería!$B$42-Quesería!$B$43)))/(Quesería!$B$42-Quesería!$B$43)))+IF(C$43&lt;1,0,(Quesería!$B$40*$C$437*$C$434)*(1-MAX(0,MIN(C$43-1-Quesería!$B$43,(Quesería!$B$42-Quesería!$B$43)))/(Quesería!$B$42-Quesería!$B$43)))</f>
        <v>964.434695258825</v>
      </c>
      <c r="D462" s="36" t="n">
        <f aca="false">IF(D$43&lt;0,0,(Quesería!$B$40*$B$437*$B$434)*(1-MAX(0,MIN(D$43-0-Quesería!$B$43,(Quesería!$B$42-Quesería!$B$43)))/(Quesería!$B$42-Quesería!$B$43)))+IF(D$43&lt;1,0,(Quesería!$B$40*$C$437*$C$434)*(1-MAX(0,MIN(D$43-1-Quesería!$B$43,(Quesería!$B$42-Quesería!$B$43)))/(Quesería!$B$42-Quesería!$B$43)))</f>
        <v>887.483900384289</v>
      </c>
      <c r="E462" s="36" t="n">
        <f aca="false">IF(E$43&lt;0,0,(Quesería!$B$40*$B$437*$B$434)*(1-MAX(0,MIN(E$43-0-Quesería!$B$43,(Quesería!$B$42-Quesería!$B$43)))/(Quesería!$B$42-Quesería!$B$43)))+IF(E$43&lt;1,0,(Quesería!$B$40*$C$437*$C$434)*(1-MAX(0,MIN(E$43-1-Quesería!$B$43,(Quesería!$B$42-Quesería!$B$43)))/(Quesería!$B$42-Quesería!$B$43)))</f>
        <v>726.744784507818</v>
      </c>
      <c r="F462" s="36" t="n">
        <f aca="false">IF(F$43&lt;0,0,(Quesería!$B$40*$B$437*$B$434)*(1-MAX(0,MIN(F$43-0-Quesería!$B$43,(Quesería!$B$42-Quesería!$B$43)))/(Quesería!$B$42-Quesería!$B$43)))+IF(F$43&lt;1,0,(Quesería!$B$40*$C$437*$C$434)*(1-MAX(0,MIN(F$43-1-Quesería!$B$43,(Quesería!$B$42-Quesería!$B$43)))/(Quesería!$B$42-Quesería!$B$43)))</f>
        <v>566.005668631347</v>
      </c>
      <c r="G462" s="36" t="n">
        <f aca="false">IF(G$43&lt;0,0,(Quesería!$B$40*$B$437*$B$434)*(1-MAX(0,MIN(G$43-0-Quesería!$B$43,(Quesería!$B$42-Quesería!$B$43)))/(Quesería!$B$42-Quesería!$B$43)))+IF(G$43&lt;1,0,(Quesería!$B$40*$C$437*$C$434)*(1-MAX(0,MIN(G$43-1-Quesería!$B$43,(Quesería!$B$42-Quesería!$B$43)))/(Quesería!$B$42-Quesería!$B$43)))</f>
        <v>405.266552754876</v>
      </c>
      <c r="H462" s="36" t="n">
        <f aca="false">IF(H$43&lt;0,0,(Quesería!$B$40*$B$437*$B$434)*(1-MAX(0,MIN(H$43-0-Quesería!$B$43,(Quesería!$B$42-Quesería!$B$43)))/(Quesería!$B$42-Quesería!$B$43)))+IF(H$43&lt;1,0,(Quesería!$B$40*$C$437*$C$434)*(1-MAX(0,MIN(H$43-1-Quesería!$B$43,(Quesería!$B$42-Quesería!$B$43)))/(Quesería!$B$42-Quesería!$B$43)))</f>
        <v>244.527436878405</v>
      </c>
      <c r="I462" s="36" t="n">
        <f aca="false">IF(I$43&lt;0,0,(Quesería!$B$40*$B$437*$B$434)*(1-MAX(0,MIN(I$43-0-Quesería!$B$43,(Quesería!$B$42-Quesería!$B$43)))/(Quesería!$B$42-Quesería!$B$43)))+IF(I$43&lt;1,0,(Quesería!$B$40*$C$437*$C$434)*(1-MAX(0,MIN(I$43-1-Quesería!$B$43,(Quesería!$B$42-Quesería!$B$43)))/(Quesería!$B$42-Quesería!$B$43)))</f>
        <v>83.788321001934</v>
      </c>
      <c r="J462" s="36" t="n">
        <f aca="false">IF(J$43&lt;0,0,(Quesería!$B$40*$B$437*$B$434)*(1-MAX(0,MIN(J$43-0-Quesería!$B$43,(Quesería!$B$42-Quesería!$B$43)))/(Quesería!$B$42-Quesería!$B$43)))+IF(J$43&lt;1,0,(Quesería!$B$40*$C$437*$C$434)*(1-MAX(0,MIN(J$43-1-Quesería!$B$43,(Quesería!$B$42-Quesería!$B$43)))/(Quesería!$B$42-Quesería!$B$43)))</f>
        <v>0</v>
      </c>
      <c r="K462" s="36" t="n">
        <f aca="false">IF(K$43&lt;0,0,(Quesería!$B$40*$B$437*$B$434)*(1-MAX(0,MIN(K$43-0-Quesería!$B$43,(Quesería!$B$42-Quesería!$B$43)))/(Quesería!$B$42-Quesería!$B$43)))+IF(K$43&lt;1,0,(Quesería!$B$40*$C$437*$C$434)*(1-MAX(0,MIN(K$43-1-Quesería!$B$43,(Quesería!$B$42-Quesería!$B$43)))/(Quesería!$B$42-Quesería!$B$43)))</f>
        <v>0</v>
      </c>
      <c r="L462" s="36" t="n">
        <f aca="false">IF(L$43&lt;0,0,(Quesería!$B$40*$B$437*$B$434)*(1-MAX(0,MIN(L$43-0-Quesería!$B$43,(Quesería!$B$42-Quesería!$B$43)))/(Quesería!$B$42-Quesería!$B$43)))+IF(L$43&lt;1,0,(Quesería!$B$40*$C$437*$C$434)*(1-MAX(0,MIN(L$43-1-Quesería!$B$43,(Quesería!$B$42-Quesería!$B$43)))/(Quesería!$B$42-Quesería!$B$43)))</f>
        <v>0</v>
      </c>
    </row>
    <row r="463" customFormat="false" ht="15" hidden="false" customHeight="false" outlineLevel="0" collapsed="false">
      <c r="A463" s="6" t="s">
        <v>307</v>
      </c>
      <c r="B463" s="35" t="n">
        <f aca="false">Quesería!$B$40*B437</f>
        <v>435.57053702568</v>
      </c>
      <c r="C463" s="35" t="n">
        <f aca="false">Quesería!$B$40*C437</f>
        <v>451.689062005035</v>
      </c>
      <c r="D463" s="35" t="n">
        <f aca="false">Quesería!$B$40*D437</f>
        <v>0</v>
      </c>
      <c r="E463" s="35" t="n">
        <f aca="false">Quesería!$B$40*E437</f>
        <v>0</v>
      </c>
      <c r="F463" s="35" t="n">
        <f aca="false">Quesería!$B$40*F437</f>
        <v>0</v>
      </c>
      <c r="G463" s="35" t="n">
        <f aca="false">Quesería!$B$40*G437</f>
        <v>0</v>
      </c>
      <c r="H463" s="35" t="n">
        <f aca="false">Quesería!$B$40*H437</f>
        <v>0</v>
      </c>
      <c r="I463" s="35" t="n">
        <f aca="false">Quesería!$B$40*I437</f>
        <v>0</v>
      </c>
      <c r="J463" s="35" t="n">
        <f aca="false">Quesería!$B$40*J437</f>
        <v>0</v>
      </c>
      <c r="K463" s="35" t="n">
        <f aca="false">Quesería!$B$40*K437</f>
        <v>0</v>
      </c>
      <c r="L463" s="35" t="n">
        <f aca="false">Quesería!$B$40*L437</f>
        <v>0</v>
      </c>
    </row>
    <row r="464" customFormat="false" ht="15" hidden="false" customHeight="false" outlineLevel="0" collapsed="false">
      <c r="A464" s="6" t="s">
        <v>308</v>
      </c>
      <c r="B464" s="35" t="n">
        <f aca="false">(IF(AND(B$43&gt;0,B$43&lt;=0+Quesería!$B$42),($K$14+$K$24)*((Quesería!$B$40*$B$437*$B$434)-(Quesería!$B$40*$B$437*$B$434)/(Quesería!$B$42-Quesería!$B$43)*MAX(0,MIN(B$43-1-0-Quesería!$B$43,(Quesería!$B$42-Quesería!$B$43)))),0)+IF(AND(B$43&gt;1,B$43&lt;=1+Quesería!$B$42),($K$14+$K$24)*((Quesería!$B$40*$C$437*$C$434)-(Quesería!$B$40*$C$437*$C$434)/(Quesería!$B$42-Quesería!$B$43)*MAX(0,MIN(B$43-1-1-Quesería!$B$43,(Quesería!$B$42-Quesería!$B$43)))),0))*B436</f>
        <v>0</v>
      </c>
      <c r="C464" s="35" t="n">
        <f aca="false">(IF(AND(C$43&gt;0,C$43&lt;=0+Quesería!$B$42),($K$14+$K$24)*((Quesería!$B$40*$B$437*$B$434)-(Quesería!$B$40*$B$437*$B$434)/(Quesería!$B$42-Quesería!$B$43)*MAX(0,MIN(C$43-1-0-Quesería!$B$43,(Quesería!$B$42-Quesería!$B$43)))),0)+IF(AND(C$43&gt;1,C$43&lt;=1+Quesería!$B$42),($K$14+$K$24)*((Quesería!$B$40*$C$437*$C$434)-(Quesería!$B$40*$C$437*$C$434)/(Quesería!$B$42-Quesería!$B$43)*MAX(0,MIN(C$43-1-1-Quesería!$B$43,(Quesería!$B$42-Quesería!$B$43)))),0))*C436</f>
        <v>58.4909006863056</v>
      </c>
      <c r="D464" s="35" t="n">
        <f aca="false">(IF(AND(D$43&gt;0,D$43&lt;=0+Quesería!$B$42),($K$14+$K$24)*((Quesería!$B$40*$B$437*$B$434)-(Quesería!$B$40*$B$437*$B$434)/(Quesería!$B$42-Quesería!$B$43)*MAX(0,MIN(D$43-1-0-Quesería!$B$43,(Quesería!$B$42-Quesería!$B$43)))),0)+IF(AND(D$43&gt;1,D$43&lt;=1+Quesería!$B$42),($K$14+$K$24)*((Quesería!$B$40*$C$437*$C$434)-(Quesería!$B$40*$C$437*$C$434)/(Quesería!$B$42-Quesería!$B$43)*MAX(0,MIN(D$43-1-1-Quesería!$B$43,(Quesería!$B$42-Quesería!$B$43)))),0))*D436</f>
        <v>116.917759262216</v>
      </c>
      <c r="E464" s="35" t="n">
        <f aca="false">(IF(AND(E$43&gt;0,E$43&lt;=0+Quesería!$B$42),($K$14+$K$24)*((Quesería!$B$40*$B$437*$B$434)-(Quesería!$B$40*$B$437*$B$434)/(Quesería!$B$42-Quesería!$B$43)*MAX(0,MIN(E$43-1-0-Quesería!$B$43,(Quesería!$B$42-Quesería!$B$43)))),0)+IF(AND(E$43&gt;1,E$43&lt;=1+Quesería!$B$42),($K$14+$K$24)*((Quesería!$B$40*$C$437*$C$434)-(Quesería!$B$40*$C$437*$C$434)/(Quesería!$B$42-Quesería!$B$43)*MAX(0,MIN(E$43-1-1-Quesería!$B$43,(Quesería!$B$42-Quesería!$B$43)))),0))*E436</f>
        <v>103.451025930528</v>
      </c>
      <c r="F464" s="35" t="n">
        <f aca="false">(IF(AND(F$43&gt;0,F$43&lt;=0+Quesería!$B$42),($K$14+$K$24)*((Quesería!$B$40*$B$437*$B$434)-(Quesería!$B$40*$B$437*$B$434)/(Quesería!$B$42-Quesería!$B$43)*MAX(0,MIN(F$43-1-0-Quesería!$B$43,(Quesería!$B$42-Quesería!$B$43)))),0)+IF(AND(F$43&gt;1,F$43&lt;=1+Quesería!$B$42),($K$14+$K$24)*((Quesería!$B$40*$C$437*$C$434)-(Quesería!$B$40*$C$437*$C$434)/(Quesería!$B$42-Quesería!$B$43)*MAX(0,MIN(F$43-1-1-Quesería!$B$43,(Quesería!$B$42-Quesería!$B$43)))),0))*F436</f>
        <v>81.455966861483</v>
      </c>
      <c r="G464" s="35" t="n">
        <f aca="false">(IF(AND(G$43&gt;0,G$43&lt;=0+Quesería!$B$42),($K$14+$K$24)*((Quesería!$B$40*$B$437*$B$434)-(Quesería!$B$40*$B$437*$B$434)/(Quesería!$B$42-Quesería!$B$43)*MAX(0,MIN(G$43-1-0-Quesería!$B$43,(Quesería!$B$42-Quesería!$B$43)))),0)+IF(AND(G$43&gt;1,G$43&lt;=1+Quesería!$B$42),($K$14+$K$24)*((Quesería!$B$40*$C$437*$C$434)-(Quesería!$B$40*$C$437*$C$434)/(Quesería!$B$42-Quesería!$B$43)*MAX(0,MIN(G$43-1-1-Quesería!$B$43,(Quesería!$B$42-Quesería!$B$43)))),0))*G436</f>
        <v>60.9998013511061</v>
      </c>
      <c r="H464" s="35" t="n">
        <f aca="false">(IF(AND(H$43&gt;0,H$43&lt;=0+Quesería!$B$42),($K$14+$K$24)*((Quesería!$B$40*$B$437*$B$434)-(Quesería!$B$40*$B$437*$B$434)/(Quesería!$B$42-Quesería!$B$43)*MAX(0,MIN(H$43-1-0-Quesería!$B$43,(Quesería!$B$42-Quesería!$B$43)))),0)+IF(AND(H$43&gt;1,H$43&lt;=1+Quesería!$B$42),($K$14+$K$24)*((Quesería!$B$40*$C$437*$C$434)-(Quesería!$B$40*$C$437*$C$434)/(Quesería!$B$42-Quesería!$B$43)*MAX(0,MIN(H$43-1-1-Quesería!$B$43,(Quesería!$B$42-Quesería!$B$43)))),0))*H436</f>
        <v>41.9966900414366</v>
      </c>
      <c r="I464" s="35" t="n">
        <f aca="false">(IF(AND(I$43&gt;0,I$43&lt;=0+Quesería!$B$42),($K$14+$K$24)*((Quesería!$B$40*$B$437*$B$434)-(Quesería!$B$40*$B$437*$B$434)/(Quesería!$B$42-Quesería!$B$43)*MAX(0,MIN(I$43-1-0-Quesería!$B$43,(Quesería!$B$42-Quesería!$B$43)))),0)+IF(AND(I$43&gt;1,I$43&lt;=1+Quesería!$B$42),($K$14+$K$24)*((Quesería!$B$40*$C$437*$C$434)-(Quesería!$B$40*$C$437*$C$434)/(Quesería!$B$42-Quesería!$B$43)*MAX(0,MIN(I$43-1-1-Quesería!$B$43,(Quesería!$B$42-Quesería!$B$43)))),0))*I436</f>
        <v>24.3651201322873</v>
      </c>
      <c r="J464" s="35" t="n">
        <f aca="false">(IF(AND(J$43&gt;0,J$43&lt;=0+Quesería!$B$42),($K$14+$K$24)*((Quesería!$B$40*$B$437*$B$434)-(Quesería!$B$40*$B$437*$B$434)/(Quesería!$B$42-Quesería!$B$43)*MAX(0,MIN(J$43-1-0-Quesería!$B$43,(Quesería!$B$42-Quesería!$B$43)))),0)+IF(AND(J$43&gt;1,J$43&lt;=1+Quesería!$B$42),($K$14+$K$24)*((Quesería!$B$40*$C$437*$C$434)-(Quesería!$B$40*$C$437*$C$434)/(Quesería!$B$42-Quesería!$B$43)*MAX(0,MIN(J$43-1-1-Quesería!$B$43,(Quesería!$B$42-Quesería!$B$43)))),0))*J436</f>
        <v>8.02769955040774</v>
      </c>
      <c r="K464" s="35" t="n">
        <f aca="false">(IF(AND(K$43&gt;0,K$43&lt;=0+Quesería!$B$42),($K$14+$K$24)*((Quesería!$B$40*$B$437*$B$434)-(Quesería!$B$40*$B$437*$B$434)/(Quesería!$B$42-Quesería!$B$43)*MAX(0,MIN(K$43-1-0-Quesería!$B$43,(Quesería!$B$42-Quesería!$B$43)))),0)+IF(AND(K$43&gt;1,K$43&lt;=1+Quesería!$B$42),($K$14+$K$24)*((Quesería!$B$40*$C$437*$C$434)-(Quesería!$B$40*$C$437*$C$434)/(Quesería!$B$42-Quesería!$B$43)*MAX(0,MIN(K$43-1-1-Quesería!$B$43,(Quesería!$B$42-Quesería!$B$43)))),0))*K436</f>
        <v>0</v>
      </c>
      <c r="L464" s="35" t="n">
        <f aca="false">(IF(AND(L$43&gt;0,L$43&lt;=0+Quesería!$B$42),($K$14+$K$24)*((Quesería!$B$40*$B$437*$B$434)-(Quesería!$B$40*$B$437*$B$434)/(Quesería!$B$42-Quesería!$B$43)*MAX(0,MIN(L$43-1-0-Quesería!$B$43,(Quesería!$B$42-Quesería!$B$43)))),0)+IF(AND(L$43&gt;1,L$43&lt;=1+Quesería!$B$42),($K$14+$K$24)*((Quesería!$B$40*$C$437*$C$434)-(Quesería!$B$40*$C$437*$C$434)/(Quesería!$B$42-Quesería!$B$43)*MAX(0,MIN(L$43-1-1-Quesería!$B$43,(Quesería!$B$42-Quesería!$B$43)))),0))*L436</f>
        <v>0</v>
      </c>
    </row>
    <row r="465" customFormat="false" ht="15" hidden="false" customHeight="false" outlineLevel="0" collapsed="false">
      <c r="A465" s="6" t="s">
        <v>309</v>
      </c>
      <c r="B465" s="35" t="n">
        <f aca="false">(IF(AND(B$43&gt;0+Quesería!$B$43,B$43&lt;=0+Quesería!$B$42),(Quesería!$B$40*$B$437*$B$434)/(Quesería!$B$42-Quesería!$B$43),0)+IF(AND(B$43&gt;1+Quesería!$B$43,B$43&lt;=1+Quesería!$B$42),(Quesería!$B$40*$C$437*$C$434)/(Quesería!$B$42-Quesería!$B$43),0))*B436</f>
        <v>0</v>
      </c>
      <c r="C465" s="35" t="n">
        <f aca="false">(IF(AND(C$43&gt;0+Quesería!$B$43,C$43&lt;=0+Quesería!$B$42),(Quesería!$B$40*$B$437*$B$434)/(Quesería!$B$42-Quesería!$B$43),0)+IF(AND(C$43&gt;1+Quesería!$B$43,C$43&lt;=1+Quesería!$B$42),(Quesería!$B$40*$C$437*$C$434)/(Quesería!$B$42-Quesería!$B$43),0))*C436</f>
        <v>0</v>
      </c>
      <c r="D465" s="35" t="n">
        <f aca="false">(IF(AND(D$43&gt;0+Quesería!$B$43,D$43&lt;=0+Quesería!$B$42),(Quesería!$B$40*$B$437*$B$434)/(Quesería!$B$42-Quesería!$B$43),0)+IF(AND(D$43&gt;1+Quesería!$B$43,D$43&lt;=1+Quesería!$B$42),(Quesería!$B$40*$C$437*$C$434)/(Quesería!$B$42-Quesería!$B$43),0))*D436</f>
        <v>66.1609382586284</v>
      </c>
      <c r="E465" s="35" t="n">
        <f aca="false">(IF(AND(E$43&gt;0+Quesería!$B$43,E$43&lt;=0+Quesería!$B$42),(Quesería!$B$40*$B$437*$B$434)/(Quesería!$B$42-Quesería!$B$43),0)+IF(AND(E$43&gt;1+Quesería!$B$43,E$43&lt;=1+Quesería!$B$42),(Quesería!$B$40*$C$437*$C$434)/(Quesería!$B$42-Quesería!$B$43),0))*E436</f>
        <v>132.885251025432</v>
      </c>
      <c r="F465" s="35" t="n">
        <f aca="false">(IF(AND(F$43&gt;0+Quesería!$B$43,F$43&lt;=0+Quesería!$B$42),(Quesería!$B$40*$B$437*$B$434)/(Quesería!$B$42-Quesería!$B$43),0)+IF(AND(F$43&gt;1+Quesería!$B$43,F$43&lt;=1+Quesería!$B$42),(Quesería!$B$40*$C$437*$C$434)/(Quesería!$B$42-Quesería!$B$43),0))*F436</f>
        <v>127.774279832146</v>
      </c>
      <c r="G465" s="35" t="n">
        <f aca="false">(IF(AND(G$43&gt;0+Quesería!$B$43,G$43&lt;=0+Quesería!$B$42),(Quesería!$B$40*$B$437*$B$434)/(Quesería!$B$42-Quesería!$B$43),0)+IF(AND(G$43&gt;1+Quesería!$B$43,G$43&lt;=1+Quesería!$B$42),(Quesería!$B$40*$C$437*$C$434)/(Quesería!$B$42-Quesería!$B$43),0))*G436</f>
        <v>122.859884453986</v>
      </c>
      <c r="H465" s="35" t="n">
        <f aca="false">(IF(AND(H$43&gt;0+Quesería!$B$43,H$43&lt;=0+Quesería!$B$42),(Quesería!$B$40*$B$437*$B$434)/(Quesería!$B$42-Quesería!$B$43),0)+IF(AND(H$43&gt;1+Quesería!$B$43,H$43&lt;=1+Quesería!$B$42),(Quesería!$B$40*$C$437*$C$434)/(Quesería!$B$42-Quesería!$B$43),0))*H436</f>
        <v>118.134504282679</v>
      </c>
      <c r="I465" s="35" t="n">
        <f aca="false">(IF(AND(I$43&gt;0+Quesería!$B$43,I$43&lt;=0+Quesería!$B$42),(Quesería!$B$40*$B$437*$B$434)/(Quesería!$B$42-Quesería!$B$43),0)+IF(AND(I$43&gt;1+Quesería!$B$43,I$43&lt;=1+Quesería!$B$42),(Quesería!$B$40*$C$437*$C$434)/(Quesería!$B$42-Quesería!$B$43),0))*I436</f>
        <v>113.590869502576</v>
      </c>
      <c r="J465" s="35" t="n">
        <f aca="false">(IF(AND(J$43&gt;0+Quesería!$B$43,J$43&lt;=0+Quesería!$B$42),(Quesería!$B$40*$B$437*$B$434)/(Quesería!$B$42-Quesería!$B$43),0)+IF(AND(J$43&gt;1+Quesería!$B$43,J$43&lt;=1+Quesería!$B$42),(Quesería!$B$40*$C$437*$C$434)/(Quesería!$B$42-Quesería!$B$43),0))*J436</f>
        <v>56.9340393645939</v>
      </c>
      <c r="K465" s="35" t="n">
        <f aca="false">(IF(AND(K$43&gt;0+Quesería!$B$43,K$43&lt;=0+Quesería!$B$42),(Quesería!$B$40*$B$437*$B$434)/(Quesería!$B$42-Quesería!$B$43),0)+IF(AND(K$43&gt;1+Quesería!$B$43,K$43&lt;=1+Quesería!$B$42),(Quesería!$B$40*$C$437*$C$434)/(Quesería!$B$42-Quesería!$B$43),0))*K436</f>
        <v>0</v>
      </c>
      <c r="L465" s="35" t="n">
        <f aca="false">(IF(AND(L$43&gt;0+Quesería!$B$43,L$43&lt;=0+Quesería!$B$42),(Quesería!$B$40*$B$437*$B$434)/(Quesería!$B$42-Quesería!$B$43),0)+IF(AND(L$43&gt;1+Quesería!$B$43,L$43&lt;=1+Quesería!$B$42),(Quesería!$B$40*$C$437*$C$434)/(Quesería!$B$42-Quesería!$B$43),0))*L436</f>
        <v>0</v>
      </c>
    </row>
    <row r="466" customFormat="false" ht="15" hidden="false" customHeight="false" outlineLevel="0" collapsed="false">
      <c r="A466" s="6" t="s">
        <v>310</v>
      </c>
      <c r="B466" s="35" t="n">
        <f aca="false">$K$13*Quesería!$B$44*(1+0.19)*B462*B436+(1-$K$13)*IF(B$43=0,Quesería!$B$53,0)</f>
        <v>4</v>
      </c>
      <c r="C466" s="35" t="n">
        <f aca="false">$K$13*Quesería!$B$44*(1+0.19)*C462*C436+(1-$K$13)*IF(C$43=0,Quesería!$B$53,0)</f>
        <v>0</v>
      </c>
      <c r="D466" s="35" t="n">
        <f aca="false">$K$13*Quesería!$B$44*(1+0.19)*D462*D436+(1-$K$13)*IF(D$43=0,Quesería!$B$53,0)</f>
        <v>0</v>
      </c>
      <c r="E466" s="35" t="n">
        <f aca="false">$K$13*Quesería!$B$44*(1+0.19)*E462*E436+(1-$K$13)*IF(E$43=0,Quesería!$B$53,0)</f>
        <v>0</v>
      </c>
      <c r="F466" s="35" t="n">
        <f aca="false">$K$13*Quesería!$B$44*(1+0.19)*F462*F436+(1-$K$13)*IF(F$43=0,Quesería!$B$53,0)</f>
        <v>0</v>
      </c>
      <c r="G466" s="35" t="n">
        <f aca="false">$K$13*Quesería!$B$44*(1+0.19)*G462*G436+(1-$K$13)*IF(G$43=0,Quesería!$B$53,0)</f>
        <v>0</v>
      </c>
      <c r="H466" s="35" t="n">
        <f aca="false">$K$13*Quesería!$B$44*(1+0.19)*H462*H436+(1-$K$13)*IF(H$43=0,Quesería!$B$53,0)</f>
        <v>0</v>
      </c>
      <c r="I466" s="35" t="n">
        <f aca="false">$K$13*Quesería!$B$44*(1+0.19)*I462*I436+(1-$K$13)*IF(I$43=0,Quesería!$B$53,0)</f>
        <v>0</v>
      </c>
      <c r="J466" s="35" t="n">
        <f aca="false">$K$13*Quesería!$B$44*(1+0.19)*J462*J436+(1-$K$13)*IF(J$43=0,Quesería!$B$53,0)</f>
        <v>0</v>
      </c>
      <c r="K466" s="35" t="n">
        <f aca="false">$K$13*Quesería!$B$44*(1+0.19)*K462*K436+(1-$K$13)*IF(K$43=0,Quesería!$B$53,0)</f>
        <v>0</v>
      </c>
      <c r="L466" s="35" t="n">
        <f aca="false">$K$13*Quesería!$B$44*(1+0.19)*L462*L436+(1-$K$13)*IF(L$43=0,Quesería!$B$53,0)</f>
        <v>0</v>
      </c>
    </row>
    <row r="467" customFormat="false" ht="15" hidden="false" customHeight="false" outlineLevel="0" collapsed="false">
      <c r="A467" s="6" t="s">
        <v>311</v>
      </c>
      <c r="B467" s="35" t="n">
        <f aca="false">Quesería!$B$45*(B464+B465+B466)</f>
        <v>0.016</v>
      </c>
      <c r="C467" s="35" t="n">
        <f aca="false">Quesería!$B$45*(C464+C465+C466)</f>
        <v>0.233963602745223</v>
      </c>
      <c r="D467" s="35" t="n">
        <f aca="false">Quesería!$B$45*(D464+D465+D466)</f>
        <v>0.732314790083377</v>
      </c>
      <c r="E467" s="35" t="n">
        <f aca="false">Quesería!$B$45*(E464+E465+E466)</f>
        <v>0.94534510782384</v>
      </c>
      <c r="F467" s="35" t="n">
        <f aca="false">Quesería!$B$45*(F464+F465+F466)</f>
        <v>0.836920986774515</v>
      </c>
      <c r="G467" s="35" t="n">
        <f aca="false">Quesería!$B$45*(G464+G465+G466)</f>
        <v>0.73543874322037</v>
      </c>
      <c r="H467" s="35" t="n">
        <f aca="false">Quesería!$B$45*(H464+H465+H466)</f>
        <v>0.640524777296463</v>
      </c>
      <c r="I467" s="35" t="n">
        <f aca="false">Quesería!$B$45*(I464+I465+I466)</f>
        <v>0.551823958539454</v>
      </c>
      <c r="J467" s="35" t="n">
        <f aca="false">Quesería!$B$45*(J464+J465+J466)</f>
        <v>0.259846955660007</v>
      </c>
      <c r="K467" s="35" t="n">
        <f aca="false">Quesería!$B$45*(K464+K465+K466)</f>
        <v>0</v>
      </c>
      <c r="L467" s="35" t="n">
        <f aca="false">Quesería!$B$45*(L464+L465+L466)</f>
        <v>0</v>
      </c>
    </row>
    <row r="468" customFormat="false" ht="15" hidden="false" customHeight="false" outlineLevel="0" collapsed="false">
      <c r="A468" s="6" t="s">
        <v>312</v>
      </c>
      <c r="B468" s="35" t="n">
        <f aca="false">$K$17*(B464+B466+0.5*B467)</f>
        <v>1.4028</v>
      </c>
      <c r="C468" s="35" t="n">
        <f aca="false">$K$17*(C464+C466+0.5*C467)</f>
        <v>20.5127588706874</v>
      </c>
      <c r="D468" s="35" t="n">
        <f aca="false">$K$17*(D464+D466+0.5*D467)</f>
        <v>41.0493708300401</v>
      </c>
      <c r="E468" s="35" t="n">
        <f aca="false">$K$17*(E464+E466+0.5*E467)</f>
        <v>36.373294469554</v>
      </c>
      <c r="F468" s="35" t="n">
        <f aca="false">$K$17*(F464+F466+0.5*F467)</f>
        <v>28.6560495742046</v>
      </c>
      <c r="G468" s="35" t="n">
        <f aca="false">$K$17*(G464+G466+0.5*G467)</f>
        <v>21.4786322529507</v>
      </c>
      <c r="H468" s="35" t="n">
        <f aca="false">$K$17*(H464+H466+0.5*H467)</f>
        <v>14.8109333505297</v>
      </c>
      <c r="I468" s="35" t="n">
        <f aca="false">$K$17*(I464+I466+0.5*I467)</f>
        <v>8.62436123904496</v>
      </c>
      <c r="J468" s="35" t="n">
        <f aca="false">$K$17*(J464+J466+0.5*J467)</f>
        <v>2.85516805988321</v>
      </c>
      <c r="K468" s="35" t="n">
        <f aca="false">$K$17*(K464+K466+0.5*K467)</f>
        <v>0</v>
      </c>
      <c r="L468" s="35" t="n">
        <f aca="false">$K$17*(L464+L466+0.5*L467)</f>
        <v>0</v>
      </c>
    </row>
    <row r="469" customFormat="false" ht="15" hidden="false" customHeight="false" outlineLevel="0" collapsed="false">
      <c r="A469" s="5" t="s">
        <v>313</v>
      </c>
      <c r="B469" s="37" t="n">
        <f aca="false">B454+B463-B464-B465-B466-B467+B468</f>
        <v>-229.083708047218</v>
      </c>
      <c r="C469" s="37" t="n">
        <f aca="false">C454+C463-C464-C465-C466-C467+C468</f>
        <v>-11.9640951952391</v>
      </c>
      <c r="D469" s="37" t="n">
        <f aca="false">D454+D463-D464-D465-D466-D467+D468</f>
        <v>181.060448519167</v>
      </c>
      <c r="E469" s="37" t="n">
        <f aca="false">E454+E463-E464-E465-E466-E467+E468</f>
        <v>31.206356743633</v>
      </c>
      <c r="F469" s="37" t="n">
        <f aca="false">F454+F463-F464-F465-F466-F467+F468</f>
        <v>51.9823089028693</v>
      </c>
      <c r="G469" s="37" t="n">
        <f aca="false">G454+G463-G464-G465-G466-G467+G468</f>
        <v>37.3144683225239</v>
      </c>
      <c r="H469" s="37" t="n">
        <f aca="false">H454+H463-H464-H465-H466-H467+H468</f>
        <v>45.5758975697984</v>
      </c>
      <c r="I469" s="37" t="n">
        <f aca="false">I454+I463-I464-I465-I466-I467+I468</f>
        <v>106.838525161248</v>
      </c>
      <c r="J469" s="37" t="n">
        <f aca="false">J454+J463-J464-J465-J466-J467+J468</f>
        <v>166.943804916801</v>
      </c>
      <c r="K469" s="37" t="n">
        <f aca="false">K454+K463-K464-K465-K466-K467+K468</f>
        <v>228.39963485579</v>
      </c>
      <c r="L469" s="37" t="n">
        <f aca="false">L454+L463-L464-L465-L466-L467+L468</f>
        <v>296.909518585598</v>
      </c>
    </row>
    <row r="470" customFormat="false" ht="15" hidden="false" customHeight="false" outlineLevel="0" collapsed="false">
      <c r="A470" s="9" t="s">
        <v>314</v>
      </c>
      <c r="B470" s="36" t="n">
        <f aca="false">B469*B434</f>
        <v>-242.828730530051</v>
      </c>
      <c r="C470" s="36" t="n">
        <f aca="false">C469*C434</f>
        <v>-13.3160379523011</v>
      </c>
      <c r="D470" s="36" t="n">
        <f aca="false">D469*D434</f>
        <v>210.588691765916</v>
      </c>
      <c r="E470" s="36" t="n">
        <f aca="false">E469*E434</f>
        <v>37.7474712504952</v>
      </c>
      <c r="F470" s="36" t="n">
        <f aca="false">F469*F434</f>
        <v>65.3933670003177</v>
      </c>
      <c r="G470" s="36" t="n">
        <f aca="false">G469*G434</f>
        <v>48.8189833013346</v>
      </c>
      <c r="H470" s="36" t="n">
        <f aca="false">H469*H434</f>
        <v>62.0126145627726</v>
      </c>
      <c r="I470" s="36" t="n">
        <f aca="false">I469*I434</f>
        <v>151.184070965982</v>
      </c>
      <c r="J470" s="36" t="n">
        <f aca="false">J469*J434</f>
        <v>245.686785476035</v>
      </c>
      <c r="K470" s="36" t="n">
        <f aca="false">K469*K434</f>
        <v>349.574894404549</v>
      </c>
      <c r="L470" s="36" t="n">
        <f aca="false">L469*L434</f>
        <v>472.609328905939</v>
      </c>
    </row>
    <row r="471" customFormat="false" ht="15" hidden="false" customHeight="false" outlineLevel="0" collapsed="false">
      <c r="A471" s="9" t="s">
        <v>315</v>
      </c>
      <c r="B471" s="34" t="n">
        <f aca="false">(B434/$B$434)/(1+Quesería!$B$46+$K$24)^B$43</f>
        <v>1</v>
      </c>
      <c r="C471" s="34" t="n">
        <f aca="false">(C434/$B$434)/(1+Quesería!$B$46+$K$24)^C$43</f>
        <v>0.84</v>
      </c>
      <c r="D471" s="34" t="n">
        <f aca="false">(D434/$B$434)/(1+Quesería!$B$46+$K$24)^D$43</f>
        <v>0.70224</v>
      </c>
      <c r="E471" s="34" t="n">
        <f aca="false">(E434/$B$434)/(1+Quesería!$B$46+$K$24)^E$43</f>
        <v>0.58426368</v>
      </c>
      <c r="F471" s="34" t="n">
        <f aca="false">(F434/$B$434)/(1+Quesería!$B$46+$K$24)^F$43</f>
        <v>0.48610738176</v>
      </c>
      <c r="G471" s="34" t="n">
        <f aca="false">(G434/$B$434)/(1+Quesería!$B$46+$K$24)^G$43</f>
        <v>0.40444134162432</v>
      </c>
      <c r="H471" s="34" t="n">
        <f aca="false">(H434/$B$434)/(1+Quesería!$B$46+$K$24)^H$43</f>
        <v>0.336495196231434</v>
      </c>
      <c r="I471" s="34" t="n">
        <f aca="false">(I434/$B$434)/(1+Quesería!$B$46+$K$24)^I$43</f>
        <v>0.279964003264553</v>
      </c>
      <c r="J471" s="34" t="n">
        <f aca="false">(J434/$B$434)/(1+Quesería!$B$46+$K$24)^J$43</f>
        <v>0.232930050716108</v>
      </c>
      <c r="K471" s="34" t="n">
        <f aca="false">(K434/$B$434)/(1+Quesería!$B$46+$K$24)^K$43</f>
        <v>0.193797802195802</v>
      </c>
      <c r="L471" s="34" t="n">
        <f aca="false">(L434/$B$434)/(1+Quesería!$B$46+$K$24)^L$43</f>
        <v>0.161239771426907</v>
      </c>
    </row>
    <row r="472" customFormat="false" ht="15" hidden="false" customHeight="false" outlineLevel="0" collapsed="false">
      <c r="A472" s="9" t="s">
        <v>316</v>
      </c>
      <c r="B472" s="36" t="n">
        <f aca="false">B454+B437+B439+B468</f>
        <v>60.9532547375949</v>
      </c>
      <c r="C472" s="36" t="n">
        <f aca="false">C454+C437+C439+C468</f>
        <v>362.943112497336</v>
      </c>
      <c r="D472" s="36" t="n">
        <f aca="false">D454+D437+D439+D468</f>
        <v>364.871460830095</v>
      </c>
      <c r="E472" s="36" t="n">
        <f aca="false">E454+E437+E439+E468</f>
        <v>268.487978807417</v>
      </c>
      <c r="F472" s="36" t="n">
        <f aca="false">F454+F437+F439+F468</f>
        <v>262.049476583273</v>
      </c>
      <c r="G472" s="36" t="n">
        <f aca="false">G454+G437+G439+G468</f>
        <v>226.976259537504</v>
      </c>
      <c r="H472" s="36" t="n">
        <f aca="false">H454+H437+H439+H468</f>
        <v>213.055481751977</v>
      </c>
      <c r="I472" s="36" t="n">
        <f aca="false">I454+I437+I439+I468</f>
        <v>245.346338754651</v>
      </c>
      <c r="J472" s="36" t="n">
        <f aca="false">J454+J437+J439+J468</f>
        <v>232.165390787462</v>
      </c>
      <c r="K472" s="36" t="n">
        <f aca="false">K454+K437+K439+K468</f>
        <v>228.39963485579</v>
      </c>
      <c r="L472" s="36" t="n">
        <f aca="false">L454+L437+L439+L468</f>
        <v>296.909518585598</v>
      </c>
    </row>
    <row r="473" customFormat="false" ht="15" hidden="false" customHeight="false" outlineLevel="0" collapsed="false">
      <c r="A473" s="5" t="s">
        <v>317</v>
      </c>
      <c r="B473" s="12" t="str">
        <f aca="false">IF(AND(B$43&gt;=1,(B464+B465+B466)&gt;0.001),B472/(B464+B465+B466),"")</f>
        <v/>
      </c>
      <c r="C473" s="12" t="n">
        <f aca="false">IF(AND(C$43&gt;=1,(C464+C465+C466)&gt;0.001),C472/(C464+C465+C466),"")</f>
        <v>6.2051209374232</v>
      </c>
      <c r="D473" s="12" t="n">
        <f aca="false">IF(AND(D$43&gt;=1,(D464+D465+D466)&gt;0.001),D472/(D464+D465+D466),"")</f>
        <v>1.99297605767898</v>
      </c>
      <c r="E473" s="12" t="n">
        <f aca="false">IF(AND(E$43&gt;=1,(E464+E465+E466)&gt;0.001),E472/(E464+E465+E466),"")</f>
        <v>1.13604217797443</v>
      </c>
      <c r="F473" s="12" t="n">
        <f aca="false">IF(AND(F$43&gt;=1,(F464+F465+F466)&gt;0.001),F472/(F464+F465+F466),"")</f>
        <v>1.2524454791997</v>
      </c>
      <c r="G473" s="12" t="n">
        <f aca="false">IF(AND(G$43&gt;=1,(G464+G465+G466)&gt;0.001),G472/(G464+G465+G466),"")</f>
        <v>1.23450803553596</v>
      </c>
      <c r="H473" s="12" t="n">
        <f aca="false">IF(AND(H$43&gt;=1,(H464+H465+H466)&gt;0.001),H472/(H464+H465+H466),"")</f>
        <v>1.330505793398</v>
      </c>
      <c r="I473" s="12" t="n">
        <f aca="false">IF(AND(I$43&gt;=1,(I464+I465+I466)&gt;0.001),I472/(I464+I465+I466),"")</f>
        <v>1.77843919212224</v>
      </c>
      <c r="J473" s="12" t="n">
        <f aca="false">IF(AND(J$43&gt;=1,(J464+J465+J466)&gt;0.001),J472/(J464+J465+J466),"")</f>
        <v>3.57387894266864</v>
      </c>
      <c r="K473" s="12" t="str">
        <f aca="false">IF(AND(K$43&gt;=1,(K464+K465+K466)&gt;0.001),K472/(K464+K465+K466),"")</f>
        <v/>
      </c>
      <c r="L473" s="12" t="str">
        <f aca="false">IF(AND(L$43&gt;=1,(L464+L465+L466)&gt;0.001),L472/(L464+L465+L466),"")</f>
        <v/>
      </c>
    </row>
    <row r="475" customFormat="false" ht="15" hidden="false" customHeight="false" outlineLevel="0" collapsed="false">
      <c r="A475" s="66" t="s">
        <v>636</v>
      </c>
      <c r="B475" s="67"/>
      <c r="C475" s="67"/>
      <c r="D475" s="67"/>
      <c r="E475" s="67"/>
      <c r="F475" s="67"/>
      <c r="G475" s="67"/>
      <c r="H475" s="67"/>
      <c r="I475" s="67"/>
      <c r="J475" s="67"/>
      <c r="K475" s="67"/>
      <c r="L475" s="67"/>
    </row>
    <row r="476" customFormat="false" ht="15" hidden="false" customHeight="false" outlineLevel="0" collapsed="false">
      <c r="A476" s="9" t="s">
        <v>281</v>
      </c>
      <c r="B476" s="33" t="n">
        <f aca="false">CHOOSE($L$15,Entorno!B$7,Entorno!B$8,Entorno!B$9)</f>
        <v>0.06</v>
      </c>
      <c r="C476" s="33" t="n">
        <f aca="false">CHOOSE($L$15,Entorno!C$7,Entorno!C$8,Entorno!C$9)</f>
        <v>0.05</v>
      </c>
      <c r="D476" s="33" t="n">
        <f aca="false">CHOOSE($L$15,Entorno!D$7,Entorno!D$8,Entorno!D$9)</f>
        <v>0.045</v>
      </c>
      <c r="E476" s="33" t="n">
        <f aca="false">CHOOSE($L$15,Entorno!E$7,Entorno!E$8,Entorno!E$9)</f>
        <v>0.04</v>
      </c>
      <c r="F476" s="33" t="n">
        <f aca="false">CHOOSE($L$15,Entorno!F$7,Entorno!F$8,Entorno!F$9)</f>
        <v>0.04</v>
      </c>
      <c r="G476" s="33" t="n">
        <f aca="false">CHOOSE($L$15,Entorno!G$7,Entorno!G$8,Entorno!G$9)</f>
        <v>0.04</v>
      </c>
      <c r="H476" s="33" t="n">
        <f aca="false">CHOOSE($L$15,Entorno!H$7,Entorno!H$8,Entorno!H$9)</f>
        <v>0.04</v>
      </c>
      <c r="I476" s="33" t="n">
        <f aca="false">CHOOSE($L$15,Entorno!I$7,Entorno!I$8,Entorno!I$9)</f>
        <v>0.04</v>
      </c>
      <c r="J476" s="33" t="n">
        <f aca="false">CHOOSE($L$15,Entorno!J$7,Entorno!J$8,Entorno!J$9)</f>
        <v>0.04</v>
      </c>
      <c r="K476" s="33" t="n">
        <f aca="false">CHOOSE($L$15,Entorno!K$7,Entorno!K$8,Entorno!K$9)</f>
        <v>0.04</v>
      </c>
      <c r="L476" s="33" t="n">
        <f aca="false">CHOOSE($L$15,Entorno!L$7,Entorno!L$8,Entorno!L$9)</f>
        <v>0.04</v>
      </c>
    </row>
    <row r="477" customFormat="false" ht="15" hidden="false" customHeight="false" outlineLevel="0" collapsed="false">
      <c r="A477" s="9" t="s">
        <v>282</v>
      </c>
      <c r="B477" s="34" t="n">
        <f aca="false">1+B476</f>
        <v>1.06</v>
      </c>
      <c r="C477" s="34" t="n">
        <f aca="false">B477*(1+C476)</f>
        <v>1.113</v>
      </c>
      <c r="D477" s="34" t="n">
        <f aca="false">C477*(1+D476)</f>
        <v>1.163085</v>
      </c>
      <c r="E477" s="34" t="n">
        <f aca="false">D477*(1+E476)</f>
        <v>1.2096084</v>
      </c>
      <c r="F477" s="34" t="n">
        <f aca="false">E477*(1+F476)</f>
        <v>1.257992736</v>
      </c>
      <c r="G477" s="34" t="n">
        <f aca="false">F477*(1+G476)</f>
        <v>1.30831244544</v>
      </c>
      <c r="H477" s="34" t="n">
        <f aca="false">G477*(1+H476)</f>
        <v>1.3606449432576</v>
      </c>
      <c r="I477" s="34" t="n">
        <f aca="false">H477*(1+I476)</f>
        <v>1.4150707409879</v>
      </c>
      <c r="J477" s="34" t="n">
        <f aca="false">I477*(1+J476)</f>
        <v>1.47167357062742</v>
      </c>
      <c r="K477" s="34" t="n">
        <f aca="false">J477*(1+K476)</f>
        <v>1.53054051345252</v>
      </c>
      <c r="L477" s="34" t="n">
        <f aca="false">K477*(1+L476)</f>
        <v>1.59176213399062</v>
      </c>
    </row>
    <row r="478" customFormat="false" ht="15" hidden="false" customHeight="false" outlineLevel="0" collapsed="false">
      <c r="A478" s="9" t="s">
        <v>283</v>
      </c>
      <c r="B478" s="34" t="n">
        <f aca="false">(1+$L$16)/(1+B476)</f>
        <v>1.02358490566038</v>
      </c>
      <c r="C478" s="34" t="n">
        <f aca="false">B478*(1+Entorno!$B$13)</f>
        <v>1.02870283018868</v>
      </c>
      <c r="D478" s="34" t="n">
        <f aca="false">C478*(1+Entorno!$B$13)</f>
        <v>1.03384634433962</v>
      </c>
      <c r="E478" s="34" t="n">
        <f aca="false">D478*(1+Entorno!$B$13)</f>
        <v>1.03901557606132</v>
      </c>
      <c r="F478" s="34" t="n">
        <f aca="false">E478*(1+Entorno!$B$13)</f>
        <v>1.04421065394163</v>
      </c>
      <c r="G478" s="34" t="n">
        <f aca="false">F478*(1+Entorno!$B$13)</f>
        <v>1.04943170721133</v>
      </c>
      <c r="H478" s="34" t="n">
        <f aca="false">G478*(1+Entorno!$B$13)</f>
        <v>1.05467886574739</v>
      </c>
      <c r="I478" s="34" t="n">
        <f aca="false">H478*(1+Entorno!$B$13)</f>
        <v>1.05995226007613</v>
      </c>
      <c r="J478" s="34" t="n">
        <f aca="false">I478*(1+Entorno!$B$13)</f>
        <v>1.06525202137651</v>
      </c>
      <c r="K478" s="34" t="n">
        <f aca="false">J478*(1+Entorno!$B$13)</f>
        <v>1.07057828148339</v>
      </c>
      <c r="L478" s="34" t="n">
        <f aca="false">K478*(1+Entorno!$B$13)</f>
        <v>1.07593117289081</v>
      </c>
    </row>
    <row r="479" customFormat="false" ht="15" hidden="false" customHeight="false" outlineLevel="0" collapsed="false">
      <c r="A479" s="9" t="s">
        <v>284</v>
      </c>
      <c r="B479" s="34" t="n">
        <f aca="false">1/B477</f>
        <v>0.943396226415094</v>
      </c>
      <c r="C479" s="34" t="n">
        <f aca="false">1/C477</f>
        <v>0.898472596585804</v>
      </c>
      <c r="D479" s="34" t="n">
        <f aca="false">1/D477</f>
        <v>0.859782389077324</v>
      </c>
      <c r="E479" s="34" t="n">
        <f aca="false">1/E477</f>
        <v>0.826713835651273</v>
      </c>
      <c r="F479" s="34" t="n">
        <f aca="false">1/F477</f>
        <v>0.794917149664686</v>
      </c>
      <c r="G479" s="34" t="n">
        <f aca="false">1/G477</f>
        <v>0.764343413139121</v>
      </c>
      <c r="H479" s="34" t="n">
        <f aca="false">1/H477</f>
        <v>0.734945589556847</v>
      </c>
      <c r="I479" s="34" t="n">
        <f aca="false">1/I477</f>
        <v>0.706678451496968</v>
      </c>
      <c r="J479" s="34" t="n">
        <f aca="false">1/J477</f>
        <v>0.679498511054777</v>
      </c>
      <c r="K479" s="34" t="n">
        <f aca="false">1/K477</f>
        <v>0.653363952937286</v>
      </c>
      <c r="L479" s="34" t="n">
        <f aca="false">1/L477</f>
        <v>0.628234570132006</v>
      </c>
    </row>
    <row r="480" customFormat="false" ht="15" hidden="false" customHeight="false" outlineLevel="0" collapsed="false">
      <c r="A480" s="6" t="s">
        <v>202</v>
      </c>
      <c r="B480" s="35" t="n">
        <f aca="false">IF(B$43=0,Quesería!$F$80,IF(B$43=1,Quesería!$F$81*$L$21,0))*$L$11</f>
        <v>622.243624322401</v>
      </c>
      <c r="C480" s="35" t="n">
        <f aca="false">IF(C$43=0,Quesería!$F$80,IF(C$43=1,Quesería!$F$81*$L$21,0))*$L$11</f>
        <v>645.270088578622</v>
      </c>
      <c r="D480" s="35" t="n">
        <f aca="false">IF(D$43=0,Quesería!$F$80,IF(D$43=1,Quesería!$F$81*$L$21,0))*$L$11</f>
        <v>0</v>
      </c>
      <c r="E480" s="35" t="n">
        <f aca="false">IF(E$43=0,Quesería!$F$80,IF(E$43=1,Quesería!$F$81*$L$21,0))*$L$11</f>
        <v>0</v>
      </c>
      <c r="F480" s="35" t="n">
        <f aca="false">IF(F$43=0,Quesería!$F$80,IF(F$43=1,Quesería!$F$81*$L$21,0))*$L$11</f>
        <v>0</v>
      </c>
      <c r="G480" s="35" t="n">
        <f aca="false">IF(G$43=0,Quesería!$F$80,IF(G$43=1,Quesería!$F$81*$L$21,0))*$L$11</f>
        <v>0</v>
      </c>
      <c r="H480" s="35" t="n">
        <f aca="false">IF(H$43=0,Quesería!$F$80,IF(H$43=1,Quesería!$F$81*$L$21,0))*$L$11</f>
        <v>0</v>
      </c>
      <c r="I480" s="35" t="n">
        <f aca="false">IF(I$43=0,Quesería!$F$80,IF(I$43=1,Quesería!$F$81*$L$21,0))*$L$11</f>
        <v>0</v>
      </c>
      <c r="J480" s="35" t="n">
        <f aca="false">IF(J$43=0,Quesería!$F$80,IF(J$43=1,Quesería!$F$81*$L$21,0))*$L$11</f>
        <v>0</v>
      </c>
      <c r="K480" s="35" t="n">
        <f aca="false">IF(K$43=0,Quesería!$F$80,IF(K$43=1,Quesería!$F$81*$L$21,0))*$L$11</f>
        <v>0</v>
      </c>
      <c r="L480" s="35" t="n">
        <f aca="false">IF(L$43=0,Quesería!$F$80,IF(L$43=1,Quesería!$F$81*$L$21,0))*$L$11</f>
        <v>0</v>
      </c>
    </row>
    <row r="481" customFormat="false" ht="15" hidden="false" customHeight="false" outlineLevel="0" collapsed="false">
      <c r="A481" s="6" t="s">
        <v>285</v>
      </c>
      <c r="B481" s="35" t="n">
        <f aca="false">IF(B$43=5,Quesería!$F$87,IF(B$43=6,Quesería!$F$88,0))*$L$11</f>
        <v>0</v>
      </c>
      <c r="C481" s="35" t="n">
        <f aca="false">IF(C$43=5,Quesería!$F$87,IF(C$43=6,Quesería!$F$88,0))*$L$11</f>
        <v>0</v>
      </c>
      <c r="D481" s="35" t="n">
        <f aca="false">IF(D$43=5,Quesería!$F$87,IF(D$43=6,Quesería!$F$88,0))*$L$11</f>
        <v>0</v>
      </c>
      <c r="E481" s="35" t="n">
        <f aca="false">IF(E$43=5,Quesería!$F$87,IF(E$43=6,Quesería!$F$88,0))*$L$11</f>
        <v>0</v>
      </c>
      <c r="F481" s="35" t="n">
        <f aca="false">IF(F$43=5,Quesería!$F$87,IF(F$43=6,Quesería!$F$88,0))*$L$11</f>
        <v>0</v>
      </c>
      <c r="G481" s="35" t="n">
        <f aca="false">IF(G$43=5,Quesería!$F$87,IF(G$43=6,Quesería!$F$88,0))*$L$11</f>
        <v>26.6666666666667</v>
      </c>
      <c r="H481" s="35" t="n">
        <f aca="false">IF(H$43=5,Quesería!$F$87,IF(H$43=6,Quesería!$F$88,0))*$L$11</f>
        <v>35.3045530566667</v>
      </c>
      <c r="I481" s="35" t="n">
        <f aca="false">IF(I$43=5,Quesería!$F$87,IF(I$43=6,Quesería!$F$88,0))*$L$11</f>
        <v>0</v>
      </c>
      <c r="J481" s="35" t="n">
        <f aca="false">IF(J$43=5,Quesería!$F$87,IF(J$43=6,Quesería!$F$88,0))*$L$11</f>
        <v>0</v>
      </c>
      <c r="K481" s="35" t="n">
        <f aca="false">IF(K$43=5,Quesería!$F$87,IF(K$43=6,Quesería!$F$88,0))*$L$11</f>
        <v>0</v>
      </c>
      <c r="L481" s="35" t="n">
        <f aca="false">IF(L$43=5,Quesería!$F$87,IF(L$43=6,Quesería!$F$88,0))*$L$11</f>
        <v>0</v>
      </c>
    </row>
    <row r="482" customFormat="false" ht="15" hidden="false" customHeight="false" outlineLevel="0" collapsed="false">
      <c r="A482" s="6" t="s">
        <v>286</v>
      </c>
      <c r="B482" s="35" t="n">
        <f aca="false">Quesería!$B$36*(IF(B$43=0,SUMPRODUCT((Quesería!$C$62:$C$77=0)*(Quesería!$H$62:$H$77&gt;0)*(Quesería!$J$62:$J$77&gt;0)*Quesería!$F$62:$F$77*(1+Quesería!$I$62:$I$77)),IF(B$43=1,SUMPRODUCT((Quesería!$C$62:$C$77=1)*(Quesería!$H$62:$H$77&gt;0)*(Quesería!$J$62:$J$77&gt;0)*Quesería!$F$62:$F$77*(1+Quesería!$I$62:$I$77))*$L$21,0))*$L$11+B481)</f>
        <v>99.347875488093</v>
      </c>
      <c r="C482" s="35" t="n">
        <f aca="false">Quesería!$B$36*(IF(C$43=0,SUMPRODUCT((Quesería!$C$62:$C$77=0)*(Quesería!$H$62:$H$77&gt;0)*(Quesería!$J$62:$J$77&gt;0)*Quesería!$F$62:$F$77*(1+Quesería!$I$62:$I$77)),IF(C$43=1,SUMPRODUCT((Quesería!$C$62:$C$77=1)*(Quesería!$H$62:$H$77&gt;0)*(Quesería!$J$62:$J$77&gt;0)*Quesería!$F$62:$F$77*(1+Quesería!$I$62:$I$77))*$L$21,0))*$L$11+C481)</f>
        <v>122.601316829938</v>
      </c>
      <c r="D482" s="35" t="n">
        <f aca="false">Quesería!$B$36*(IF(D$43=0,SUMPRODUCT((Quesería!$C$62:$C$77=0)*(Quesería!$H$62:$H$77&gt;0)*(Quesería!$J$62:$J$77&gt;0)*Quesería!$F$62:$F$77*(1+Quesería!$I$62:$I$77)),IF(D$43=1,SUMPRODUCT((Quesería!$C$62:$C$77=1)*(Quesería!$H$62:$H$77&gt;0)*(Quesería!$J$62:$J$77&gt;0)*Quesería!$F$62:$F$77*(1+Quesería!$I$62:$I$77))*$L$21,0))*$L$11+D481)</f>
        <v>0</v>
      </c>
      <c r="E482" s="35" t="n">
        <f aca="false">Quesería!$B$36*(IF(E$43=0,SUMPRODUCT((Quesería!$C$62:$C$77=0)*(Quesería!$H$62:$H$77&gt;0)*(Quesería!$J$62:$J$77&gt;0)*Quesería!$F$62:$F$77*(1+Quesería!$I$62:$I$77)),IF(E$43=1,SUMPRODUCT((Quesería!$C$62:$C$77=1)*(Quesería!$H$62:$H$77&gt;0)*(Quesería!$J$62:$J$77&gt;0)*Quesería!$F$62:$F$77*(1+Quesería!$I$62:$I$77))*$L$21,0))*$L$11+E481)</f>
        <v>0</v>
      </c>
      <c r="F482" s="35" t="n">
        <f aca="false">Quesería!$B$36*(IF(F$43=0,SUMPRODUCT((Quesería!$C$62:$C$77=0)*(Quesería!$H$62:$H$77&gt;0)*(Quesería!$J$62:$J$77&gt;0)*Quesería!$F$62:$F$77*(1+Quesería!$I$62:$I$77)),IF(F$43=1,SUMPRODUCT((Quesería!$C$62:$C$77=1)*(Quesería!$H$62:$H$77&gt;0)*(Quesería!$J$62:$J$77&gt;0)*Quesería!$F$62:$F$77*(1+Quesería!$I$62:$I$77))*$L$21,0))*$L$11+F481)</f>
        <v>0</v>
      </c>
      <c r="G482" s="35" t="n">
        <f aca="false">Quesería!$B$36*(IF(G$43=0,SUMPRODUCT((Quesería!$C$62:$C$77=0)*(Quesería!$H$62:$H$77&gt;0)*(Quesería!$J$62:$J$77&gt;0)*Quesería!$F$62:$F$77*(1+Quesería!$I$62:$I$77)),IF(G$43=1,SUMPRODUCT((Quesería!$C$62:$C$77=1)*(Quesería!$H$62:$H$77&gt;0)*(Quesería!$J$62:$J$77&gt;0)*Quesería!$F$62:$F$77*(1+Quesería!$I$62:$I$77))*$L$21,0))*$L$11+G481)</f>
        <v>5.06666666666667</v>
      </c>
      <c r="H482" s="35" t="n">
        <f aca="false">Quesería!$B$36*(IF(H$43=0,SUMPRODUCT((Quesería!$C$62:$C$77=0)*(Quesería!$H$62:$H$77&gt;0)*(Quesería!$J$62:$J$77&gt;0)*Quesería!$F$62:$F$77*(1+Quesería!$I$62:$I$77)),IF(H$43=1,SUMPRODUCT((Quesería!$C$62:$C$77=1)*(Quesería!$H$62:$H$77&gt;0)*(Quesería!$J$62:$J$77&gt;0)*Quesería!$F$62:$F$77*(1+Quesería!$I$62:$I$77))*$L$21,0))*$L$11+H481)</f>
        <v>6.70786508076667</v>
      </c>
      <c r="I482" s="35" t="n">
        <f aca="false">Quesería!$B$36*(IF(I$43=0,SUMPRODUCT((Quesería!$C$62:$C$77=0)*(Quesería!$H$62:$H$77&gt;0)*(Quesería!$J$62:$J$77&gt;0)*Quesería!$F$62:$F$77*(1+Quesería!$I$62:$I$77)),IF(I$43=1,SUMPRODUCT((Quesería!$C$62:$C$77=1)*(Quesería!$H$62:$H$77&gt;0)*(Quesería!$J$62:$J$77&gt;0)*Quesería!$F$62:$F$77*(1+Quesería!$I$62:$I$77))*$L$21,0))*$L$11+I481)</f>
        <v>0</v>
      </c>
      <c r="J482" s="35" t="n">
        <f aca="false">Quesería!$B$36*(IF(J$43=0,SUMPRODUCT((Quesería!$C$62:$C$77=0)*(Quesería!$H$62:$H$77&gt;0)*(Quesería!$J$62:$J$77&gt;0)*Quesería!$F$62:$F$77*(1+Quesería!$I$62:$I$77)),IF(J$43=1,SUMPRODUCT((Quesería!$C$62:$C$77=1)*(Quesería!$H$62:$H$77&gt;0)*(Quesería!$J$62:$J$77&gt;0)*Quesería!$F$62:$F$77*(1+Quesería!$I$62:$I$77))*$L$21,0))*$L$11+J481)</f>
        <v>0</v>
      </c>
      <c r="K482" s="35" t="n">
        <f aca="false">Quesería!$B$36*(IF(K$43=0,SUMPRODUCT((Quesería!$C$62:$C$77=0)*(Quesería!$H$62:$H$77&gt;0)*(Quesería!$J$62:$J$77&gt;0)*Quesería!$F$62:$F$77*(1+Quesería!$I$62:$I$77)),IF(K$43=1,SUMPRODUCT((Quesería!$C$62:$C$77=1)*(Quesería!$H$62:$H$77&gt;0)*(Quesería!$J$62:$J$77&gt;0)*Quesería!$F$62:$F$77*(1+Quesería!$I$62:$I$77))*$L$21,0))*$L$11+K481)</f>
        <v>0</v>
      </c>
      <c r="L482" s="35" t="n">
        <f aca="false">Quesería!$B$36*(IF(L$43=0,SUMPRODUCT((Quesería!$C$62:$C$77=0)*(Quesería!$H$62:$H$77&gt;0)*(Quesería!$J$62:$J$77&gt;0)*Quesería!$F$62:$F$77*(1+Quesería!$I$62:$I$77)),IF(L$43=1,SUMPRODUCT((Quesería!$C$62:$C$77=1)*(Quesería!$H$62:$H$77&gt;0)*(Quesería!$J$62:$J$77&gt;0)*Quesería!$F$62:$F$77*(1+Quesería!$I$62:$I$77))*$L$21,0))*$L$11+L481)</f>
        <v>0</v>
      </c>
    </row>
    <row r="483" customFormat="false" ht="15" hidden="false" customHeight="false" outlineLevel="0" collapsed="false">
      <c r="A483" s="6" t="s">
        <v>260</v>
      </c>
      <c r="B483" s="35" t="n">
        <f aca="false">IF(B$43=0,($L$22*Quesería!$J$109+(1-$L$22)*Quesería!$E$105)*Quesería!$B$12*Quesería!$B$13/12*$L$23,(($L$22*Quesería!$J$109+(1-$L$22)*Quesería!$E$105)+($L$22*Quesería!$J$92+(1-$L$22)*Quesería!$E$92)*(B478-1))*IF(B$43=1,Quesería!$B$12,1))*$L$10</f>
        <v>45.6373732102639</v>
      </c>
      <c r="C483" s="35" t="n">
        <f aca="false">IF(C$43=0,($L$22*Quesería!$J$109+(1-$L$22)*Quesería!$E$105)*Quesería!$B$12*Quesería!$B$13/12*$L$23,(($L$22*Quesería!$J$109+(1-$L$22)*Quesería!$E$105)+($L$22*Quesería!$J$92+(1-$L$22)*Quesería!$E$92)*(C478-1))*IF(C$43=1,Quesería!$B$12,1))*$L$10</f>
        <v>137.165278593056</v>
      </c>
      <c r="D483" s="35" t="n">
        <f aca="false">IF(D$43=0,($L$22*Quesería!$J$109+(1-$L$22)*Quesería!$E$105)*Quesería!$B$12*Quesería!$B$13/12*$L$23,(($L$22*Quesería!$J$109+(1-$L$22)*Quesería!$E$105)+($L$22*Quesería!$J$92+(1-$L$22)*Quesería!$E$92)*(D478-1))*IF(D$43=1,Quesería!$B$12,1))*$L$10</f>
        <v>182.947525850489</v>
      </c>
      <c r="E483" s="35" t="n">
        <f aca="false">IF(E$43=0,($L$22*Quesería!$J$109+(1-$L$22)*Quesería!$E$105)*Quesería!$B$12*Quesería!$B$13/12*$L$23,(($L$22*Quesería!$J$109+(1-$L$22)*Quesería!$E$105)+($L$22*Quesería!$J$92+(1-$L$22)*Quesería!$E$92)*(E478-1))*IF(E$43=1,Quesería!$B$12,1))*$L$10</f>
        <v>183.008316015537</v>
      </c>
      <c r="F483" s="35" t="n">
        <f aca="false">IF(F$43=0,($L$22*Quesería!$J$109+(1-$L$22)*Quesería!$E$105)*Quesería!$B$12*Quesería!$B$13/12*$L$23,(($L$22*Quesería!$J$109+(1-$L$22)*Quesería!$E$105)+($L$22*Quesería!$J$92+(1-$L$22)*Quesería!$E$92)*(F478-1))*IF(F$43=1,Quesería!$B$12,1))*$L$10</f>
        <v>183.069410131409</v>
      </c>
      <c r="G483" s="35" t="n">
        <f aca="false">IF(G$43=0,($L$22*Quesería!$J$109+(1-$L$22)*Quesería!$E$105)*Quesería!$B$12*Quesería!$B$13/12*$L$23,(($L$22*Quesería!$J$109+(1-$L$22)*Quesería!$E$105)+($L$22*Quesería!$J$92+(1-$L$22)*Quesería!$E$92)*(G478-1))*IF(G$43=1,Quesería!$B$12,1))*$L$10</f>
        <v>183.130809717861</v>
      </c>
      <c r="H483" s="35" t="n">
        <f aca="false">IF(H$43=0,($L$22*Quesería!$J$109+(1-$L$22)*Quesería!$E$105)*Quesería!$B$12*Quesería!$B$13/12*$L$23,(($L$22*Quesería!$J$109+(1-$L$22)*Quesería!$E$105)+($L$22*Quesería!$J$92+(1-$L$22)*Quesería!$E$92)*(H478-1))*IF(H$43=1,Quesería!$B$12,1))*$L$10</f>
        <v>183.192516302245</v>
      </c>
      <c r="I483" s="35" t="n">
        <f aca="false">IF(I$43=0,($L$22*Quesería!$J$109+(1-$L$22)*Quesería!$E$105)*Quesería!$B$12*Quesería!$B$13/12*$L$23,(($L$22*Quesería!$J$109+(1-$L$22)*Quesería!$E$105)+($L$22*Quesería!$J$92+(1-$L$22)*Quesería!$E$92)*(I478-1))*IF(I$43=1,Quesería!$B$12,1))*$L$10</f>
        <v>183.254531419551</v>
      </c>
      <c r="J483" s="35" t="n">
        <f aca="false">IF(J$43=0,($L$22*Quesería!$J$109+(1-$L$22)*Quesería!$E$105)*Quesería!$B$12*Quesería!$B$13/12*$L$23,(($L$22*Quesería!$J$109+(1-$L$22)*Quesería!$E$105)+($L$22*Quesería!$J$92+(1-$L$22)*Quesería!$E$92)*(J478-1))*IF(J$43=1,Quesería!$B$12,1))*$L$10</f>
        <v>183.316856612443</v>
      </c>
      <c r="K483" s="35" t="n">
        <f aca="false">IF(K$43=0,($L$22*Quesería!$J$109+(1-$L$22)*Quesería!$E$105)*Quesería!$B$12*Quesería!$B$13/12*$L$23,(($L$22*Quesería!$J$109+(1-$L$22)*Quesería!$E$105)+($L$22*Quesería!$J$92+(1-$L$22)*Quesería!$E$92)*(K478-1))*IF(K$43=1,Quesería!$B$12,1))*$L$10</f>
        <v>183.3794934313</v>
      </c>
      <c r="L483" s="35" t="n">
        <f aca="false">IF(L$43=0,($L$22*Quesería!$J$109+(1-$L$22)*Quesería!$E$105)*Quesería!$B$12*Quesería!$B$13/12*$L$23,(($L$22*Quesería!$J$109+(1-$L$22)*Quesería!$E$105)+($L$22*Quesería!$J$92+(1-$L$22)*Quesería!$E$92)*(L478-1))*IF(L$43=1,Quesería!$B$12,1))*$L$10</f>
        <v>183.442443434251</v>
      </c>
    </row>
    <row r="484" customFormat="false" ht="15" hidden="false" customHeight="false" outlineLevel="0" collapsed="false">
      <c r="A484" s="6" t="s">
        <v>261</v>
      </c>
      <c r="B484" s="35" t="n">
        <f aca="false">IF(B$43&lt;=1,0,((($L$22*Quesería!$J$110+(1-$L$22)*Quesería!$E$106)-($L$22*Quesería!$J$99+(1-$L$22)*Quesería!$E$99)+$L$6*($L$22*Quesería!$J$99+(1-$L$22)*Quesería!$E$99)-(1-$L$9)*($L$22*Quesería!$J$102+(1-$L$22)*Quesería!$E$102))+($L$6*($L$22*Quesería!$J$99+(1-$L$22)*Quesería!$E$99)+$L$9*($L$22*Quesería!$J$102+(1-$L$22)*Quesería!$E$102))*(B478-1))*IF(B$43=2,Quesería!$B$12,1)+IF(B$43=2,Quesería!$B$14*$L$9*($L$22*Quesería!$J$102+(1-$L$22)*Quesería!$E$102)*B478,0))*$L$10*$L$21</f>
        <v>0</v>
      </c>
      <c r="C484" s="35" t="n">
        <f aca="false">IF(C$43&lt;=1,0,((($L$22*Quesería!$J$110+(1-$L$22)*Quesería!$E$106)-($L$22*Quesería!$J$99+(1-$L$22)*Quesería!$E$99)+$L$6*($L$22*Quesería!$J$99+(1-$L$22)*Quesería!$E$99)-(1-$L$9)*($L$22*Quesería!$J$102+(1-$L$22)*Quesería!$E$102))+($L$6*($L$22*Quesería!$J$99+(1-$L$22)*Quesería!$E$99)+$L$9*($L$22*Quesería!$J$102+(1-$L$22)*Quesería!$E$102))*(C478-1))*IF(C$43=2,Quesería!$B$12,1)+IF(C$43=2,Quesería!$B$14*$L$9*($L$22*Quesería!$J$102+(1-$L$22)*Quesería!$E$102)*C478,0))*$L$10*$L$21</f>
        <v>0</v>
      </c>
      <c r="D484" s="35" t="n">
        <f aca="false">IF(D$43&lt;=1,0,((($L$22*Quesería!$J$110+(1-$L$22)*Quesería!$E$106)-($L$22*Quesería!$J$99+(1-$L$22)*Quesería!$E$99)+$L$6*($L$22*Quesería!$J$99+(1-$L$22)*Quesería!$E$99)-(1-$L$9)*($L$22*Quesería!$J$102+(1-$L$22)*Quesería!$E$102))+($L$6*($L$22*Quesería!$J$99+(1-$L$22)*Quesería!$E$99)+$L$9*($L$22*Quesería!$J$102+(1-$L$22)*Quesería!$E$102))*(D478-1))*IF(D$43=2,Quesería!$B$12,1)+IF(D$43=2,Quesería!$B$14*$L$9*($L$22*Quesería!$J$102+(1-$L$22)*Quesería!$E$102)*D478,0))*$L$10*$L$21</f>
        <v>197.837804186257</v>
      </c>
      <c r="E484" s="35" t="n">
        <f aca="false">IF(E$43&lt;=1,0,((($L$22*Quesería!$J$110+(1-$L$22)*Quesería!$E$106)-($L$22*Quesería!$J$99+(1-$L$22)*Quesería!$E$99)+$L$6*($L$22*Quesería!$J$99+(1-$L$22)*Quesería!$E$99)-(1-$L$9)*($L$22*Quesería!$J$102+(1-$L$22)*Quesería!$E$102))+($L$6*($L$22*Quesería!$J$99+(1-$L$22)*Quesería!$E$99)+$L$9*($L$22*Quesería!$J$102+(1-$L$22)*Quesería!$E$102))*(E478-1))*IF(E$43=2,Quesería!$B$12,1)+IF(E$43=2,Quesería!$B$14*$L$9*($L$22*Quesería!$J$102+(1-$L$22)*Quesería!$E$102)*E478,0))*$L$10*$L$21</f>
        <v>234.441939047038</v>
      </c>
      <c r="F484" s="35" t="n">
        <f aca="false">IF(F$43&lt;=1,0,((($L$22*Quesería!$J$110+(1-$L$22)*Quesería!$E$106)-($L$22*Quesería!$J$99+(1-$L$22)*Quesería!$E$99)+$L$6*($L$22*Quesería!$J$99+(1-$L$22)*Quesería!$E$99)-(1-$L$9)*($L$22*Quesería!$J$102+(1-$L$22)*Quesería!$E$102))+($L$6*($L$22*Quesería!$J$99+(1-$L$22)*Quesería!$E$99)+$L$9*($L$22*Quesería!$J$102+(1-$L$22)*Quesería!$E$102))*(F478-1))*IF(F$43=2,Quesería!$B$12,1)+IF(F$43=2,Quesería!$B$14*$L$9*($L$22*Quesería!$J$102+(1-$L$22)*Quesería!$E$102)*F478,0))*$L$10*$L$21</f>
        <v>234.877078770292</v>
      </c>
      <c r="G484" s="35" t="n">
        <f aca="false">IF(G$43&lt;=1,0,((($L$22*Quesería!$J$110+(1-$L$22)*Quesería!$E$106)-($L$22*Quesería!$J$99+(1-$L$22)*Quesería!$E$99)+$L$6*($L$22*Quesería!$J$99+(1-$L$22)*Quesería!$E$99)-(1-$L$9)*($L$22*Quesería!$J$102+(1-$L$22)*Quesería!$E$102))+($L$6*($L$22*Quesería!$J$99+(1-$L$22)*Quesería!$E$99)+$L$9*($L$22*Quesería!$J$102+(1-$L$22)*Quesería!$E$102))*(G478-1))*IF(G$43=2,Quesería!$B$12,1)+IF(G$43=2,Quesería!$B$14*$L$9*($L$22*Quesería!$J$102+(1-$L$22)*Quesería!$E$102)*G478,0))*$L$10*$L$21</f>
        <v>235.314394192163</v>
      </c>
      <c r="H484" s="35" t="n">
        <f aca="false">IF(H$43&lt;=1,0,((($L$22*Quesería!$J$110+(1-$L$22)*Quesería!$E$106)-($L$22*Quesería!$J$99+(1-$L$22)*Quesería!$E$99)+$L$6*($L$22*Quesería!$J$99+(1-$L$22)*Quesería!$E$99)-(1-$L$9)*($L$22*Quesería!$J$102+(1-$L$22)*Quesería!$E$102))+($L$6*($L$22*Quesería!$J$99+(1-$L$22)*Quesería!$E$99)+$L$9*($L$22*Quesería!$J$102+(1-$L$22)*Quesería!$E$102))*(H478-1))*IF(H$43=2,Quesería!$B$12,1)+IF(H$43=2,Quesería!$B$14*$L$9*($L$22*Quesería!$J$102+(1-$L$22)*Quesería!$E$102)*H478,0))*$L$10*$L$21</f>
        <v>235.753896191143</v>
      </c>
      <c r="I484" s="35" t="n">
        <f aca="false">IF(I$43&lt;=1,0,((($L$22*Quesería!$J$110+(1-$L$22)*Quesería!$E$106)-($L$22*Quesería!$J$99+(1-$L$22)*Quesería!$E$99)+$L$6*($L$22*Quesería!$J$99+(1-$L$22)*Quesería!$E$99)-(1-$L$9)*($L$22*Quesería!$J$102+(1-$L$22)*Quesería!$E$102))+($L$6*($L$22*Quesería!$J$99+(1-$L$22)*Quesería!$E$99)+$L$9*($L$22*Quesería!$J$102+(1-$L$22)*Quesería!$E$102))*(I478-1))*IF(I$43=2,Quesería!$B$12,1)+IF(I$43=2,Quesería!$B$14*$L$9*($L$22*Quesería!$J$102+(1-$L$22)*Quesería!$E$102)*I478,0))*$L$10*$L$21</f>
        <v>236.195595700118</v>
      </c>
      <c r="J484" s="35" t="n">
        <f aca="false">IF(J$43&lt;=1,0,((($L$22*Quesería!$J$110+(1-$L$22)*Quesería!$E$106)-($L$22*Quesería!$J$99+(1-$L$22)*Quesería!$E$99)+$L$6*($L$22*Quesería!$J$99+(1-$L$22)*Quesería!$E$99)-(1-$L$9)*($L$22*Quesería!$J$102+(1-$L$22)*Quesería!$E$102))+($L$6*($L$22*Quesería!$J$99+(1-$L$22)*Quesería!$E$99)+$L$9*($L$22*Quesería!$J$102+(1-$L$22)*Quesería!$E$102))*(J478-1))*IF(J$43=2,Quesería!$B$12,1)+IF(J$43=2,Quesería!$B$14*$L$9*($L$22*Quesería!$J$102+(1-$L$22)*Quesería!$E$102)*J478,0))*$L$10*$L$21</f>
        <v>236.639503706638</v>
      </c>
      <c r="K484" s="35" t="n">
        <f aca="false">IF(K$43&lt;=1,0,((($L$22*Quesería!$J$110+(1-$L$22)*Quesería!$E$106)-($L$22*Quesería!$J$99+(1-$L$22)*Quesería!$E$99)+$L$6*($L$22*Quesería!$J$99+(1-$L$22)*Quesería!$E$99)-(1-$L$9)*($L$22*Quesería!$J$102+(1-$L$22)*Quesería!$E$102))+($L$6*($L$22*Quesería!$J$99+(1-$L$22)*Quesería!$E$99)+$L$9*($L$22*Quesería!$J$102+(1-$L$22)*Quesería!$E$102))*(K478-1))*IF(K$43=2,Quesería!$B$12,1)+IF(K$43=2,Quesería!$B$14*$L$9*($L$22*Quesería!$J$102+(1-$L$22)*Quesería!$E$102)*K478,0))*$L$10*$L$21</f>
        <v>237.08563125319</v>
      </c>
      <c r="L484" s="35" t="n">
        <f aca="false">IF(L$43&lt;=1,0,((($L$22*Quesería!$J$110+(1-$L$22)*Quesería!$E$106)-($L$22*Quesería!$J$99+(1-$L$22)*Quesería!$E$99)+$L$6*($L$22*Quesería!$J$99+(1-$L$22)*Quesería!$E$99)-(1-$L$9)*($L$22*Quesería!$J$102+(1-$L$22)*Quesería!$E$102))+($L$6*($L$22*Quesería!$J$99+(1-$L$22)*Quesería!$E$99)+$L$9*($L$22*Quesería!$J$102+(1-$L$22)*Quesería!$E$102))*(L478-1))*IF(L$43=2,Quesería!$B$12,1)+IF(L$43=2,Quesería!$B$14*$L$9*($L$22*Quesería!$J$102+(1-$L$22)*Quesería!$E$102)*L478,0))*$L$10*$L$21</f>
        <v>237.533989437476</v>
      </c>
    </row>
    <row r="485" customFormat="false" ht="15" hidden="false" customHeight="false" outlineLevel="0" collapsed="false">
      <c r="A485" s="5" t="s">
        <v>287</v>
      </c>
      <c r="B485" s="10" t="n">
        <f aca="false">B483+B484</f>
        <v>45.6373732102639</v>
      </c>
      <c r="C485" s="10" t="n">
        <f aca="false">C483+C484</f>
        <v>137.165278593056</v>
      </c>
      <c r="D485" s="10" t="n">
        <f aca="false">D483+D484</f>
        <v>380.785330036747</v>
      </c>
      <c r="E485" s="10" t="n">
        <f aca="false">E483+E484</f>
        <v>417.450255062574</v>
      </c>
      <c r="F485" s="10" t="n">
        <f aca="false">F483+F484</f>
        <v>417.946488901701</v>
      </c>
      <c r="G485" s="10" t="n">
        <f aca="false">G483+G484</f>
        <v>418.445203910024</v>
      </c>
      <c r="H485" s="10" t="n">
        <f aca="false">H483+H484</f>
        <v>418.946412493388</v>
      </c>
      <c r="I485" s="10" t="n">
        <f aca="false">I483+I484</f>
        <v>419.450127119669</v>
      </c>
      <c r="J485" s="10" t="n">
        <f aca="false">J483+J484</f>
        <v>419.956360319081</v>
      </c>
      <c r="K485" s="10" t="n">
        <f aca="false">K483+K484</f>
        <v>420.465124684491</v>
      </c>
      <c r="L485" s="10" t="n">
        <f aca="false">L483+L484</f>
        <v>420.976432871727</v>
      </c>
    </row>
    <row r="486" customFormat="false" ht="15" hidden="false" customHeight="false" outlineLevel="0" collapsed="false">
      <c r="A486" s="6" t="s">
        <v>288</v>
      </c>
      <c r="B486" s="35" t="n">
        <f aca="false">(IF(B$43&gt;=1,(Quesería!$B$21+Quesería!$B$54)*Quesería!$F$82*$L$11+Quesería!$B$22+'Beneficios y costos'!$B$118,0)+IF(B$43&gt;=2,((Quesería!$B$21+Quesería!$B$54)*Quesería!$F$83*$L$11+'Beneficios y costos'!$C$118)*$L$21,0))*$L$12</f>
        <v>0</v>
      </c>
      <c r="C486" s="35" t="n">
        <f aca="false">(IF(C$43&gt;=1,(Quesería!$B$21+Quesería!$B$54)*Quesería!$F$82*$L$11+Quesería!$B$22+'Beneficios y costos'!$B$118,0)+IF(C$43&gt;=2,((Quesería!$B$21+Quesería!$B$54)*Quesería!$F$83*$L$11+'Beneficios y costos'!$C$118)*$L$21,0))*$L$12</f>
        <v>25.8245070043917</v>
      </c>
      <c r="D486" s="35" t="n">
        <f aca="false">(IF(D$43&gt;=1,(Quesería!$B$21+Quesería!$B$54)*Quesería!$F$82*$L$11+Quesería!$B$22+'Beneficios y costos'!$B$118,0)+IF(D$43&gt;=2,((Quesería!$B$21+Quesería!$B$54)*Quesería!$F$83*$L$11+'Beneficios y costos'!$C$118)*$L$21,0))*$L$12</f>
        <v>62.1645530552464</v>
      </c>
      <c r="E486" s="35" t="n">
        <f aca="false">(IF(E$43&gt;=1,(Quesería!$B$21+Quesería!$B$54)*Quesería!$F$82*$L$11+Quesería!$B$22+'Beneficios y costos'!$B$118,0)+IF(E$43&gt;=2,((Quesería!$B$21+Quesería!$B$54)*Quesería!$F$83*$L$11+'Beneficios y costos'!$C$118)*$L$21,0))*$L$12</f>
        <v>62.1645530552464</v>
      </c>
      <c r="F486" s="35" t="n">
        <f aca="false">(IF(F$43&gt;=1,(Quesería!$B$21+Quesería!$B$54)*Quesería!$F$82*$L$11+Quesería!$B$22+'Beneficios y costos'!$B$118,0)+IF(F$43&gt;=2,((Quesería!$B$21+Quesería!$B$54)*Quesería!$F$83*$L$11+'Beneficios y costos'!$C$118)*$L$21,0))*$L$12</f>
        <v>62.1645530552464</v>
      </c>
      <c r="G486" s="35" t="n">
        <f aca="false">(IF(G$43&gt;=1,(Quesería!$B$21+Quesería!$B$54)*Quesería!$F$82*$L$11+Quesería!$B$22+'Beneficios y costos'!$B$118,0)+IF(G$43&gt;=2,((Quesería!$B$21+Quesería!$B$54)*Quesería!$F$83*$L$11+'Beneficios y costos'!$C$118)*$L$21,0))*$L$12</f>
        <v>62.1645530552464</v>
      </c>
      <c r="H486" s="35" t="n">
        <f aca="false">(IF(H$43&gt;=1,(Quesería!$B$21+Quesería!$B$54)*Quesería!$F$82*$L$11+Quesería!$B$22+'Beneficios y costos'!$B$118,0)+IF(H$43&gt;=2,((Quesería!$B$21+Quesería!$B$54)*Quesería!$F$83*$L$11+'Beneficios y costos'!$C$118)*$L$21,0))*$L$12</f>
        <v>62.1645530552464</v>
      </c>
      <c r="I486" s="35" t="n">
        <f aca="false">(IF(I$43&gt;=1,(Quesería!$B$21+Quesería!$B$54)*Quesería!$F$82*$L$11+Quesería!$B$22+'Beneficios y costos'!$B$118,0)+IF(I$43&gt;=2,((Quesería!$B$21+Quesería!$B$54)*Quesería!$F$83*$L$11+'Beneficios y costos'!$C$118)*$L$21,0))*$L$12</f>
        <v>62.1645530552464</v>
      </c>
      <c r="J486" s="35" t="n">
        <f aca="false">(IF(J$43&gt;=1,(Quesería!$B$21+Quesería!$B$54)*Quesería!$F$82*$L$11+Quesería!$B$22+'Beneficios y costos'!$B$118,0)+IF(J$43&gt;=2,((Quesería!$B$21+Quesería!$B$54)*Quesería!$F$83*$L$11+'Beneficios y costos'!$C$118)*$L$21,0))*$L$12</f>
        <v>62.1645530552464</v>
      </c>
      <c r="K486" s="35" t="n">
        <f aca="false">(IF(K$43&gt;=1,(Quesería!$B$21+Quesería!$B$54)*Quesería!$F$82*$L$11+Quesería!$B$22+'Beneficios y costos'!$B$118,0)+IF(K$43&gt;=2,((Quesería!$B$21+Quesería!$B$54)*Quesería!$F$83*$L$11+'Beneficios y costos'!$C$118)*$L$21,0))*$L$12</f>
        <v>62.1645530552464</v>
      </c>
      <c r="L486" s="35" t="n">
        <f aca="false">(IF(L$43&gt;=1,(Quesería!$B$21+Quesería!$B$54)*Quesería!$F$82*$L$11+Quesería!$B$22+'Beneficios y costos'!$B$118,0)+IF(L$43&gt;=2,((Quesería!$B$21+Quesería!$B$54)*Quesería!$F$83*$L$11+'Beneficios y costos'!$C$118)*$L$21,0))*$L$12</f>
        <v>62.1645530552464</v>
      </c>
    </row>
    <row r="487" customFormat="false" ht="15" hidden="false" customHeight="false" outlineLevel="0" collapsed="false">
      <c r="A487" s="6" t="s">
        <v>289</v>
      </c>
      <c r="B487" s="35" t="n">
        <f aca="false">IF(B$43=1,2*Quesería!$B$33*Quesería!$B$34/12*B478,0)*$L$21</f>
        <v>0</v>
      </c>
      <c r="C487" s="35" t="n">
        <f aca="false">IF(C$43=1,2*Quesería!$B$33*Quesería!$B$34/12*C478,0)*$L$21</f>
        <v>18.5166509433962</v>
      </c>
      <c r="D487" s="35" t="n">
        <f aca="false">IF(D$43=1,2*Quesería!$B$33*Quesería!$B$34/12*D478,0)*$L$21</f>
        <v>0</v>
      </c>
      <c r="E487" s="35" t="n">
        <f aca="false">IF(E$43=1,2*Quesería!$B$33*Quesería!$B$34/12*E478,0)*$L$21</f>
        <v>0</v>
      </c>
      <c r="F487" s="35" t="n">
        <f aca="false">IF(F$43=1,2*Quesería!$B$33*Quesería!$B$34/12*F478,0)*$L$21</f>
        <v>0</v>
      </c>
      <c r="G487" s="35" t="n">
        <f aca="false">IF(G$43=1,2*Quesería!$B$33*Quesería!$B$34/12*G478,0)*$L$21</f>
        <v>0</v>
      </c>
      <c r="H487" s="35" t="n">
        <f aca="false">IF(H$43=1,2*Quesería!$B$33*Quesería!$B$34/12*H478,0)*$L$21</f>
        <v>0</v>
      </c>
      <c r="I487" s="35" t="n">
        <f aca="false">IF(I$43=1,2*Quesería!$B$33*Quesería!$B$34/12*I478,0)*$L$21</f>
        <v>0</v>
      </c>
      <c r="J487" s="35" t="n">
        <f aca="false">IF(J$43=1,2*Quesería!$B$33*Quesería!$B$34/12*J478,0)*$L$21</f>
        <v>0</v>
      </c>
      <c r="K487" s="35" t="n">
        <f aca="false">IF(K$43=1,2*Quesería!$B$33*Quesería!$B$34/12*K478,0)*$L$21</f>
        <v>0</v>
      </c>
      <c r="L487" s="35" t="n">
        <f aca="false">IF(L$43=1,2*Quesería!$B$33*Quesería!$B$34/12*L478,0)*$L$21</f>
        <v>0</v>
      </c>
    </row>
    <row r="488" customFormat="false" ht="15" hidden="false" customHeight="false" outlineLevel="0" collapsed="false">
      <c r="A488" s="6" t="s">
        <v>290</v>
      </c>
      <c r="B488" s="35" t="n">
        <f aca="false">Quesería!$B$45*(B480+B481+B482+B486+B487)</f>
        <v>2.88636599924197</v>
      </c>
      <c r="C488" s="35" t="n">
        <f aca="false">Quesería!$B$45*(C480+C481+C482+C486+C487)</f>
        <v>3.24885025342539</v>
      </c>
      <c r="D488" s="35" t="n">
        <f aca="false">Quesería!$B$45*(D480+D481+D482+D486+D487)</f>
        <v>0.248658212220986</v>
      </c>
      <c r="E488" s="35" t="n">
        <f aca="false">Quesería!$B$45*(E480+E481+E482+E486+E487)</f>
        <v>0.248658212220986</v>
      </c>
      <c r="F488" s="35" t="n">
        <f aca="false">Quesería!$B$45*(F480+F481+F482+F486+F487)</f>
        <v>0.248658212220986</v>
      </c>
      <c r="G488" s="35" t="n">
        <f aca="false">Quesería!$B$45*(G480+G481+G482+G486+G487)</f>
        <v>0.375591545554319</v>
      </c>
      <c r="H488" s="35" t="n">
        <f aca="false">Quesería!$B$45*(H480+H481+H482+H486+H487)</f>
        <v>0.416707884770719</v>
      </c>
      <c r="I488" s="35" t="n">
        <f aca="false">Quesería!$B$45*(I480+I481+I482+I486+I487)</f>
        <v>0.248658212220986</v>
      </c>
      <c r="J488" s="35" t="n">
        <f aca="false">Quesería!$B$45*(J480+J481+J482+J486+J487)</f>
        <v>0.248658212220986</v>
      </c>
      <c r="K488" s="35" t="n">
        <f aca="false">Quesería!$B$45*(K480+K481+K482+K486+K487)</f>
        <v>0.248658212220986</v>
      </c>
      <c r="L488" s="35" t="n">
        <f aca="false">Quesería!$B$45*(L480+L481+L482+L486+L487)</f>
        <v>0.248658212220986</v>
      </c>
    </row>
    <row r="489" customFormat="false" ht="15" hidden="false" customHeight="false" outlineLevel="0" collapsed="false">
      <c r="A489" s="6" t="s">
        <v>291</v>
      </c>
      <c r="B489" s="35" t="n">
        <f aca="false">(IF($L$19=1,(SUMPRODUCT((Quesería!$C$62:$C$77=0)*(Quesería!$J$62:$J$77&gt;0)*(B$43&gt;=1)*(B$43&lt;=Quesería!$J$62:$J$77)*(Quesería!$H$62:$H$77&gt;0)*Quesería!$F$62:$F$77*(1+Quesería!$I$62:$I$77)/(Quesería!$J$62:$J$77+(Quesería!$J$62:$J$77=0)))+SUMPRODUCT((Quesería!$C$62:$C$77=0)*(Quesería!$J$62:$J$77=0)*(B$43=0)*(Quesería!$H$62:$H$77&gt;0)*Quesería!$F$62:$F$77*(1+Quesería!$I$62:$I$77)))*$B$477+(SUMPRODUCT((Quesería!$C$62:$C$77=1)*(Quesería!$J$62:$J$77&gt;0)*(B$43&gt;=2)*(B$43&lt;=Quesería!$J$62:$J$77+1)*(Quesería!$H$62:$H$77&gt;0)*Quesería!$F$62:$F$77*(1+Quesería!$I$62:$I$77)/(Quesería!$J$62:$J$77+(Quesería!$J$62:$J$77=0)))+SUMPRODUCT((Quesería!$C$62:$C$77=1)*(Quesería!$J$62:$J$77=0)*(B$43=1)*(Quesería!$H$62:$H$77&gt;0)*Quesería!$F$62:$F$77*(1+Quesería!$I$62:$I$77)))*$C$477*$L$21,IF(AND(B$43&gt;=1,B$43&lt;=Quesería!$B$11),Quesería!$F$80/Quesería!$B$11,0)*$B$477+IF(AND(B$43&gt;=2,B$43&lt;=Quesería!$B$11+1),Quesería!$F$81/Quesería!$B$11,0)*$C$477*$L$21)*$L$11+IF(AND(B$43&gt;=6,B$43&lt;=10),$G481*$G477/5,0)+IF(AND(B$43&gt;=7,B$43&lt;=11),$H481*$H477/5,0))*B479</f>
        <v>99.3600691219113</v>
      </c>
      <c r="C489" s="35" t="n">
        <f aca="false">(IF($L$19=1,(SUMPRODUCT((Quesería!$C$62:$C$77=0)*(Quesería!$J$62:$J$77&gt;0)*(C$43&gt;=1)*(C$43&lt;=Quesería!$J$62:$J$77)*(Quesería!$H$62:$H$77&gt;0)*Quesería!$F$62:$F$77*(1+Quesería!$I$62:$I$77)/(Quesería!$J$62:$J$77+(Quesería!$J$62:$J$77=0)))+SUMPRODUCT((Quesería!$C$62:$C$77=0)*(Quesería!$J$62:$J$77=0)*(C$43=0)*(Quesería!$H$62:$H$77&gt;0)*Quesería!$F$62:$F$77*(1+Quesería!$I$62:$I$77)))*$B$477+(SUMPRODUCT((Quesería!$C$62:$C$77=1)*(Quesería!$J$62:$J$77&gt;0)*(C$43&gt;=2)*(C$43&lt;=Quesería!$J$62:$J$77+1)*(Quesería!$H$62:$H$77&gt;0)*Quesería!$F$62:$F$77*(1+Quesería!$I$62:$I$77)/(Quesería!$J$62:$J$77+(Quesería!$J$62:$J$77=0)))+SUMPRODUCT((Quesería!$C$62:$C$77=1)*(Quesería!$J$62:$J$77=0)*(C$43=1)*(Quesería!$H$62:$H$77&gt;0)*Quesería!$F$62:$F$77*(1+Quesería!$I$62:$I$77)))*$C$477*$L$21,IF(AND(C$43&gt;=1,C$43&lt;=Quesería!$B$11),Quesería!$F$80/Quesería!$B$11,0)*$B$477+IF(AND(C$43&gt;=2,C$43&lt;=Quesería!$B$11+1),Quesería!$F$81/Quesería!$B$11,0)*$C$477*$L$21)*$L$11+IF(AND(C$43&gt;=6,C$43&lt;=10),$G481*$G477/5,0)+IF(AND(C$43&gt;=7,C$43&lt;=11),$H481*$H477/5,0))*C479</f>
        <v>57.1000211302053</v>
      </c>
      <c r="D489" s="35" t="n">
        <f aca="false">(IF($L$19=1,(SUMPRODUCT((Quesería!$C$62:$C$77=0)*(Quesería!$J$62:$J$77&gt;0)*(D$43&gt;=1)*(D$43&lt;=Quesería!$J$62:$J$77)*(Quesería!$H$62:$H$77&gt;0)*Quesería!$F$62:$F$77*(1+Quesería!$I$62:$I$77)/(Quesería!$J$62:$J$77+(Quesería!$J$62:$J$77=0)))+SUMPRODUCT((Quesería!$C$62:$C$77=0)*(Quesería!$J$62:$J$77=0)*(D$43=0)*(Quesería!$H$62:$H$77&gt;0)*Quesería!$F$62:$F$77*(1+Quesería!$I$62:$I$77)))*$B$477+(SUMPRODUCT((Quesería!$C$62:$C$77=1)*(Quesería!$J$62:$J$77&gt;0)*(D$43&gt;=2)*(D$43&lt;=Quesería!$J$62:$J$77+1)*(Quesería!$H$62:$H$77&gt;0)*Quesería!$F$62:$F$77*(1+Quesería!$I$62:$I$77)/(Quesería!$J$62:$J$77+(Quesería!$J$62:$J$77=0)))+SUMPRODUCT((Quesería!$C$62:$C$77=1)*(Quesería!$J$62:$J$77=0)*(D$43=1)*(Quesería!$H$62:$H$77&gt;0)*Quesería!$F$62:$F$77*(1+Quesería!$I$62:$I$77)))*$C$477*$L$21,IF(AND(D$43&gt;=1,D$43&lt;=Quesería!$B$11),Quesería!$F$80/Quesería!$B$11,0)*$B$477+IF(AND(D$43&gt;=2,D$43&lt;=Quesería!$B$11+1),Quesería!$F$81/Quesería!$B$11,0)*$C$477*$L$21)*$L$11+IF(AND(D$43&gt;=6,D$43&lt;=10),$G481*$G477/5,0)+IF(AND(D$43&gt;=7,D$43&lt;=11),$H481*$H477/5,0))*D479</f>
        <v>116.389502380926</v>
      </c>
      <c r="E489" s="35" t="n">
        <f aca="false">(IF($L$19=1,(SUMPRODUCT((Quesería!$C$62:$C$77=0)*(Quesería!$J$62:$J$77&gt;0)*(E$43&gt;=1)*(E$43&lt;=Quesería!$J$62:$J$77)*(Quesería!$H$62:$H$77&gt;0)*Quesería!$F$62:$F$77*(1+Quesería!$I$62:$I$77)/(Quesería!$J$62:$J$77+(Quesería!$J$62:$J$77=0)))+SUMPRODUCT((Quesería!$C$62:$C$77=0)*(Quesería!$J$62:$J$77=0)*(E$43=0)*(Quesería!$H$62:$H$77&gt;0)*Quesería!$F$62:$F$77*(1+Quesería!$I$62:$I$77)))*$B$477+(SUMPRODUCT((Quesería!$C$62:$C$77=1)*(Quesería!$J$62:$J$77&gt;0)*(E$43&gt;=2)*(E$43&lt;=Quesería!$J$62:$J$77+1)*(Quesería!$H$62:$H$77&gt;0)*Quesería!$F$62:$F$77*(1+Quesería!$I$62:$I$77)/(Quesería!$J$62:$J$77+(Quesería!$J$62:$J$77=0)))+SUMPRODUCT((Quesería!$C$62:$C$77=1)*(Quesería!$J$62:$J$77=0)*(E$43=1)*(Quesería!$H$62:$H$77&gt;0)*Quesería!$F$62:$F$77*(1+Quesería!$I$62:$I$77)))*$C$477*$L$21,IF(AND(E$43&gt;=1,E$43&lt;=Quesería!$B$11),Quesería!$F$80/Quesería!$B$11,0)*$B$477+IF(AND(E$43&gt;=2,E$43&lt;=Quesería!$B$11+1),Quesería!$F$81/Quesería!$B$11,0)*$C$477*$L$21)*$L$11+IF(AND(E$43&gt;=6,E$43&lt;=10),$G481*$G477/5,0)+IF(AND(E$43&gt;=7,E$43&lt;=11),$H481*$H477/5,0))*E479</f>
        <v>111.912983058583</v>
      </c>
      <c r="F489" s="35" t="n">
        <f aca="false">(IF($L$19=1,(SUMPRODUCT((Quesería!$C$62:$C$77=0)*(Quesería!$J$62:$J$77&gt;0)*(F$43&gt;=1)*(F$43&lt;=Quesería!$J$62:$J$77)*(Quesería!$H$62:$H$77&gt;0)*Quesería!$F$62:$F$77*(1+Quesería!$I$62:$I$77)/(Quesería!$J$62:$J$77+(Quesería!$J$62:$J$77=0)))+SUMPRODUCT((Quesería!$C$62:$C$77=0)*(Quesería!$J$62:$J$77=0)*(F$43=0)*(Quesería!$H$62:$H$77&gt;0)*Quesería!$F$62:$F$77*(1+Quesería!$I$62:$I$77)))*$B$477+(SUMPRODUCT((Quesería!$C$62:$C$77=1)*(Quesería!$J$62:$J$77&gt;0)*(F$43&gt;=2)*(F$43&lt;=Quesería!$J$62:$J$77+1)*(Quesería!$H$62:$H$77&gt;0)*Quesería!$F$62:$F$77*(1+Quesería!$I$62:$I$77)/(Quesería!$J$62:$J$77+(Quesería!$J$62:$J$77=0)))+SUMPRODUCT((Quesería!$C$62:$C$77=1)*(Quesería!$J$62:$J$77=0)*(F$43=1)*(Quesería!$H$62:$H$77&gt;0)*Quesería!$F$62:$F$77*(1+Quesería!$I$62:$I$77)))*$C$477*$L$21,IF(AND(F$43&gt;=1,F$43&lt;=Quesería!$B$11),Quesería!$F$80/Quesería!$B$11,0)*$B$477+IF(AND(F$43&gt;=2,F$43&lt;=Quesería!$B$11+1),Quesería!$F$81/Quesería!$B$11,0)*$C$477*$L$21)*$L$11+IF(AND(F$43&gt;=6,F$43&lt;=10),$G481*$G477/5,0)+IF(AND(F$43&gt;=7,F$43&lt;=11),$H481*$H477/5,0))*F479</f>
        <v>107.608637556329</v>
      </c>
      <c r="G489" s="35" t="n">
        <f aca="false">(IF($L$19=1,(SUMPRODUCT((Quesería!$C$62:$C$77=0)*(Quesería!$J$62:$J$77&gt;0)*(G$43&gt;=1)*(G$43&lt;=Quesería!$J$62:$J$77)*(Quesería!$H$62:$H$77&gt;0)*Quesería!$F$62:$F$77*(1+Quesería!$I$62:$I$77)/(Quesería!$J$62:$J$77+(Quesería!$J$62:$J$77=0)))+SUMPRODUCT((Quesería!$C$62:$C$77=0)*(Quesería!$J$62:$J$77=0)*(G$43=0)*(Quesería!$H$62:$H$77&gt;0)*Quesería!$F$62:$F$77*(1+Quesería!$I$62:$I$77)))*$B$477+(SUMPRODUCT((Quesería!$C$62:$C$77=1)*(Quesería!$J$62:$J$77&gt;0)*(G$43&gt;=2)*(G$43&lt;=Quesería!$J$62:$J$77+1)*(Quesería!$H$62:$H$77&gt;0)*Quesería!$F$62:$F$77*(1+Quesería!$I$62:$I$77)/(Quesería!$J$62:$J$77+(Quesería!$J$62:$J$77=0)))+SUMPRODUCT((Quesería!$C$62:$C$77=1)*(Quesería!$J$62:$J$77=0)*(G$43=1)*(Quesería!$H$62:$H$77&gt;0)*Quesería!$F$62:$F$77*(1+Quesería!$I$62:$I$77)))*$C$477*$L$21,IF(AND(G$43&gt;=1,G$43&lt;=Quesería!$B$11),Quesería!$F$80/Quesería!$B$11,0)*$B$477+IF(AND(G$43&gt;=2,G$43&lt;=Quesería!$B$11+1),Quesería!$F$81/Quesería!$B$11,0)*$C$477*$L$21)*$L$11+IF(AND(G$43&gt;=6,G$43&lt;=10),$G481*$G477/5,0)+IF(AND(G$43&gt;=7,G$43&lt;=11),$H481*$H477/5,0))*G479</f>
        <v>103.469843804163</v>
      </c>
      <c r="H489" s="35" t="n">
        <f aca="false">(IF($L$19=1,(SUMPRODUCT((Quesería!$C$62:$C$77=0)*(Quesería!$J$62:$J$77&gt;0)*(H$43&gt;=1)*(H$43&lt;=Quesería!$J$62:$J$77)*(Quesería!$H$62:$H$77&gt;0)*Quesería!$F$62:$F$77*(1+Quesería!$I$62:$I$77)/(Quesería!$J$62:$J$77+(Quesería!$J$62:$J$77=0)))+SUMPRODUCT((Quesería!$C$62:$C$77=0)*(Quesería!$J$62:$J$77=0)*(H$43=0)*(Quesería!$H$62:$H$77&gt;0)*Quesería!$F$62:$F$77*(1+Quesería!$I$62:$I$77)))*$B$477+(SUMPRODUCT((Quesería!$C$62:$C$77=1)*(Quesería!$J$62:$J$77&gt;0)*(H$43&gt;=2)*(H$43&lt;=Quesería!$J$62:$J$77+1)*(Quesería!$H$62:$H$77&gt;0)*Quesería!$F$62:$F$77*(1+Quesería!$I$62:$I$77)/(Quesería!$J$62:$J$77+(Quesería!$J$62:$J$77=0)))+SUMPRODUCT((Quesería!$C$62:$C$77=1)*(Quesería!$J$62:$J$77=0)*(H$43=1)*(Quesería!$H$62:$H$77&gt;0)*Quesería!$F$62:$F$77*(1+Quesería!$I$62:$I$77)))*$C$477*$L$21,IF(AND(H$43&gt;=1,H$43&lt;=Quesería!$B$11),Quesería!$F$80/Quesería!$B$11,0)*$B$477+IF(AND(H$43&gt;=2,H$43&lt;=Quesería!$B$11+1),Quesería!$F$81/Quesería!$B$11,0)*$C$477*$L$21)*$L$11+IF(AND(H$43&gt;=6,H$43&lt;=10),$G481*$G477/5,0)+IF(AND(H$43&gt;=7,H$43&lt;=11),$H481*$H477/5,0))*H479</f>
        <v>92.6731239063542</v>
      </c>
      <c r="I489" s="35" t="n">
        <f aca="false">(IF($L$19=1,(SUMPRODUCT((Quesería!$C$62:$C$77=0)*(Quesería!$J$62:$J$77&gt;0)*(I$43&gt;=1)*(I$43&lt;=Quesería!$J$62:$J$77)*(Quesería!$H$62:$H$77&gt;0)*Quesería!$F$62:$F$77*(1+Quesería!$I$62:$I$77)/(Quesería!$J$62:$J$77+(Quesería!$J$62:$J$77=0)))+SUMPRODUCT((Quesería!$C$62:$C$77=0)*(Quesería!$J$62:$J$77=0)*(I$43=0)*(Quesería!$H$62:$H$77&gt;0)*Quesería!$F$62:$F$77*(1+Quesería!$I$62:$I$77)))*$B$477+(SUMPRODUCT((Quesería!$C$62:$C$77=1)*(Quesería!$J$62:$J$77&gt;0)*(I$43&gt;=2)*(I$43&lt;=Quesería!$J$62:$J$77+1)*(Quesería!$H$62:$H$77&gt;0)*Quesería!$F$62:$F$77*(1+Quesería!$I$62:$I$77)/(Quesería!$J$62:$J$77+(Quesería!$J$62:$J$77=0)))+SUMPRODUCT((Quesería!$C$62:$C$77=1)*(Quesería!$J$62:$J$77=0)*(I$43=1)*(Quesería!$H$62:$H$77&gt;0)*Quesería!$F$62:$F$77*(1+Quesería!$I$62:$I$77)))*$C$477*$L$21,IF(AND(I$43&gt;=1,I$43&lt;=Quesería!$B$11),Quesería!$F$80/Quesería!$B$11,0)*$B$477+IF(AND(I$43&gt;=2,I$43&lt;=Quesería!$B$11+1),Quesería!$F$81/Quesería!$B$11,0)*$C$477*$L$21)*$L$11+IF(AND(I$43&gt;=6,I$43&lt;=10),$G481*$G477/5,0)+IF(AND(I$43&gt;=7,I$43&lt;=11),$H481*$H477/5,0))*I479</f>
        <v>95.8981101131611</v>
      </c>
      <c r="J489" s="35" t="n">
        <f aca="false">(IF($L$19=1,(SUMPRODUCT((Quesería!$C$62:$C$77=0)*(Quesería!$J$62:$J$77&gt;0)*(J$43&gt;=1)*(J$43&lt;=Quesería!$J$62:$J$77)*(Quesería!$H$62:$H$77&gt;0)*Quesería!$F$62:$F$77*(1+Quesería!$I$62:$I$77)/(Quesería!$J$62:$J$77+(Quesería!$J$62:$J$77=0)))+SUMPRODUCT((Quesería!$C$62:$C$77=0)*(Quesería!$J$62:$J$77=0)*(J$43=0)*(Quesería!$H$62:$H$77&gt;0)*Quesería!$F$62:$F$77*(1+Quesería!$I$62:$I$77)))*$B$477+(SUMPRODUCT((Quesería!$C$62:$C$77=1)*(Quesería!$J$62:$J$77&gt;0)*(J$43&gt;=2)*(J$43&lt;=Quesería!$J$62:$J$77+1)*(Quesería!$H$62:$H$77&gt;0)*Quesería!$F$62:$F$77*(1+Quesería!$I$62:$I$77)/(Quesería!$J$62:$J$77+(Quesería!$J$62:$J$77=0)))+SUMPRODUCT((Quesería!$C$62:$C$77=1)*(Quesería!$J$62:$J$77=0)*(J$43=1)*(Quesería!$H$62:$H$77&gt;0)*Quesería!$F$62:$F$77*(1+Quesería!$I$62:$I$77)))*$C$477*$L$21,IF(AND(J$43&gt;=1,J$43&lt;=Quesería!$B$11),Quesería!$F$80/Quesería!$B$11,0)*$B$477+IF(AND(J$43&gt;=2,J$43&lt;=Quesería!$B$11+1),Quesería!$F$81/Quesería!$B$11,0)*$C$477*$L$21)*$L$11+IF(AND(J$43&gt;=6,J$43&lt;=10),$G481*$G477/5,0)+IF(AND(J$43&gt;=7,J$43&lt;=11),$H481*$H477/5,0))*J479</f>
        <v>92.2097212626549</v>
      </c>
      <c r="K489" s="35" t="n">
        <f aca="false">(IF($L$19=1,(SUMPRODUCT((Quesería!$C$62:$C$77=0)*(Quesería!$J$62:$J$77&gt;0)*(K$43&gt;=1)*(K$43&lt;=Quesería!$J$62:$J$77)*(Quesería!$H$62:$H$77&gt;0)*Quesería!$F$62:$F$77*(1+Quesería!$I$62:$I$77)/(Quesería!$J$62:$J$77+(Quesería!$J$62:$J$77=0)))+SUMPRODUCT((Quesería!$C$62:$C$77=0)*(Quesería!$J$62:$J$77=0)*(K$43=0)*(Quesería!$H$62:$H$77&gt;0)*Quesería!$F$62:$F$77*(1+Quesería!$I$62:$I$77)))*$B$477+(SUMPRODUCT((Quesería!$C$62:$C$77=1)*(Quesería!$J$62:$J$77&gt;0)*(K$43&gt;=2)*(K$43&lt;=Quesería!$J$62:$J$77+1)*(Quesería!$H$62:$H$77&gt;0)*Quesería!$F$62:$F$77*(1+Quesería!$I$62:$I$77)/(Quesería!$J$62:$J$77+(Quesería!$J$62:$J$77=0)))+SUMPRODUCT((Quesería!$C$62:$C$77=1)*(Quesería!$J$62:$J$77=0)*(K$43=1)*(Quesería!$H$62:$H$77&gt;0)*Quesería!$F$62:$F$77*(1+Quesería!$I$62:$I$77)))*$C$477*$L$21,IF(AND(K$43&gt;=1,K$43&lt;=Quesería!$B$11),Quesería!$F$80/Quesería!$B$11,0)*$B$477+IF(AND(K$43&gt;=2,K$43&lt;=Quesería!$B$11+1),Quesería!$F$81/Quesería!$B$11,0)*$C$477*$L$21)*$L$11+IF(AND(K$43&gt;=6,K$43&lt;=10),$G481*$G477/5,0)+IF(AND(K$43&gt;=7,K$43&lt;=11),$H481*$H477/5,0))*K479</f>
        <v>88.6631935217835</v>
      </c>
      <c r="L489" s="35" t="n">
        <f aca="false">(IF($L$19=1,(SUMPRODUCT((Quesería!$C$62:$C$77=0)*(Quesería!$J$62:$J$77&gt;0)*(L$43&gt;=1)*(L$43&lt;=Quesería!$J$62:$J$77)*(Quesería!$H$62:$H$77&gt;0)*Quesería!$F$62:$F$77*(1+Quesería!$I$62:$I$77)/(Quesería!$J$62:$J$77+(Quesería!$J$62:$J$77=0)))+SUMPRODUCT((Quesería!$C$62:$C$77=0)*(Quesería!$J$62:$J$77=0)*(L$43=0)*(Quesería!$H$62:$H$77&gt;0)*Quesería!$F$62:$F$77*(1+Quesería!$I$62:$I$77)))*$B$477+(SUMPRODUCT((Quesería!$C$62:$C$77=1)*(Quesería!$J$62:$J$77&gt;0)*(L$43&gt;=2)*(L$43&lt;=Quesería!$J$62:$J$77+1)*(Quesería!$H$62:$H$77&gt;0)*Quesería!$F$62:$F$77*(1+Quesería!$I$62:$I$77)/(Quesería!$J$62:$J$77+(Quesería!$J$62:$J$77=0)))+SUMPRODUCT((Quesería!$C$62:$C$77=1)*(Quesería!$J$62:$J$77=0)*(L$43=1)*(Quesería!$H$62:$H$77&gt;0)*Quesería!$F$62:$F$77*(1+Quesería!$I$62:$I$77)))*$C$477*$L$21,IF(AND(L$43&gt;=1,L$43&lt;=Quesería!$B$11),Quesería!$F$80/Quesería!$B$11,0)*$B$477+IF(AND(L$43&gt;=2,L$43&lt;=Quesería!$B$11+1),Quesería!$F$81/Quesería!$B$11,0)*$C$477*$L$21)*$L$11+IF(AND(L$43&gt;=6,L$43&lt;=10),$G481*$G477/5,0)+IF(AND(L$43&gt;=7,L$43&lt;=11),$H481*$H477/5,0))*L479</f>
        <v>85.2530706940226</v>
      </c>
    </row>
    <row r="490" customFormat="false" ht="15" hidden="false" customHeight="false" outlineLevel="0" collapsed="false">
      <c r="A490" s="9" t="s">
        <v>292</v>
      </c>
      <c r="B490" s="36" t="n">
        <f aca="false">IF(B$43=1,MIN($L$7*Quesería!$B$35*Quesería!$F$75*$L$11*$L$21,Quesería!$B$50*Quesería!$B$51),0)</f>
        <v>0</v>
      </c>
      <c r="C490" s="36" t="n">
        <f aca="false">IF(C$43=1,MIN($L$7*Quesería!$B$35*Quesería!$F$75*$L$11*$L$21,Quesería!$B$50*Quesería!$B$51),0)</f>
        <v>20</v>
      </c>
      <c r="D490" s="36" t="n">
        <f aca="false">IF(D$43=1,MIN($L$7*Quesería!$B$35*Quesería!$F$75*$L$11*$L$21,Quesería!$B$50*Quesería!$B$51),0)</f>
        <v>0</v>
      </c>
      <c r="E490" s="36" t="n">
        <f aca="false">IF(E$43=1,MIN($L$7*Quesería!$B$35*Quesería!$F$75*$L$11*$L$21,Quesería!$B$50*Quesería!$B$51),0)</f>
        <v>0</v>
      </c>
      <c r="F490" s="36" t="n">
        <f aca="false">IF(F$43=1,MIN($L$7*Quesería!$B$35*Quesería!$F$75*$L$11*$L$21,Quesería!$B$50*Quesería!$B$51),0)</f>
        <v>0</v>
      </c>
      <c r="G490" s="36" t="n">
        <f aca="false">IF(G$43=1,MIN($L$7*Quesería!$B$35*Quesería!$F$75*$L$11*$L$21,Quesería!$B$50*Quesería!$B$51),0)</f>
        <v>0</v>
      </c>
      <c r="H490" s="36" t="n">
        <f aca="false">IF(H$43=1,MIN($L$7*Quesería!$B$35*Quesería!$F$75*$L$11*$L$21,Quesería!$B$50*Quesería!$B$51),0)</f>
        <v>0</v>
      </c>
      <c r="I490" s="36" t="n">
        <f aca="false">IF(I$43=1,MIN($L$7*Quesería!$B$35*Quesería!$F$75*$L$11*$L$21,Quesería!$B$50*Quesería!$B$51),0)</f>
        <v>0</v>
      </c>
      <c r="J490" s="36" t="n">
        <f aca="false">IF(J$43=1,MIN($L$7*Quesería!$B$35*Quesería!$F$75*$L$11*$L$21,Quesería!$B$50*Quesería!$B$51),0)</f>
        <v>0</v>
      </c>
      <c r="K490" s="36" t="n">
        <f aca="false">IF(K$43=1,MIN($L$7*Quesería!$B$35*Quesería!$F$75*$L$11*$L$21,Quesería!$B$50*Quesería!$B$51),0)</f>
        <v>0</v>
      </c>
      <c r="L490" s="36" t="n">
        <f aca="false">IF(L$43=1,MIN($L$7*Quesería!$B$35*Quesería!$F$75*$L$11*$L$21,Quesería!$B$50*Quesería!$B$51),0)</f>
        <v>0</v>
      </c>
    </row>
    <row r="491" customFormat="false" ht="15" hidden="false" customHeight="false" outlineLevel="0" collapsed="false">
      <c r="A491" s="9" t="s">
        <v>293</v>
      </c>
      <c r="B491" s="36" t="n">
        <v>0</v>
      </c>
      <c r="C491" s="36" t="n">
        <f aca="false">$L$20*Quesería!$B$52*Quesería!$F$86*$L$11*$B$477/C477</f>
        <v>166.879881289715</v>
      </c>
      <c r="D491" s="36" t="n">
        <v>0</v>
      </c>
      <c r="E491" s="36" t="n">
        <v>0</v>
      </c>
      <c r="F491" s="36" t="n">
        <v>0</v>
      </c>
      <c r="G491" s="36" t="n">
        <v>0</v>
      </c>
      <c r="H491" s="36" t="n">
        <v>0</v>
      </c>
      <c r="I491" s="36" t="n">
        <v>0</v>
      </c>
      <c r="J491" s="36" t="n">
        <v>0</v>
      </c>
      <c r="K491" s="36" t="n">
        <v>0</v>
      </c>
      <c r="L491" s="36" t="n">
        <v>0</v>
      </c>
    </row>
    <row r="492" customFormat="false" ht="15" hidden="false" customHeight="false" outlineLevel="0" collapsed="false">
      <c r="A492" s="9" t="s">
        <v>294</v>
      </c>
      <c r="B492" s="36" t="n">
        <f aca="false">0</f>
        <v>0</v>
      </c>
      <c r="C492" s="36" t="n">
        <f aca="false">B482*B477/C477</f>
        <v>94.6170242743742</v>
      </c>
      <c r="D492" s="36" t="n">
        <f aca="false">C482*C477/D477</f>
        <v>117.321834287022</v>
      </c>
      <c r="E492" s="36" t="n">
        <f aca="false">D482*D477/E477</f>
        <v>0</v>
      </c>
      <c r="F492" s="36" t="n">
        <f aca="false">E482*E477/F477</f>
        <v>0</v>
      </c>
      <c r="G492" s="36" t="n">
        <f aca="false">F482*F477/G477</f>
        <v>0</v>
      </c>
      <c r="H492" s="36" t="n">
        <f aca="false">G482*G477/H477</f>
        <v>4.87179487179487</v>
      </c>
      <c r="I492" s="36" t="n">
        <f aca="false">H482*H477/I477</f>
        <v>6.44987026996795</v>
      </c>
      <c r="J492" s="36" t="n">
        <f aca="false">I482*I477/J477</f>
        <v>0</v>
      </c>
      <c r="K492" s="36" t="n">
        <f aca="false">J482*J477/K477</f>
        <v>0</v>
      </c>
      <c r="L492" s="36" t="n">
        <f aca="false">K482*K477/L477</f>
        <v>0</v>
      </c>
    </row>
    <row r="493" customFormat="false" ht="15" hidden="false" customHeight="false" outlineLevel="0" collapsed="false">
      <c r="A493" s="6" t="s">
        <v>86</v>
      </c>
      <c r="B493" s="35" t="n">
        <f aca="false">$L$17*(B485-B486-B487-0.5*B488-B489)-B490-B491-B492</f>
        <v>-19.3080576189439</v>
      </c>
      <c r="C493" s="35" t="n">
        <f aca="false">$L$17*(C485-C486-C487-0.5*C488-C489)-C490-C491-C492</f>
        <v>-269.562019528167</v>
      </c>
      <c r="D493" s="35" t="n">
        <f aca="false">$L$17*(D485-D486-D487-0.5*D488-D489)-D490-D491-D492</f>
        <v>-46.5844033639598</v>
      </c>
      <c r="E493" s="35" t="n">
        <f aca="false">$L$17*(E485-E486-E487-0.5*E488-E489)-E490-E491-E492</f>
        <v>85.1369364449222</v>
      </c>
      <c r="F493" s="35" t="n">
        <f aca="false">$L$17*(F485-F486-F487-0.5*F488-F489)-F490-F491-F492</f>
        <v>86.8171392144052</v>
      </c>
      <c r="G493" s="35" t="n">
        <f aca="false">$L$17*(G485-G486-G487-0.5*G488-G489)-G490-G491-G492</f>
        <v>88.418053947243</v>
      </c>
      <c r="H493" s="35" t="n">
        <f aca="false">$L$17*(H485-H486-H487-0.5*H488-H489)-H490-H491-H492</f>
        <v>87.4933386844958</v>
      </c>
      <c r="I493" s="35" t="n">
        <f aca="false">$L$17*(I485-I486-I487-0.5*I488-I489)-I490-I491-I492</f>
        <v>84.9922269258348</v>
      </c>
      <c r="J493" s="35" t="n">
        <f aca="false">$L$17*(J485-J486-J487-0.5*J488-J489)-J490-J491-J492</f>
        <v>92.9102149132743</v>
      </c>
      <c r="K493" s="35" t="n">
        <f aca="false">$L$17*(K485-K486-K487-0.5*K488-K489)-K490-K491-K492</f>
        <v>94.3295671504725</v>
      </c>
      <c r="L493" s="35" t="n">
        <f aca="false">$L$17*(L485-L486-L487-0.5*L488-L489)-L490-L491-L492</f>
        <v>95.7020680057216</v>
      </c>
    </row>
    <row r="494" customFormat="false" ht="15" hidden="false" customHeight="false" outlineLevel="0" collapsed="false">
      <c r="A494" s="9" t="s">
        <v>295</v>
      </c>
      <c r="B494" s="36" t="n">
        <f aca="false">(IF(B$43&gt;=1,Quesería!$G$107*IF(B$43=1,Quesería!$B$12,1),Quesería!$G$107*Quesería!$B$12*Quesería!$B$13/12*$L$23)+IF(B$43&gt;=2,Quesería!$G$108*$L$21*IF(B$43=2,Quesería!$B$12,1),0))*$L$10</f>
        <v>26.8516916045565</v>
      </c>
      <c r="C494" s="36" t="n">
        <f aca="false">(IF(C$43&gt;=1,Quesería!$G$107*IF(C$43=1,Quesería!$B$12,1),Quesería!$G$107*Quesería!$B$12*Quesería!$B$13/12*$L$23)+IF(C$43&gt;=2,Quesería!$G$108*$L$21*IF(C$43=2,Quesería!$B$12,1),0))*$L$10</f>
        <v>80.5550748136695</v>
      </c>
      <c r="D494" s="36" t="n">
        <f aca="false">(IF(D$43&gt;=1,Quesería!$G$107*IF(D$43=1,Quesería!$B$12,1),Quesería!$G$107*Quesería!$B$12*Quesería!$B$13/12*$L$23)+IF(D$43&gt;=2,Quesería!$G$108*$L$21*IF(D$43=2,Quesería!$B$12,1),0))*$L$10</f>
        <v>189.651223070959</v>
      </c>
      <c r="E494" s="36" t="n">
        <f aca="false">(IF(E$43&gt;=1,Quesería!$G$107*IF(E$43=1,Quesería!$B$12,1),Quesería!$G$107*Quesería!$B$12*Quesería!$B$13/12*$L$23)+IF(E$43&gt;=2,Quesería!$G$108*$L$21*IF(E$43=2,Quesería!$B$12,1),0))*$L$10</f>
        <v>217.066041955203</v>
      </c>
      <c r="F494" s="36" t="n">
        <f aca="false">(IF(F$43&gt;=1,Quesería!$G$107*IF(F$43=1,Quesería!$B$12,1),Quesería!$G$107*Quesería!$B$12*Quesería!$B$13/12*$L$23)+IF(F$43&gt;=2,Quesería!$G$108*$L$21*IF(F$43=2,Quesería!$B$12,1),0))*$L$10</f>
        <v>217.066041955203</v>
      </c>
      <c r="G494" s="36" t="n">
        <f aca="false">(IF(G$43&gt;=1,Quesería!$G$107*IF(G$43=1,Quesería!$B$12,1),Quesería!$G$107*Quesería!$B$12*Quesería!$B$13/12*$L$23)+IF(G$43&gt;=2,Quesería!$G$108*$L$21*IF(G$43=2,Quesería!$B$12,1),0))*$L$10</f>
        <v>217.066041955203</v>
      </c>
      <c r="H494" s="36" t="n">
        <f aca="false">(IF(H$43&gt;=1,Quesería!$G$107*IF(H$43=1,Quesería!$B$12,1),Quesería!$G$107*Quesería!$B$12*Quesería!$B$13/12*$L$23)+IF(H$43&gt;=2,Quesería!$G$108*$L$21*IF(H$43=2,Quesería!$B$12,1),0))*$L$10</f>
        <v>217.066041955203</v>
      </c>
      <c r="I494" s="36" t="n">
        <f aca="false">(IF(I$43&gt;=1,Quesería!$G$107*IF(I$43=1,Quesería!$B$12,1),Quesería!$G$107*Quesería!$B$12*Quesería!$B$13/12*$L$23)+IF(I$43&gt;=2,Quesería!$G$108*$L$21*IF(I$43=2,Quesería!$B$12,1),0))*$L$10</f>
        <v>217.066041955203</v>
      </c>
      <c r="J494" s="36" t="n">
        <f aca="false">(IF(J$43&gt;=1,Quesería!$G$107*IF(J$43=1,Quesería!$B$12,1),Quesería!$G$107*Quesería!$B$12*Quesería!$B$13/12*$L$23)+IF(J$43&gt;=2,Quesería!$G$108*$L$21*IF(J$43=2,Quesería!$B$12,1),0))*$L$10</f>
        <v>217.066041955203</v>
      </c>
      <c r="K494" s="36" t="n">
        <f aca="false">(IF(K$43&gt;=1,Quesería!$G$107*IF(K$43=1,Quesería!$B$12,1),Quesería!$G$107*Quesería!$B$12*Quesería!$B$13/12*$L$23)+IF(K$43&gt;=2,Quesería!$G$108*$L$21*IF(K$43=2,Quesería!$B$12,1),0))*$L$10</f>
        <v>217.066041955203</v>
      </c>
      <c r="L494" s="36" t="n">
        <f aca="false">(IF(L$43&gt;=1,Quesería!$G$107*IF(L$43=1,Quesería!$B$12,1),Quesería!$G$107*Quesería!$B$12*Quesería!$B$13/12*$L$23)+IF(L$43&gt;=2,Quesería!$G$108*$L$21*IF(L$43=2,Quesería!$B$12,1),0))*$L$10</f>
        <v>217.066041955203</v>
      </c>
    </row>
    <row r="495" customFormat="false" ht="15" hidden="false" customHeight="false" outlineLevel="0" collapsed="false">
      <c r="A495" s="6" t="s">
        <v>296</v>
      </c>
      <c r="B495" s="35" t="n">
        <f aca="false">(B494*(Quesería!$B$23+Quesería!$B$25*Quesería!$B$24)/365-B486*Quesería!$B$26/365)</f>
        <v>2.50861009237089</v>
      </c>
      <c r="C495" s="35" t="n">
        <f aca="false">(C494*(Quesería!$B$23+Quesería!$B$25*Quesería!$B$24)/365-C486*Quesería!$B$26/365)-(B494*(Quesería!$B$23+Quesería!$B$25*Quesería!$B$24)/365-B486*Quesería!$B$26/365)*B477/C477</f>
        <v>3.58013218052606</v>
      </c>
      <c r="D495" s="35" t="n">
        <f aca="false">(D494*(Quesería!$B$23+Quesería!$B$25*Quesería!$B$24)/365-D486*Quesería!$B$26/365)-(C494*(Quesería!$B$23+Quesería!$B$25*Quesería!$B$24)/365-C486*Quesería!$B$26/365)*C477/D477</f>
        <v>8.25896188433497</v>
      </c>
      <c r="E495" s="35" t="n">
        <f aca="false">(E494*(Quesería!$B$23+Quesería!$B$25*Quesería!$B$24)/365-E486*Quesería!$B$26/365)-(D494*(Quesería!$B$23+Quesería!$B$25*Quesería!$B$24)/365-D486*Quesería!$B$26/365)*D477/E477</f>
        <v>3.09857375787939</v>
      </c>
      <c r="F495" s="35" t="n">
        <f aca="false">(F494*(Quesería!$B$23+Quesería!$B$25*Quesería!$B$24)/365-F486*Quesería!$B$26/365)-(E494*(Quesería!$B$23+Quesería!$B$25*Quesería!$B$24)/365-E486*Quesería!$B$26/365)*E477/F477</f>
        <v>0.635862156317916</v>
      </c>
      <c r="G495" s="35" t="n">
        <f aca="false">(G494*(Quesería!$B$23+Quesería!$B$25*Quesería!$B$24)/365-G486*Quesería!$B$26/365)-(F494*(Quesería!$B$23+Quesería!$B$25*Quesería!$B$24)/365-F486*Quesería!$B$26/365)*F477/G477</f>
        <v>0.635862156317915</v>
      </c>
      <c r="H495" s="35" t="n">
        <f aca="false">(H494*(Quesería!$B$23+Quesería!$B$25*Quesería!$B$24)/365-H486*Quesería!$B$26/365)-(G494*(Quesería!$B$23+Quesería!$B$25*Quesería!$B$24)/365-G486*Quesería!$B$26/365)*G477/H477</f>
        <v>0.635862156317915</v>
      </c>
      <c r="I495" s="35" t="n">
        <f aca="false">(I494*(Quesería!$B$23+Quesería!$B$25*Quesería!$B$24)/365-I486*Quesería!$B$26/365)-(H494*(Quesería!$B$23+Quesería!$B$25*Quesería!$B$24)/365-H486*Quesería!$B$26/365)*H477/I477</f>
        <v>0.635862156317915</v>
      </c>
      <c r="J495" s="35" t="n">
        <f aca="false">(J494*(Quesería!$B$23+Quesería!$B$25*Quesería!$B$24)/365-J486*Quesería!$B$26/365)-(I494*(Quesería!$B$23+Quesería!$B$25*Quesería!$B$24)/365-I486*Quesería!$B$26/365)*I477/J477</f>
        <v>0.635862156317916</v>
      </c>
      <c r="K495" s="35" t="n">
        <f aca="false">(K494*(Quesería!$B$23+Quesería!$B$25*Quesería!$B$24)/365-K486*Quesería!$B$26/365)-(J494*(Quesería!$B$23+Quesería!$B$25*Quesería!$B$24)/365-J486*Quesería!$B$26/365)*J477/K477</f>
        <v>0.635862156317916</v>
      </c>
      <c r="L495" s="35" t="n">
        <f aca="false">-(K494*(Quesería!$B$23+Quesería!$B$25*Quesería!$B$24)/365-K486*Quesería!$B$26/365)*K477/L477</f>
        <v>-15.8965539079479</v>
      </c>
    </row>
    <row r="496" customFormat="false" ht="15" hidden="false" customHeight="false" outlineLevel="0" collapsed="false">
      <c r="A496" s="6" t="s">
        <v>297</v>
      </c>
      <c r="B496" s="35" t="n">
        <v>0</v>
      </c>
      <c r="C496" s="35" t="n">
        <v>0</v>
      </c>
      <c r="D496" s="35" t="n">
        <v>0</v>
      </c>
      <c r="E496" s="35" t="n">
        <v>0</v>
      </c>
      <c r="F496" s="35" t="n">
        <v>0</v>
      </c>
      <c r="G496" s="35" t="n">
        <v>0</v>
      </c>
      <c r="H496" s="35" t="n">
        <v>0</v>
      </c>
      <c r="I496" s="35" t="n">
        <v>0</v>
      </c>
      <c r="J496" s="35" t="n">
        <v>0</v>
      </c>
      <c r="K496" s="35" t="n">
        <v>0</v>
      </c>
      <c r="L496" s="35" t="n">
        <f aca="false">$L$8*Quesería!$B$39*(Quesería!$F$82+Quesería!$F$83*$L$21)*$L$11*(1-$L$17)</f>
        <v>56.0502928201667</v>
      </c>
    </row>
    <row r="497" customFormat="false" ht="15" hidden="false" customHeight="false" outlineLevel="0" collapsed="false">
      <c r="A497" s="5" t="s">
        <v>298</v>
      </c>
      <c r="B497" s="37" t="n">
        <f aca="false">B485-B486-B487-B488-B493-B480-B481-B482-B495+B496</f>
        <v>-662.041045072899</v>
      </c>
      <c r="C497" s="37" t="n">
        <f aca="false">C485-C486-C487-C488-C493-C480-C481-C482-C495+C496</f>
        <v>-412.314247669076</v>
      </c>
      <c r="D497" s="37" t="n">
        <f aca="false">D485-D486-D487-D488-D493-D480-D481-D482-D495+D496</f>
        <v>356.697560248904</v>
      </c>
      <c r="E497" s="37" t="n">
        <f aca="false">E485-E486-E487-E488-E493-E480-E481-E482-E495+E496</f>
        <v>266.801533592305</v>
      </c>
      <c r="F497" s="37" t="n">
        <f aca="false">F485-F486-F487-F488-F493-F480-F481-F482-F495+F496</f>
        <v>268.080276263511</v>
      </c>
      <c r="G497" s="37" t="n">
        <f aca="false">G485-G486-G487-G488-G493-G480-G481-G482-G495+G496</f>
        <v>235.117809872329</v>
      </c>
      <c r="H497" s="37" t="n">
        <f aca="false">H485-H486-H487-H488-H493-H480-H481-H482-H495+H496</f>
        <v>226.223532575124</v>
      </c>
      <c r="I497" s="37" t="n">
        <f aca="false">I485-I486-I487-I488-I493-I480-I481-I482-I495+I496</f>
        <v>271.408826770049</v>
      </c>
      <c r="J497" s="37" t="n">
        <f aca="false">J485-J486-J487-J488-J493-J480-J481-J482-J495+J496</f>
        <v>263.997071982022</v>
      </c>
      <c r="K497" s="37" t="n">
        <f aca="false">K485-K486-K487-K488-K493-K480-K481-K482-K495+K496</f>
        <v>263.086484110233</v>
      </c>
      <c r="L497" s="37" t="n">
        <f aca="false">L485-L486-L487-L488-L493-L480-L481-L482-L495+L496</f>
        <v>334.808000326653</v>
      </c>
    </row>
    <row r="498" customFormat="false" ht="15" hidden="false" customHeight="false" outlineLevel="0" collapsed="false">
      <c r="A498" s="9" t="s">
        <v>299</v>
      </c>
      <c r="B498" s="36" t="n">
        <f aca="false">B497*B477</f>
        <v>-701.763507777273</v>
      </c>
      <c r="C498" s="36" t="n">
        <f aca="false">C497*C477</f>
        <v>-458.905757655682</v>
      </c>
      <c r="D498" s="36" t="n">
        <f aca="false">D497*D477</f>
        <v>414.869581862097</v>
      </c>
      <c r="E498" s="36" t="n">
        <f aca="false">E497*E477</f>
        <v>322.725376166135</v>
      </c>
      <c r="F498" s="36" t="n">
        <f aca="false">F497*F477</f>
        <v>337.24304020437</v>
      </c>
      <c r="G498" s="36" t="n">
        <f aca="false">G497*G477</f>
        <v>307.607556800563</v>
      </c>
      <c r="H498" s="36" t="n">
        <f aca="false">H497*H477</f>
        <v>307.809905644213</v>
      </c>
      <c r="I498" s="36" t="n">
        <f aca="false">I497*I477</f>
        <v>384.062689608151</v>
      </c>
      <c r="J498" s="36" t="n">
        <f aca="false">J497*J477</f>
        <v>388.517513558966</v>
      </c>
      <c r="K498" s="36" t="n">
        <f aca="false">K497*K477</f>
        <v>402.664522472493</v>
      </c>
      <c r="L498" s="36" t="n">
        <f aca="false">L497*L477</f>
        <v>532.934697077084</v>
      </c>
    </row>
    <row r="499" customFormat="false" ht="15" hidden="false" customHeight="false" outlineLevel="0" collapsed="false">
      <c r="A499" s="6" t="s">
        <v>300</v>
      </c>
      <c r="B499" s="35" t="n">
        <f aca="false">B497</f>
        <v>-662.041045072899</v>
      </c>
      <c r="C499" s="35" t="n">
        <f aca="false">B499+C497</f>
        <v>-1074.35529274197</v>
      </c>
      <c r="D499" s="35" t="n">
        <f aca="false">C499+D497</f>
        <v>-717.657732493071</v>
      </c>
      <c r="E499" s="35" t="n">
        <f aca="false">D499+E497</f>
        <v>-450.856198900765</v>
      </c>
      <c r="F499" s="35" t="n">
        <f aca="false">E499+F497</f>
        <v>-182.775922637255</v>
      </c>
      <c r="G499" s="35" t="n">
        <f aca="false">F499+G497</f>
        <v>52.3418872350741</v>
      </c>
      <c r="H499" s="35" t="n">
        <f aca="false">G499+H497</f>
        <v>278.565419810198</v>
      </c>
      <c r="I499" s="35" t="n">
        <f aca="false">H499+I497</f>
        <v>549.974246580246</v>
      </c>
      <c r="J499" s="35" t="n">
        <f aca="false">I499+J497</f>
        <v>813.971318562268</v>
      </c>
      <c r="K499" s="35" t="n">
        <f aca="false">J499+K497</f>
        <v>1077.0578026725</v>
      </c>
      <c r="L499" s="35" t="n">
        <f aca="false">K499+L497</f>
        <v>1411.86580299915</v>
      </c>
    </row>
    <row r="500" customFormat="false" ht="15" hidden="false" customHeight="false" outlineLevel="0" collapsed="false">
      <c r="A500" s="9" t="s">
        <v>301</v>
      </c>
      <c r="B500" s="38" t="n">
        <v>0</v>
      </c>
      <c r="C500" s="38" t="n">
        <f aca="false">IF(AND(B499&lt;0,C499&gt;=0),B$43+(-B499)/C497,0)</f>
        <v>0</v>
      </c>
      <c r="D500" s="38" t="n">
        <f aca="false">IF(AND(C499&lt;0,D499&gt;=0),C$43+(-C499)/D497,0)</f>
        <v>0</v>
      </c>
      <c r="E500" s="38" t="n">
        <f aca="false">IF(AND(D499&lt;0,E499&gt;=0),D$43+(-D499)/E497,0)</f>
        <v>0</v>
      </c>
      <c r="F500" s="38" t="n">
        <f aca="false">IF(AND(E499&lt;0,F499&gt;=0),E$43+(-E499)/F497,0)</f>
        <v>0</v>
      </c>
      <c r="G500" s="38" t="n">
        <f aca="false">IF(AND(F499&lt;0,G499&gt;=0),F$43+(-F499)/G497,0)</f>
        <v>4.77738016842069</v>
      </c>
      <c r="H500" s="38" t="n">
        <f aca="false">IF(AND(G499&lt;0,H499&gt;=0),G$43+(-G499)/H497,0)</f>
        <v>0</v>
      </c>
      <c r="I500" s="38" t="n">
        <f aca="false">IF(AND(H499&lt;0,I499&gt;=0),H$43+(-H499)/I497,0)</f>
        <v>0</v>
      </c>
      <c r="J500" s="38" t="n">
        <f aca="false">IF(AND(I499&lt;0,J499&gt;=0),I$43+(-I499)/J497,0)</f>
        <v>0</v>
      </c>
      <c r="K500" s="38" t="n">
        <f aca="false">IF(AND(J499&lt;0,K499&gt;=0),J$43+(-J499)/K497,0)</f>
        <v>0</v>
      </c>
      <c r="L500" s="38" t="n">
        <f aca="false">IF(AND(K499&lt;0,L499&gt;=0),K$43+(-K499)/L497,0)</f>
        <v>0</v>
      </c>
    </row>
    <row r="501" customFormat="false" ht="15" hidden="false" customHeight="false" outlineLevel="0" collapsed="false">
      <c r="A501" s="9" t="s">
        <v>302</v>
      </c>
      <c r="B501" s="34" t="n">
        <f aca="false">(B477/$B$477)/(1+$L$25)^B$43</f>
        <v>1</v>
      </c>
      <c r="C501" s="34" t="n">
        <f aca="false">(C477/$B$477)/(1+$L$25)^C$43</f>
        <v>0.921735848062819</v>
      </c>
      <c r="D501" s="34" t="n">
        <f aca="false">(D477/$B$477)/(1+$L$25)^D$43</f>
        <v>0.845551273729778</v>
      </c>
      <c r="E501" s="34" t="n">
        <f aca="false">(E477/$B$477)/(1+$L$25)^E$43</f>
        <v>0.771952302082657</v>
      </c>
      <c r="F501" s="34" t="n">
        <f aca="false">(F477/$B$477)/(1+$L$25)^F$43</f>
        <v>0.704759575444925</v>
      </c>
      <c r="G501" s="34" t="n">
        <f aca="false">(G477/$B$477)/(1+$L$25)^G$43</f>
        <v>0.643415477667852</v>
      </c>
      <c r="H501" s="34" t="n">
        <f aca="false">(H477/$B$477)/(1+$L$25)^H$43</f>
        <v>0.587410928955732</v>
      </c>
      <c r="I501" s="34" t="n">
        <f aca="false">(I477/$B$477)/(1+$L$25)^I$43</f>
        <v>0.536281161136071</v>
      </c>
      <c r="J501" s="34" t="n">
        <f aca="false">(J477/$B$477)/(1+$L$25)^J$43</f>
        <v>0.489601860661204</v>
      </c>
      <c r="K501" s="34" t="n">
        <f aca="false">(K477/$B$477)/(1+$L$25)^K$43</f>
        <v>0.446985647333025</v>
      </c>
      <c r="L501" s="34" t="n">
        <f aca="false">(L477/$B$477)/(1+$L$25)^L$43</f>
        <v>0.408078859528639</v>
      </c>
    </row>
    <row r="502" customFormat="false" ht="15" hidden="false" customHeight="false" outlineLevel="0" collapsed="false">
      <c r="A502" s="9" t="s">
        <v>303</v>
      </c>
      <c r="B502" s="36" t="n">
        <f aca="false">B497*B501</f>
        <v>-662.041045072899</v>
      </c>
      <c r="C502" s="36" t="n">
        <f aca="false">C497*C501</f>
        <v>-380.044822743639</v>
      </c>
      <c r="D502" s="36" t="n">
        <f aca="false">D497*D501</f>
        <v>301.606076404765</v>
      </c>
      <c r="E502" s="36" t="n">
        <f aca="false">E497*E501</f>
        <v>205.958058055764</v>
      </c>
      <c r="F502" s="36" t="n">
        <f aca="false">F497*F501</f>
        <v>188.93214168463</v>
      </c>
      <c r="G502" s="36" t="n">
        <f aca="false">G497*G501</f>
        <v>151.278437947224</v>
      </c>
      <c r="H502" s="36" t="n">
        <f aca="false">H497*H501</f>
        <v>132.886175421601</v>
      </c>
      <c r="I502" s="36" t="n">
        <f aca="false">I497*I501</f>
        <v>145.55144076282</v>
      </c>
      <c r="J502" s="36" t="n">
        <f aca="false">J497*J501</f>
        <v>129.253457651508</v>
      </c>
      <c r="K502" s="36" t="n">
        <f aca="false">K497*K501</f>
        <v>117.595882404582</v>
      </c>
      <c r="L502" s="36" t="n">
        <f aca="false">L497*L501</f>
        <v>136.628066934364</v>
      </c>
    </row>
    <row r="503" customFormat="false" ht="15" hidden="false" customHeight="false" outlineLevel="0" collapsed="false">
      <c r="A503" s="9" t="s">
        <v>304</v>
      </c>
      <c r="B503" s="36" t="n">
        <f aca="false">B502</f>
        <v>-662.041045072899</v>
      </c>
      <c r="C503" s="36" t="n">
        <f aca="false">B503+C502</f>
        <v>-1042.08586781654</v>
      </c>
      <c r="D503" s="36" t="n">
        <f aca="false">C503+D502</f>
        <v>-740.479791411773</v>
      </c>
      <c r="E503" s="36" t="n">
        <f aca="false">D503+E502</f>
        <v>-534.521733356009</v>
      </c>
      <c r="F503" s="36" t="n">
        <f aca="false">E503+F502</f>
        <v>-345.589591671379</v>
      </c>
      <c r="G503" s="36" t="n">
        <f aca="false">F503+G502</f>
        <v>-194.311153724155</v>
      </c>
      <c r="H503" s="36" t="n">
        <f aca="false">G503+H502</f>
        <v>-61.4249783025547</v>
      </c>
      <c r="I503" s="36" t="n">
        <f aca="false">H503+I502</f>
        <v>84.1264624602658</v>
      </c>
      <c r="J503" s="36" t="n">
        <f aca="false">I503+J502</f>
        <v>213.379920111773</v>
      </c>
      <c r="K503" s="36" t="n">
        <f aca="false">J503+K502</f>
        <v>330.975802516355</v>
      </c>
      <c r="L503" s="36" t="n">
        <f aca="false">K503+L502</f>
        <v>467.60386945072</v>
      </c>
    </row>
    <row r="504" customFormat="false" ht="15" hidden="false" customHeight="false" outlineLevel="0" collapsed="false">
      <c r="A504" s="9" t="s">
        <v>305</v>
      </c>
      <c r="B504" s="38" t="n">
        <v>0</v>
      </c>
      <c r="C504" s="38" t="n">
        <f aca="false">IF(AND(B503&lt;0,C503&gt;=0),B$43+(-B503)/C502,0)</f>
        <v>0</v>
      </c>
      <c r="D504" s="38" t="n">
        <f aca="false">IF(AND(C503&lt;0,D503&gt;=0),C$43+(-C503)/D502,0)</f>
        <v>0</v>
      </c>
      <c r="E504" s="38" t="n">
        <f aca="false">IF(AND(D503&lt;0,E503&gt;=0),D$43+(-D503)/E502,0)</f>
        <v>0</v>
      </c>
      <c r="F504" s="38" t="n">
        <f aca="false">IF(AND(E503&lt;0,F503&gt;=0),E$43+(-E503)/F502,0)</f>
        <v>0</v>
      </c>
      <c r="G504" s="38" t="n">
        <f aca="false">IF(AND(F503&lt;0,G503&gt;=0),F$43+(-F503)/G502,0)</f>
        <v>0</v>
      </c>
      <c r="H504" s="38" t="n">
        <f aca="false">IF(AND(G503&lt;0,H503&gt;=0),G$43+(-G503)/H502,0)</f>
        <v>0</v>
      </c>
      <c r="I504" s="38" t="n">
        <f aca="false">IF(AND(H503&lt;0,I503&gt;=0),H$43+(-H503)/I502,0)</f>
        <v>6.42201559792629</v>
      </c>
      <c r="J504" s="38" t="n">
        <f aca="false">IF(AND(I503&lt;0,J503&gt;=0),I$43+(-I503)/J502,0)</f>
        <v>0</v>
      </c>
      <c r="K504" s="38" t="n">
        <f aca="false">IF(AND(J503&lt;0,K503&gt;=0),J$43+(-J503)/K502,0)</f>
        <v>0</v>
      </c>
      <c r="L504" s="38" t="n">
        <f aca="false">IF(AND(K503&lt;0,L503&gt;=0),K$43+(-K503)/L502,0)</f>
        <v>0</v>
      </c>
    </row>
    <row r="505" customFormat="false" ht="15" hidden="false" customHeight="false" outlineLevel="0" collapsed="false">
      <c r="A505" s="9" t="s">
        <v>306</v>
      </c>
      <c r="B505" s="36" t="n">
        <f aca="false">IF(B$43&lt;0,0,(Quesería!$B$40*$B$480*$B$477)*(1-MAX(0,MIN(B$43-0-Quesería!$B$43,(Quesería!$B$42-Quesería!$B$43)))/(Quesería!$B$42-Quesería!$B$43)))+IF(B$43&lt;1,0,(Quesería!$B$40*$C$480*$C$477)*(1-MAX(0,MIN(B$43-1-Quesería!$B$43,(Quesería!$B$42-Quesería!$B$43)))/(Quesería!$B$42-Quesería!$B$43)))</f>
        <v>461.704769247221</v>
      </c>
      <c r="C505" s="36" t="n">
        <f aca="false">IF(C$43&lt;0,0,(Quesería!$B$40*$B$480*$B$477)*(1-MAX(0,MIN(C$43-0-Quesería!$B$43,(Quesería!$B$42-Quesería!$B$43)))/(Quesería!$B$42-Quesería!$B$43)))+IF(C$43&lt;1,0,(Quesería!$B$40*$C$480*$C$477)*(1-MAX(0,MIN(C$43-1-Quesería!$B$43,(Quesería!$B$42-Quesería!$B$43)))/(Quesería!$B$42-Quesería!$B$43)))</f>
        <v>964.434695258825</v>
      </c>
      <c r="D505" s="36" t="n">
        <f aca="false">IF(D$43&lt;0,0,(Quesería!$B$40*$B$480*$B$477)*(1-MAX(0,MIN(D$43-0-Quesería!$B$43,(Quesería!$B$42-Quesería!$B$43)))/(Quesería!$B$42-Quesería!$B$43)))+IF(D$43&lt;1,0,(Quesería!$B$40*$C$480*$C$477)*(1-MAX(0,MIN(D$43-1-Quesería!$B$43,(Quesería!$B$42-Quesería!$B$43)))/(Quesería!$B$42-Quesería!$B$43)))</f>
        <v>887.483900384289</v>
      </c>
      <c r="E505" s="36" t="n">
        <f aca="false">IF(E$43&lt;0,0,(Quesería!$B$40*$B$480*$B$477)*(1-MAX(0,MIN(E$43-0-Quesería!$B$43,(Quesería!$B$42-Quesería!$B$43)))/(Quesería!$B$42-Quesería!$B$43)))+IF(E$43&lt;1,0,(Quesería!$B$40*$C$480*$C$477)*(1-MAX(0,MIN(E$43-1-Quesería!$B$43,(Quesería!$B$42-Quesería!$B$43)))/(Quesería!$B$42-Quesería!$B$43)))</f>
        <v>726.744784507818</v>
      </c>
      <c r="F505" s="36" t="n">
        <f aca="false">IF(F$43&lt;0,0,(Quesería!$B$40*$B$480*$B$477)*(1-MAX(0,MIN(F$43-0-Quesería!$B$43,(Quesería!$B$42-Quesería!$B$43)))/(Quesería!$B$42-Quesería!$B$43)))+IF(F$43&lt;1,0,(Quesería!$B$40*$C$480*$C$477)*(1-MAX(0,MIN(F$43-1-Quesería!$B$43,(Quesería!$B$42-Quesería!$B$43)))/(Quesería!$B$42-Quesería!$B$43)))</f>
        <v>566.005668631347</v>
      </c>
      <c r="G505" s="36" t="n">
        <f aca="false">IF(G$43&lt;0,0,(Quesería!$B$40*$B$480*$B$477)*(1-MAX(0,MIN(G$43-0-Quesería!$B$43,(Quesería!$B$42-Quesería!$B$43)))/(Quesería!$B$42-Quesería!$B$43)))+IF(G$43&lt;1,0,(Quesería!$B$40*$C$480*$C$477)*(1-MAX(0,MIN(G$43-1-Quesería!$B$43,(Quesería!$B$42-Quesería!$B$43)))/(Quesería!$B$42-Quesería!$B$43)))</f>
        <v>405.266552754876</v>
      </c>
      <c r="H505" s="36" t="n">
        <f aca="false">IF(H$43&lt;0,0,(Quesería!$B$40*$B$480*$B$477)*(1-MAX(0,MIN(H$43-0-Quesería!$B$43,(Quesería!$B$42-Quesería!$B$43)))/(Quesería!$B$42-Quesería!$B$43)))+IF(H$43&lt;1,0,(Quesería!$B$40*$C$480*$C$477)*(1-MAX(0,MIN(H$43-1-Quesería!$B$43,(Quesería!$B$42-Quesería!$B$43)))/(Quesería!$B$42-Quesería!$B$43)))</f>
        <v>244.527436878405</v>
      </c>
      <c r="I505" s="36" t="n">
        <f aca="false">IF(I$43&lt;0,0,(Quesería!$B$40*$B$480*$B$477)*(1-MAX(0,MIN(I$43-0-Quesería!$B$43,(Quesería!$B$42-Quesería!$B$43)))/(Quesería!$B$42-Quesería!$B$43)))+IF(I$43&lt;1,0,(Quesería!$B$40*$C$480*$C$477)*(1-MAX(0,MIN(I$43-1-Quesería!$B$43,(Quesería!$B$42-Quesería!$B$43)))/(Quesería!$B$42-Quesería!$B$43)))</f>
        <v>83.788321001934</v>
      </c>
      <c r="J505" s="36" t="n">
        <f aca="false">IF(J$43&lt;0,0,(Quesería!$B$40*$B$480*$B$477)*(1-MAX(0,MIN(J$43-0-Quesería!$B$43,(Quesería!$B$42-Quesería!$B$43)))/(Quesería!$B$42-Quesería!$B$43)))+IF(J$43&lt;1,0,(Quesería!$B$40*$C$480*$C$477)*(1-MAX(0,MIN(J$43-1-Quesería!$B$43,(Quesería!$B$42-Quesería!$B$43)))/(Quesería!$B$42-Quesería!$B$43)))</f>
        <v>0</v>
      </c>
      <c r="K505" s="36" t="n">
        <f aca="false">IF(K$43&lt;0,0,(Quesería!$B$40*$B$480*$B$477)*(1-MAX(0,MIN(K$43-0-Quesería!$B$43,(Quesería!$B$42-Quesería!$B$43)))/(Quesería!$B$42-Quesería!$B$43)))+IF(K$43&lt;1,0,(Quesería!$B$40*$C$480*$C$477)*(1-MAX(0,MIN(K$43-1-Quesería!$B$43,(Quesería!$B$42-Quesería!$B$43)))/(Quesería!$B$42-Quesería!$B$43)))</f>
        <v>0</v>
      </c>
      <c r="L505" s="36" t="n">
        <f aca="false">IF(L$43&lt;0,0,(Quesería!$B$40*$B$480*$B$477)*(1-MAX(0,MIN(L$43-0-Quesería!$B$43,(Quesería!$B$42-Quesería!$B$43)))/(Quesería!$B$42-Quesería!$B$43)))+IF(L$43&lt;1,0,(Quesería!$B$40*$C$480*$C$477)*(1-MAX(0,MIN(L$43-1-Quesería!$B$43,(Quesería!$B$42-Quesería!$B$43)))/(Quesería!$B$42-Quesería!$B$43)))</f>
        <v>0</v>
      </c>
    </row>
    <row r="506" customFormat="false" ht="15" hidden="false" customHeight="false" outlineLevel="0" collapsed="false">
      <c r="A506" s="6" t="s">
        <v>307</v>
      </c>
      <c r="B506" s="35" t="n">
        <f aca="false">Quesería!$B$40*B480</f>
        <v>435.57053702568</v>
      </c>
      <c r="C506" s="35" t="n">
        <f aca="false">Quesería!$B$40*C480</f>
        <v>451.689062005035</v>
      </c>
      <c r="D506" s="35" t="n">
        <f aca="false">Quesería!$B$40*D480</f>
        <v>0</v>
      </c>
      <c r="E506" s="35" t="n">
        <f aca="false">Quesería!$B$40*E480</f>
        <v>0</v>
      </c>
      <c r="F506" s="35" t="n">
        <f aca="false">Quesería!$B$40*F480</f>
        <v>0</v>
      </c>
      <c r="G506" s="35" t="n">
        <f aca="false">Quesería!$B$40*G480</f>
        <v>0</v>
      </c>
      <c r="H506" s="35" t="n">
        <f aca="false">Quesería!$B$40*H480</f>
        <v>0</v>
      </c>
      <c r="I506" s="35" t="n">
        <f aca="false">Quesería!$B$40*I480</f>
        <v>0</v>
      </c>
      <c r="J506" s="35" t="n">
        <f aca="false">Quesería!$B$40*J480</f>
        <v>0</v>
      </c>
      <c r="K506" s="35" t="n">
        <f aca="false">Quesería!$B$40*K480</f>
        <v>0</v>
      </c>
      <c r="L506" s="35" t="n">
        <f aca="false">Quesería!$B$40*L480</f>
        <v>0</v>
      </c>
    </row>
    <row r="507" customFormat="false" ht="15" hidden="false" customHeight="false" outlineLevel="0" collapsed="false">
      <c r="A507" s="6" t="s">
        <v>308</v>
      </c>
      <c r="B507" s="35" t="n">
        <f aca="false">(IF(AND(B$43&gt;0,B$43&lt;=0+Quesería!$B$42),($L$14+$L$24)*((Quesería!$B$40*$B$480*$B$477)-(Quesería!$B$40*$B$480*$B$477)/(Quesería!$B$42-Quesería!$B$43)*MAX(0,MIN(B$43-1-0-Quesería!$B$43,(Quesería!$B$42-Quesería!$B$43)))),0)+IF(AND(B$43&gt;1,B$43&lt;=1+Quesería!$B$42),($L$14+$L$24)*((Quesería!$B$40*$C$480*$C$477)-(Quesería!$B$40*$C$480*$C$477)/(Quesería!$B$42-Quesería!$B$43)*MAX(0,MIN(B$43-1-1-Quesería!$B$43,(Quesería!$B$42-Quesería!$B$43)))),0))*B479</f>
        <v>0</v>
      </c>
      <c r="C507" s="35" t="n">
        <f aca="false">(IF(AND(C$43&gt;0,C$43&lt;=0+Quesería!$B$42),($L$14+$L$24)*((Quesería!$B$40*$B$480*$B$477)-(Quesería!$B$40*$B$480*$B$477)/(Quesería!$B$42-Quesería!$B$43)*MAX(0,MIN(C$43-1-0-Quesería!$B$43,(Quesería!$B$42-Quesería!$B$43)))),0)+IF(AND(C$43&gt;1,C$43&lt;=1+Quesería!$B$42),($L$14+$L$24)*((Quesería!$B$40*$C$480*$C$477)-(Quesería!$B$40*$C$480*$C$477)/(Quesería!$B$42-Quesería!$B$43)*MAX(0,MIN(C$43-1-1-Quesería!$B$43,(Quesería!$B$42-Quesería!$B$43)))),0))*C479</f>
        <v>58.4909006863056</v>
      </c>
      <c r="D507" s="35" t="n">
        <f aca="false">(IF(AND(D$43&gt;0,D$43&lt;=0+Quesería!$B$42),($L$14+$L$24)*((Quesería!$B$40*$B$480*$B$477)-(Quesería!$B$40*$B$480*$B$477)/(Quesería!$B$42-Quesería!$B$43)*MAX(0,MIN(D$43-1-0-Quesería!$B$43,(Quesería!$B$42-Quesería!$B$43)))),0)+IF(AND(D$43&gt;1,D$43&lt;=1+Quesería!$B$42),($L$14+$L$24)*((Quesería!$B$40*$C$480*$C$477)-(Quesería!$B$40*$C$480*$C$477)/(Quesería!$B$42-Quesería!$B$43)*MAX(0,MIN(D$43-1-1-Quesería!$B$43,(Quesería!$B$42-Quesería!$B$43)))),0))*D479</f>
        <v>116.917759262216</v>
      </c>
      <c r="E507" s="35" t="n">
        <f aca="false">(IF(AND(E$43&gt;0,E$43&lt;=0+Quesería!$B$42),($L$14+$L$24)*((Quesería!$B$40*$B$480*$B$477)-(Quesería!$B$40*$B$480*$B$477)/(Quesería!$B$42-Quesería!$B$43)*MAX(0,MIN(E$43-1-0-Quesería!$B$43,(Quesería!$B$42-Quesería!$B$43)))),0)+IF(AND(E$43&gt;1,E$43&lt;=1+Quesería!$B$42),($L$14+$L$24)*((Quesería!$B$40*$C$480*$C$477)-(Quesería!$B$40*$C$480*$C$477)/(Quesería!$B$42-Quesería!$B$43)*MAX(0,MIN(E$43-1-1-Quesería!$B$43,(Quesería!$B$42-Quesería!$B$43)))),0))*E479</f>
        <v>103.451025930528</v>
      </c>
      <c r="F507" s="35" t="n">
        <f aca="false">(IF(AND(F$43&gt;0,F$43&lt;=0+Quesería!$B$42),($L$14+$L$24)*((Quesería!$B$40*$B$480*$B$477)-(Quesería!$B$40*$B$480*$B$477)/(Quesería!$B$42-Quesería!$B$43)*MAX(0,MIN(F$43-1-0-Quesería!$B$43,(Quesería!$B$42-Quesería!$B$43)))),0)+IF(AND(F$43&gt;1,F$43&lt;=1+Quesería!$B$42),($L$14+$L$24)*((Quesería!$B$40*$C$480*$C$477)-(Quesería!$B$40*$C$480*$C$477)/(Quesería!$B$42-Quesería!$B$43)*MAX(0,MIN(F$43-1-1-Quesería!$B$43,(Quesería!$B$42-Quesería!$B$43)))),0))*F479</f>
        <v>81.455966861483</v>
      </c>
      <c r="G507" s="35" t="n">
        <f aca="false">(IF(AND(G$43&gt;0,G$43&lt;=0+Quesería!$B$42),($L$14+$L$24)*((Quesería!$B$40*$B$480*$B$477)-(Quesería!$B$40*$B$480*$B$477)/(Quesería!$B$42-Quesería!$B$43)*MAX(0,MIN(G$43-1-0-Quesería!$B$43,(Quesería!$B$42-Quesería!$B$43)))),0)+IF(AND(G$43&gt;1,G$43&lt;=1+Quesería!$B$42),($L$14+$L$24)*((Quesería!$B$40*$C$480*$C$477)-(Quesería!$B$40*$C$480*$C$477)/(Quesería!$B$42-Quesería!$B$43)*MAX(0,MIN(G$43-1-1-Quesería!$B$43,(Quesería!$B$42-Quesería!$B$43)))),0))*G479</f>
        <v>60.9998013511061</v>
      </c>
      <c r="H507" s="35" t="n">
        <f aca="false">(IF(AND(H$43&gt;0,H$43&lt;=0+Quesería!$B$42),($L$14+$L$24)*((Quesería!$B$40*$B$480*$B$477)-(Quesería!$B$40*$B$480*$B$477)/(Quesería!$B$42-Quesería!$B$43)*MAX(0,MIN(H$43-1-0-Quesería!$B$43,(Quesería!$B$42-Quesería!$B$43)))),0)+IF(AND(H$43&gt;1,H$43&lt;=1+Quesería!$B$42),($L$14+$L$24)*((Quesería!$B$40*$C$480*$C$477)-(Quesería!$B$40*$C$480*$C$477)/(Quesería!$B$42-Quesería!$B$43)*MAX(0,MIN(H$43-1-1-Quesería!$B$43,(Quesería!$B$42-Quesería!$B$43)))),0))*H479</f>
        <v>41.9966900414366</v>
      </c>
      <c r="I507" s="35" t="n">
        <f aca="false">(IF(AND(I$43&gt;0,I$43&lt;=0+Quesería!$B$42),($L$14+$L$24)*((Quesería!$B$40*$B$480*$B$477)-(Quesería!$B$40*$B$480*$B$477)/(Quesería!$B$42-Quesería!$B$43)*MAX(0,MIN(I$43-1-0-Quesería!$B$43,(Quesería!$B$42-Quesería!$B$43)))),0)+IF(AND(I$43&gt;1,I$43&lt;=1+Quesería!$B$42),($L$14+$L$24)*((Quesería!$B$40*$C$480*$C$477)-(Quesería!$B$40*$C$480*$C$477)/(Quesería!$B$42-Quesería!$B$43)*MAX(0,MIN(I$43-1-1-Quesería!$B$43,(Quesería!$B$42-Quesería!$B$43)))),0))*I479</f>
        <v>24.3651201322873</v>
      </c>
      <c r="J507" s="35" t="n">
        <f aca="false">(IF(AND(J$43&gt;0,J$43&lt;=0+Quesería!$B$42),($L$14+$L$24)*((Quesería!$B$40*$B$480*$B$477)-(Quesería!$B$40*$B$480*$B$477)/(Quesería!$B$42-Quesería!$B$43)*MAX(0,MIN(J$43-1-0-Quesería!$B$43,(Quesería!$B$42-Quesería!$B$43)))),0)+IF(AND(J$43&gt;1,J$43&lt;=1+Quesería!$B$42),($L$14+$L$24)*((Quesería!$B$40*$C$480*$C$477)-(Quesería!$B$40*$C$480*$C$477)/(Quesería!$B$42-Quesería!$B$43)*MAX(0,MIN(J$43-1-1-Quesería!$B$43,(Quesería!$B$42-Quesería!$B$43)))),0))*J479</f>
        <v>8.02769955040774</v>
      </c>
      <c r="K507" s="35" t="n">
        <f aca="false">(IF(AND(K$43&gt;0,K$43&lt;=0+Quesería!$B$42),($L$14+$L$24)*((Quesería!$B$40*$B$480*$B$477)-(Quesería!$B$40*$B$480*$B$477)/(Quesería!$B$42-Quesería!$B$43)*MAX(0,MIN(K$43-1-0-Quesería!$B$43,(Quesería!$B$42-Quesería!$B$43)))),0)+IF(AND(K$43&gt;1,K$43&lt;=1+Quesería!$B$42),($L$14+$L$24)*((Quesería!$B$40*$C$480*$C$477)-(Quesería!$B$40*$C$480*$C$477)/(Quesería!$B$42-Quesería!$B$43)*MAX(0,MIN(K$43-1-1-Quesería!$B$43,(Quesería!$B$42-Quesería!$B$43)))),0))*K479</f>
        <v>0</v>
      </c>
      <c r="L507" s="35" t="n">
        <f aca="false">(IF(AND(L$43&gt;0,L$43&lt;=0+Quesería!$B$42),($L$14+$L$24)*((Quesería!$B$40*$B$480*$B$477)-(Quesería!$B$40*$B$480*$B$477)/(Quesería!$B$42-Quesería!$B$43)*MAX(0,MIN(L$43-1-0-Quesería!$B$43,(Quesería!$B$42-Quesería!$B$43)))),0)+IF(AND(L$43&gt;1,L$43&lt;=1+Quesería!$B$42),($L$14+$L$24)*((Quesería!$B$40*$C$480*$C$477)-(Quesería!$B$40*$C$480*$C$477)/(Quesería!$B$42-Quesería!$B$43)*MAX(0,MIN(L$43-1-1-Quesería!$B$43,(Quesería!$B$42-Quesería!$B$43)))),0))*L479</f>
        <v>0</v>
      </c>
    </row>
    <row r="508" customFormat="false" ht="15" hidden="false" customHeight="false" outlineLevel="0" collapsed="false">
      <c r="A508" s="6" t="s">
        <v>309</v>
      </c>
      <c r="B508" s="35" t="n">
        <f aca="false">(IF(AND(B$43&gt;0+Quesería!$B$43,B$43&lt;=0+Quesería!$B$42),(Quesería!$B$40*$B$480*$B$477)/(Quesería!$B$42-Quesería!$B$43),0)+IF(AND(B$43&gt;1+Quesería!$B$43,B$43&lt;=1+Quesería!$B$42),(Quesería!$B$40*$C$480*$C$477)/(Quesería!$B$42-Quesería!$B$43),0))*B479</f>
        <v>0</v>
      </c>
      <c r="C508" s="35" t="n">
        <f aca="false">(IF(AND(C$43&gt;0+Quesería!$B$43,C$43&lt;=0+Quesería!$B$42),(Quesería!$B$40*$B$480*$B$477)/(Quesería!$B$42-Quesería!$B$43),0)+IF(AND(C$43&gt;1+Quesería!$B$43,C$43&lt;=1+Quesería!$B$42),(Quesería!$B$40*$C$480*$C$477)/(Quesería!$B$42-Quesería!$B$43),0))*C479</f>
        <v>0</v>
      </c>
      <c r="D508" s="35" t="n">
        <f aca="false">(IF(AND(D$43&gt;0+Quesería!$B$43,D$43&lt;=0+Quesería!$B$42),(Quesería!$B$40*$B$480*$B$477)/(Quesería!$B$42-Quesería!$B$43),0)+IF(AND(D$43&gt;1+Quesería!$B$43,D$43&lt;=1+Quesería!$B$42),(Quesería!$B$40*$C$480*$C$477)/(Quesería!$B$42-Quesería!$B$43),0))*D479</f>
        <v>66.1609382586284</v>
      </c>
      <c r="E508" s="35" t="n">
        <f aca="false">(IF(AND(E$43&gt;0+Quesería!$B$43,E$43&lt;=0+Quesería!$B$42),(Quesería!$B$40*$B$480*$B$477)/(Quesería!$B$42-Quesería!$B$43),0)+IF(AND(E$43&gt;1+Quesería!$B$43,E$43&lt;=1+Quesería!$B$42),(Quesería!$B$40*$C$480*$C$477)/(Quesería!$B$42-Quesería!$B$43),0))*E479</f>
        <v>132.885251025432</v>
      </c>
      <c r="F508" s="35" t="n">
        <f aca="false">(IF(AND(F$43&gt;0+Quesería!$B$43,F$43&lt;=0+Quesería!$B$42),(Quesería!$B$40*$B$480*$B$477)/(Quesería!$B$42-Quesería!$B$43),0)+IF(AND(F$43&gt;1+Quesería!$B$43,F$43&lt;=1+Quesería!$B$42),(Quesería!$B$40*$C$480*$C$477)/(Quesería!$B$42-Quesería!$B$43),0))*F479</f>
        <v>127.774279832146</v>
      </c>
      <c r="G508" s="35" t="n">
        <f aca="false">(IF(AND(G$43&gt;0+Quesería!$B$43,G$43&lt;=0+Quesería!$B$42),(Quesería!$B$40*$B$480*$B$477)/(Quesería!$B$42-Quesería!$B$43),0)+IF(AND(G$43&gt;1+Quesería!$B$43,G$43&lt;=1+Quesería!$B$42),(Quesería!$B$40*$C$480*$C$477)/(Quesería!$B$42-Quesería!$B$43),0))*G479</f>
        <v>122.859884453986</v>
      </c>
      <c r="H508" s="35" t="n">
        <f aca="false">(IF(AND(H$43&gt;0+Quesería!$B$43,H$43&lt;=0+Quesería!$B$42),(Quesería!$B$40*$B$480*$B$477)/(Quesería!$B$42-Quesería!$B$43),0)+IF(AND(H$43&gt;1+Quesería!$B$43,H$43&lt;=1+Quesería!$B$42),(Quesería!$B$40*$C$480*$C$477)/(Quesería!$B$42-Quesería!$B$43),0))*H479</f>
        <v>118.134504282679</v>
      </c>
      <c r="I508" s="35" t="n">
        <f aca="false">(IF(AND(I$43&gt;0+Quesería!$B$43,I$43&lt;=0+Quesería!$B$42),(Quesería!$B$40*$B$480*$B$477)/(Quesería!$B$42-Quesería!$B$43),0)+IF(AND(I$43&gt;1+Quesería!$B$43,I$43&lt;=1+Quesería!$B$42),(Quesería!$B$40*$C$480*$C$477)/(Quesería!$B$42-Quesería!$B$43),0))*I479</f>
        <v>113.590869502576</v>
      </c>
      <c r="J508" s="35" t="n">
        <f aca="false">(IF(AND(J$43&gt;0+Quesería!$B$43,J$43&lt;=0+Quesería!$B$42),(Quesería!$B$40*$B$480*$B$477)/(Quesería!$B$42-Quesería!$B$43),0)+IF(AND(J$43&gt;1+Quesería!$B$43,J$43&lt;=1+Quesería!$B$42),(Quesería!$B$40*$C$480*$C$477)/(Quesería!$B$42-Quesería!$B$43),0))*J479</f>
        <v>56.9340393645939</v>
      </c>
      <c r="K508" s="35" t="n">
        <f aca="false">(IF(AND(K$43&gt;0+Quesería!$B$43,K$43&lt;=0+Quesería!$B$42),(Quesería!$B$40*$B$480*$B$477)/(Quesería!$B$42-Quesería!$B$43),0)+IF(AND(K$43&gt;1+Quesería!$B$43,K$43&lt;=1+Quesería!$B$42),(Quesería!$B$40*$C$480*$C$477)/(Quesería!$B$42-Quesería!$B$43),0))*K479</f>
        <v>0</v>
      </c>
      <c r="L508" s="35" t="n">
        <f aca="false">(IF(AND(L$43&gt;0+Quesería!$B$43,L$43&lt;=0+Quesería!$B$42),(Quesería!$B$40*$B$480*$B$477)/(Quesería!$B$42-Quesería!$B$43),0)+IF(AND(L$43&gt;1+Quesería!$B$43,L$43&lt;=1+Quesería!$B$42),(Quesería!$B$40*$C$480*$C$477)/(Quesería!$B$42-Quesería!$B$43),0))*L479</f>
        <v>0</v>
      </c>
    </row>
    <row r="509" customFormat="false" ht="15" hidden="false" customHeight="false" outlineLevel="0" collapsed="false">
      <c r="A509" s="6" t="s">
        <v>310</v>
      </c>
      <c r="B509" s="35" t="n">
        <f aca="false">$L$13*Quesería!$B$44*(1+0.19)*B505*B479+(1-$L$13)*IF(B$43=0,Quesería!$B$53,0)</f>
        <v>4</v>
      </c>
      <c r="C509" s="35" t="n">
        <f aca="false">$L$13*Quesería!$B$44*(1+0.19)*C505*C479+(1-$L$13)*IF(C$43=0,Quesería!$B$53,0)</f>
        <v>0</v>
      </c>
      <c r="D509" s="35" t="n">
        <f aca="false">$L$13*Quesería!$B$44*(1+0.19)*D505*D479+(1-$L$13)*IF(D$43=0,Quesería!$B$53,0)</f>
        <v>0</v>
      </c>
      <c r="E509" s="35" t="n">
        <f aca="false">$L$13*Quesería!$B$44*(1+0.19)*E505*E479+(1-$L$13)*IF(E$43=0,Quesería!$B$53,0)</f>
        <v>0</v>
      </c>
      <c r="F509" s="35" t="n">
        <f aca="false">$L$13*Quesería!$B$44*(1+0.19)*F505*F479+(1-$L$13)*IF(F$43=0,Quesería!$B$53,0)</f>
        <v>0</v>
      </c>
      <c r="G509" s="35" t="n">
        <f aca="false">$L$13*Quesería!$B$44*(1+0.19)*G505*G479+(1-$L$13)*IF(G$43=0,Quesería!$B$53,0)</f>
        <v>0</v>
      </c>
      <c r="H509" s="35" t="n">
        <f aca="false">$L$13*Quesería!$B$44*(1+0.19)*H505*H479+(1-$L$13)*IF(H$43=0,Quesería!$B$53,0)</f>
        <v>0</v>
      </c>
      <c r="I509" s="35" t="n">
        <f aca="false">$L$13*Quesería!$B$44*(1+0.19)*I505*I479+(1-$L$13)*IF(I$43=0,Quesería!$B$53,0)</f>
        <v>0</v>
      </c>
      <c r="J509" s="35" t="n">
        <f aca="false">$L$13*Quesería!$B$44*(1+0.19)*J505*J479+(1-$L$13)*IF(J$43=0,Quesería!$B$53,0)</f>
        <v>0</v>
      </c>
      <c r="K509" s="35" t="n">
        <f aca="false">$L$13*Quesería!$B$44*(1+0.19)*K505*K479+(1-$L$13)*IF(K$43=0,Quesería!$B$53,0)</f>
        <v>0</v>
      </c>
      <c r="L509" s="35" t="n">
        <f aca="false">$L$13*Quesería!$B$44*(1+0.19)*L505*L479+(1-$L$13)*IF(L$43=0,Quesería!$B$53,0)</f>
        <v>0</v>
      </c>
    </row>
    <row r="510" customFormat="false" ht="15" hidden="false" customHeight="false" outlineLevel="0" collapsed="false">
      <c r="A510" s="6" t="s">
        <v>311</v>
      </c>
      <c r="B510" s="35" t="n">
        <f aca="false">Quesería!$B$45*(B507+B508+B509)</f>
        <v>0.016</v>
      </c>
      <c r="C510" s="35" t="n">
        <f aca="false">Quesería!$B$45*(C507+C508+C509)</f>
        <v>0.233963602745223</v>
      </c>
      <c r="D510" s="35" t="n">
        <f aca="false">Quesería!$B$45*(D507+D508+D509)</f>
        <v>0.732314790083377</v>
      </c>
      <c r="E510" s="35" t="n">
        <f aca="false">Quesería!$B$45*(E507+E508+E509)</f>
        <v>0.94534510782384</v>
      </c>
      <c r="F510" s="35" t="n">
        <f aca="false">Quesería!$B$45*(F507+F508+F509)</f>
        <v>0.836920986774515</v>
      </c>
      <c r="G510" s="35" t="n">
        <f aca="false">Quesería!$B$45*(G507+G508+G509)</f>
        <v>0.73543874322037</v>
      </c>
      <c r="H510" s="35" t="n">
        <f aca="false">Quesería!$B$45*(H507+H508+H509)</f>
        <v>0.640524777296463</v>
      </c>
      <c r="I510" s="35" t="n">
        <f aca="false">Quesería!$B$45*(I507+I508+I509)</f>
        <v>0.551823958539454</v>
      </c>
      <c r="J510" s="35" t="n">
        <f aca="false">Quesería!$B$45*(J507+J508+J509)</f>
        <v>0.259846955660007</v>
      </c>
      <c r="K510" s="35" t="n">
        <f aca="false">Quesería!$B$45*(K507+K508+K509)</f>
        <v>0</v>
      </c>
      <c r="L510" s="35" t="n">
        <f aca="false">Quesería!$B$45*(L507+L508+L509)</f>
        <v>0</v>
      </c>
    </row>
    <row r="511" customFormat="false" ht="15" hidden="false" customHeight="false" outlineLevel="0" collapsed="false">
      <c r="A511" s="6" t="s">
        <v>312</v>
      </c>
      <c r="B511" s="35" t="n">
        <f aca="false">$L$17*(B507+B509+0.5*B510)</f>
        <v>1.4028</v>
      </c>
      <c r="C511" s="35" t="n">
        <f aca="false">$L$17*(C507+C509+0.5*C510)</f>
        <v>20.5127588706874</v>
      </c>
      <c r="D511" s="35" t="n">
        <f aca="false">$L$17*(D507+D509+0.5*D510)</f>
        <v>41.0493708300401</v>
      </c>
      <c r="E511" s="35" t="n">
        <f aca="false">$L$17*(E507+E509+0.5*E510)</f>
        <v>36.373294469554</v>
      </c>
      <c r="F511" s="35" t="n">
        <f aca="false">$L$17*(F507+F509+0.5*F510)</f>
        <v>28.6560495742046</v>
      </c>
      <c r="G511" s="35" t="n">
        <f aca="false">$L$17*(G507+G509+0.5*G510)</f>
        <v>21.4786322529507</v>
      </c>
      <c r="H511" s="35" t="n">
        <f aca="false">$L$17*(H507+H509+0.5*H510)</f>
        <v>14.8109333505297</v>
      </c>
      <c r="I511" s="35" t="n">
        <f aca="false">$L$17*(I507+I509+0.5*I510)</f>
        <v>8.62436123904496</v>
      </c>
      <c r="J511" s="35" t="n">
        <f aca="false">$L$17*(J507+J509+0.5*J510)</f>
        <v>2.85516805988321</v>
      </c>
      <c r="K511" s="35" t="n">
        <f aca="false">$L$17*(K507+K509+0.5*K510)</f>
        <v>0</v>
      </c>
      <c r="L511" s="35" t="n">
        <f aca="false">$L$17*(L507+L509+0.5*L510)</f>
        <v>0</v>
      </c>
    </row>
    <row r="512" customFormat="false" ht="15" hidden="false" customHeight="false" outlineLevel="0" collapsed="false">
      <c r="A512" s="5" t="s">
        <v>313</v>
      </c>
      <c r="B512" s="37" t="n">
        <f aca="false">B497+B506-B507-B508-B509-B510+B511</f>
        <v>-229.083708047218</v>
      </c>
      <c r="C512" s="37" t="n">
        <f aca="false">C497+C506-C507-C508-C509-C510+C511</f>
        <v>1.16270891759558</v>
      </c>
      <c r="D512" s="37" t="n">
        <f aca="false">D497+D506-D507-D508-D509-D510+D511</f>
        <v>213.935918768016</v>
      </c>
      <c r="E512" s="37" t="n">
        <f aca="false">E497+E506-E507-E508-E509-E510+E511</f>
        <v>65.8932059980756</v>
      </c>
      <c r="F512" s="37" t="n">
        <f aca="false">F497+F506-F507-F508-F509-F510+F511</f>
        <v>86.6691581573119</v>
      </c>
      <c r="G512" s="37" t="n">
        <f aca="false">G497+G506-G507-G508-G509-G510+G511</f>
        <v>72.0013175769664</v>
      </c>
      <c r="H512" s="37" t="n">
        <f aca="false">H497+H506-H507-H508-H509-H510+H511</f>
        <v>80.262746824241</v>
      </c>
      <c r="I512" s="37" t="n">
        <f aca="false">I497+I506-I507-I508-I509-I510+I511</f>
        <v>141.525374415691</v>
      </c>
      <c r="J512" s="37" t="n">
        <f aca="false">J497+J506-J507-J508-J509-J510+J511</f>
        <v>201.630654171243</v>
      </c>
      <c r="K512" s="37" t="n">
        <f aca="false">K497+K506-K507-K508-K509-K510+K511</f>
        <v>263.086484110233</v>
      </c>
      <c r="L512" s="37" t="n">
        <f aca="false">L497+L506-L507-L508-L509-L510+L511</f>
        <v>334.808000326653</v>
      </c>
    </row>
    <row r="513" customFormat="false" ht="15" hidden="false" customHeight="false" outlineLevel="0" collapsed="false">
      <c r="A513" s="9" t="s">
        <v>314</v>
      </c>
      <c r="B513" s="36" t="n">
        <f aca="false">B512*B477</f>
        <v>-242.828730530051</v>
      </c>
      <c r="C513" s="36" t="n">
        <f aca="false">C512*C477</f>
        <v>1.29409502528388</v>
      </c>
      <c r="D513" s="36" t="n">
        <f aca="false">D512*D477</f>
        <v>248.825658080298</v>
      </c>
      <c r="E513" s="36" t="n">
        <f aca="false">E512*E477</f>
        <v>79.7049754782027</v>
      </c>
      <c r="F513" s="36" t="n">
        <f aca="false">F512*F477</f>
        <v>109.029171397134</v>
      </c>
      <c r="G513" s="36" t="n">
        <f aca="false">G512*G477</f>
        <v>94.200219874023</v>
      </c>
      <c r="H513" s="36" t="n">
        <f aca="false">H512*H477</f>
        <v>109.209100598369</v>
      </c>
      <c r="I513" s="36" t="n">
        <f aca="false">I512*I477</f>
        <v>200.268416443002</v>
      </c>
      <c r="J513" s="36" t="n">
        <f aca="false">J512*J477</f>
        <v>296.734504772136</v>
      </c>
      <c r="K513" s="36" t="n">
        <f aca="false">K512*K477</f>
        <v>402.664522472493</v>
      </c>
      <c r="L513" s="36" t="n">
        <f aca="false">L512*L477</f>
        <v>532.934697077084</v>
      </c>
    </row>
    <row r="514" customFormat="false" ht="15" hidden="false" customHeight="false" outlineLevel="0" collapsed="false">
      <c r="A514" s="9" t="s">
        <v>315</v>
      </c>
      <c r="B514" s="34" t="n">
        <f aca="false">(B477/$B$477)/(1+Quesería!$B$46+$L$24)^B$43</f>
        <v>1</v>
      </c>
      <c r="C514" s="34" t="n">
        <f aca="false">(C477/$B$477)/(1+Quesería!$B$46+$L$24)^C$43</f>
        <v>0.84</v>
      </c>
      <c r="D514" s="34" t="n">
        <f aca="false">(D477/$B$477)/(1+Quesería!$B$46+$L$24)^D$43</f>
        <v>0.70224</v>
      </c>
      <c r="E514" s="34" t="n">
        <f aca="false">(E477/$B$477)/(1+Quesería!$B$46+$L$24)^E$43</f>
        <v>0.58426368</v>
      </c>
      <c r="F514" s="34" t="n">
        <f aca="false">(F477/$B$477)/(1+Quesería!$B$46+$L$24)^F$43</f>
        <v>0.48610738176</v>
      </c>
      <c r="G514" s="34" t="n">
        <f aca="false">(G477/$B$477)/(1+Quesería!$B$46+$L$24)^G$43</f>
        <v>0.40444134162432</v>
      </c>
      <c r="H514" s="34" t="n">
        <f aca="false">(H477/$B$477)/(1+Quesería!$B$46+$L$24)^H$43</f>
        <v>0.336495196231434</v>
      </c>
      <c r="I514" s="34" t="n">
        <f aca="false">(I477/$B$477)/(1+Quesería!$B$46+$L$24)^I$43</f>
        <v>0.279964003264553</v>
      </c>
      <c r="J514" s="34" t="n">
        <f aca="false">(J477/$B$477)/(1+Quesería!$B$46+$L$24)^J$43</f>
        <v>0.232930050716108</v>
      </c>
      <c r="K514" s="34" t="n">
        <f aca="false">(K477/$B$477)/(1+Quesería!$B$46+$L$24)^K$43</f>
        <v>0.193797802195802</v>
      </c>
      <c r="L514" s="34" t="n">
        <f aca="false">(L477/$B$477)/(1+Quesería!$B$46+$L$24)^L$43</f>
        <v>0.161239771426907</v>
      </c>
    </row>
    <row r="515" customFormat="false" ht="15" hidden="false" customHeight="false" outlineLevel="0" collapsed="false">
      <c r="A515" s="9" t="s">
        <v>316</v>
      </c>
      <c r="B515" s="36" t="n">
        <f aca="false">B497+B480+B482+B511</f>
        <v>60.9532547375949</v>
      </c>
      <c r="C515" s="36" t="n">
        <f aca="false">C497+C480+C482+C511</f>
        <v>376.069916610171</v>
      </c>
      <c r="D515" s="36" t="n">
        <f aca="false">D497+D480+D482+D511</f>
        <v>397.746931078944</v>
      </c>
      <c r="E515" s="36" t="n">
        <f aca="false">E497+E480+E482+E511</f>
        <v>303.174828061859</v>
      </c>
      <c r="F515" s="36" t="n">
        <f aca="false">F497+F480+F482+F511</f>
        <v>296.736325837715</v>
      </c>
      <c r="G515" s="36" t="n">
        <f aca="false">G497+G480+G482+G511</f>
        <v>261.663108791946</v>
      </c>
      <c r="H515" s="36" t="n">
        <f aca="false">H497+H480+H482+H511</f>
        <v>247.74233100642</v>
      </c>
      <c r="I515" s="36" t="n">
        <f aca="false">I497+I480+I482+I511</f>
        <v>280.033188009094</v>
      </c>
      <c r="J515" s="36" t="n">
        <f aca="false">J497+J480+J482+J511</f>
        <v>266.852240041905</v>
      </c>
      <c r="K515" s="36" t="n">
        <f aca="false">K497+K480+K482+K511</f>
        <v>263.086484110233</v>
      </c>
      <c r="L515" s="36" t="n">
        <f aca="false">L497+L480+L482+L511</f>
        <v>334.808000326653</v>
      </c>
    </row>
    <row r="516" customFormat="false" ht="15" hidden="false" customHeight="false" outlineLevel="0" collapsed="false">
      <c r="A516" s="5" t="s">
        <v>317</v>
      </c>
      <c r="B516" s="12" t="str">
        <f aca="false">IF(AND(B$43&gt;=1,(B507+B508+B509)&gt;0.001),B515/(B507+B508+B509),"")</f>
        <v/>
      </c>
      <c r="C516" s="12" t="n">
        <f aca="false">IF(AND(C$43&gt;=1,(C507+C508+C509)&gt;0.001),C515/(C507+C508+C509),"")</f>
        <v>6.4295456591972</v>
      </c>
      <c r="D516" s="12" t="n">
        <f aca="false">IF(AND(D$43&gt;=1,(D507+D508+D509)&gt;0.001),D515/(D507+D508+D509),"")</f>
        <v>2.17254621354109</v>
      </c>
      <c r="E516" s="12" t="n">
        <f aca="false">IF(AND(E$43&gt;=1,(E507+E508+E509)&gt;0.001),E515/(E507+E508+E509),"")</f>
        <v>1.28281122122591</v>
      </c>
      <c r="F516" s="12" t="n">
        <f aca="false">IF(AND(F$43&gt;=1,(F507+F508+F509)&gt;0.001),F515/(F507+F508+F509),"")</f>
        <v>1.41822862863714</v>
      </c>
      <c r="G516" s="12" t="n">
        <f aca="false">IF(AND(G$43&gt;=1,(G507+G508+G509)&gt;0.001),G515/(G507+G508+G509),"")</f>
        <v>1.42316738792501</v>
      </c>
      <c r="H516" s="12" t="n">
        <f aca="false">IF(AND(H$43&gt;=1,(H507+H508+H509)&gt;0.001),H515/(H507+H508+H509),"")</f>
        <v>1.54712098446586</v>
      </c>
      <c r="I516" s="12" t="n">
        <f aca="false">IF(AND(I$43&gt;=1,(I507+I508+I509)&gt;0.001),I515/(I507+I508+I509),"")</f>
        <v>2.02987335852742</v>
      </c>
      <c r="J516" s="12" t="n">
        <f aca="false">IF(AND(J$43&gt;=1,(J507+J508+J509)&gt;0.001),J515/(J507+J508+J509),"")</f>
        <v>4.10783708224104</v>
      </c>
      <c r="K516" s="12" t="str">
        <f aca="false">IF(AND(K$43&gt;=1,(K507+K508+K509)&gt;0.001),K515/(K507+K508+K509),"")</f>
        <v/>
      </c>
      <c r="L516" s="12" t="str">
        <f aca="false">IF(AND(L$43&gt;=1,(L507+L508+L509)&gt;0.001),L515/(L507+L508+L509),"")</f>
        <v/>
      </c>
    </row>
    <row r="518" customFormat="false" ht="15" hidden="false" customHeight="false" outlineLevel="0" collapsed="false">
      <c r="A518" s="66" t="s">
        <v>637</v>
      </c>
      <c r="B518" s="67"/>
      <c r="C518" s="67"/>
      <c r="D518" s="67"/>
      <c r="E518" s="67"/>
      <c r="F518" s="67"/>
      <c r="G518" s="67"/>
      <c r="H518" s="67"/>
      <c r="I518" s="67"/>
      <c r="J518" s="67"/>
      <c r="K518" s="67"/>
      <c r="L518" s="67"/>
    </row>
    <row r="519" customFormat="false" ht="15" hidden="false" customHeight="false" outlineLevel="0" collapsed="false">
      <c r="A519" s="9" t="s">
        <v>281</v>
      </c>
      <c r="B519" s="33" t="n">
        <f aca="false">CHOOSE($M$15,Entorno!B$7,Entorno!B$8,Entorno!B$9)</f>
        <v>0.059</v>
      </c>
      <c r="C519" s="33" t="n">
        <f aca="false">CHOOSE($M$15,Entorno!C$7,Entorno!C$8,Entorno!C$9)</f>
        <v>0.045</v>
      </c>
      <c r="D519" s="33" t="n">
        <f aca="false">CHOOSE($M$15,Entorno!D$7,Entorno!D$8,Entorno!D$9)</f>
        <v>0.037</v>
      </c>
      <c r="E519" s="33" t="n">
        <f aca="false">CHOOSE($M$15,Entorno!E$7,Entorno!E$8,Entorno!E$9)</f>
        <v>0.034</v>
      </c>
      <c r="F519" s="33" t="n">
        <f aca="false">CHOOSE($M$15,Entorno!F$7,Entorno!F$8,Entorno!F$9)</f>
        <v>0.034</v>
      </c>
      <c r="G519" s="33" t="n">
        <f aca="false">CHOOSE($M$15,Entorno!G$7,Entorno!G$8,Entorno!G$9)</f>
        <v>0.034</v>
      </c>
      <c r="H519" s="33" t="n">
        <f aca="false">CHOOSE($M$15,Entorno!H$7,Entorno!H$8,Entorno!H$9)</f>
        <v>0.034</v>
      </c>
      <c r="I519" s="33" t="n">
        <f aca="false">CHOOSE($M$15,Entorno!I$7,Entorno!I$8,Entorno!I$9)</f>
        <v>0.034</v>
      </c>
      <c r="J519" s="33" t="n">
        <f aca="false">CHOOSE($M$15,Entorno!J$7,Entorno!J$8,Entorno!J$9)</f>
        <v>0.034</v>
      </c>
      <c r="K519" s="33" t="n">
        <f aca="false">CHOOSE($M$15,Entorno!K$7,Entorno!K$8,Entorno!K$9)</f>
        <v>0.034</v>
      </c>
      <c r="L519" s="33" t="n">
        <f aca="false">CHOOSE($M$15,Entorno!L$7,Entorno!L$8,Entorno!L$9)</f>
        <v>0.034</v>
      </c>
    </row>
    <row r="520" customFormat="false" ht="15" hidden="false" customHeight="false" outlineLevel="0" collapsed="false">
      <c r="A520" s="9" t="s">
        <v>282</v>
      </c>
      <c r="B520" s="34" t="n">
        <f aca="false">1+B519</f>
        <v>1.059</v>
      </c>
      <c r="C520" s="34" t="n">
        <f aca="false">B520*(1+C519)</f>
        <v>1.106655</v>
      </c>
      <c r="D520" s="34" t="n">
        <f aca="false">C520*(1+D519)</f>
        <v>1.147601235</v>
      </c>
      <c r="E520" s="34" t="n">
        <f aca="false">D520*(1+E519)</f>
        <v>1.18661967699</v>
      </c>
      <c r="F520" s="34" t="n">
        <f aca="false">E520*(1+F519)</f>
        <v>1.22696474600766</v>
      </c>
      <c r="G520" s="34" t="n">
        <f aca="false">F520*(1+G519)</f>
        <v>1.26868154737192</v>
      </c>
      <c r="H520" s="34" t="n">
        <f aca="false">G520*(1+H519)</f>
        <v>1.31181671998257</v>
      </c>
      <c r="I520" s="34" t="n">
        <f aca="false">H520*(1+I519)</f>
        <v>1.35641848846197</v>
      </c>
      <c r="J520" s="34" t="n">
        <f aca="false">I520*(1+J519)</f>
        <v>1.40253671706968</v>
      </c>
      <c r="K520" s="34" t="n">
        <f aca="false">J520*(1+K519)</f>
        <v>1.45022296545005</v>
      </c>
      <c r="L520" s="34" t="n">
        <f aca="false">K520*(1+L519)</f>
        <v>1.49953054627535</v>
      </c>
    </row>
    <row r="521" customFormat="false" ht="15" hidden="false" customHeight="false" outlineLevel="0" collapsed="false">
      <c r="A521" s="9" t="s">
        <v>283</v>
      </c>
      <c r="B521" s="34" t="n">
        <f aca="false">(1+$M$16)/(1+B519)</f>
        <v>1.02455146364495</v>
      </c>
      <c r="C521" s="34" t="n">
        <f aca="false">B521*(1+Entorno!$B$13)</f>
        <v>1.02967422096317</v>
      </c>
      <c r="D521" s="34" t="n">
        <f aca="false">C521*(1+Entorno!$B$13)</f>
        <v>1.03482259206799</v>
      </c>
      <c r="E521" s="34" t="n">
        <f aca="false">D521*(1+Entorno!$B$13)</f>
        <v>1.03999670502833</v>
      </c>
      <c r="F521" s="34" t="n">
        <f aca="false">E521*(1+Entorno!$B$13)</f>
        <v>1.04519668855347</v>
      </c>
      <c r="G521" s="34" t="n">
        <f aca="false">F521*(1+Entorno!$B$13)</f>
        <v>1.05042267199624</v>
      </c>
      <c r="H521" s="34" t="n">
        <f aca="false">G521*(1+Entorno!$B$13)</f>
        <v>1.05567478535622</v>
      </c>
      <c r="I521" s="34" t="n">
        <f aca="false">H521*(1+Entorno!$B$13)</f>
        <v>1.060953159283</v>
      </c>
      <c r="J521" s="34" t="n">
        <f aca="false">I521*(1+Entorno!$B$13)</f>
        <v>1.06625792507941</v>
      </c>
      <c r="K521" s="34" t="n">
        <f aca="false">J521*(1+Entorno!$B$13)</f>
        <v>1.07158921470481</v>
      </c>
      <c r="L521" s="34" t="n">
        <f aca="false">K521*(1+Entorno!$B$13)</f>
        <v>1.07694716077833</v>
      </c>
    </row>
    <row r="522" customFormat="false" ht="15" hidden="false" customHeight="false" outlineLevel="0" collapsed="false">
      <c r="A522" s="9" t="s">
        <v>284</v>
      </c>
      <c r="B522" s="34" t="n">
        <f aca="false">1/B520</f>
        <v>0.944287063267233</v>
      </c>
      <c r="C522" s="34" t="n">
        <f aca="false">1/C520</f>
        <v>0.903623983987783</v>
      </c>
      <c r="D522" s="34" t="n">
        <f aca="false">1/D520</f>
        <v>0.87138281966035</v>
      </c>
      <c r="E522" s="34" t="n">
        <f aca="false">1/E520</f>
        <v>0.842729999671519</v>
      </c>
      <c r="F522" s="34" t="n">
        <f aca="false">1/F520</f>
        <v>0.815019342042088</v>
      </c>
      <c r="G522" s="34" t="n">
        <f aca="false">1/G520</f>
        <v>0.788219866578421</v>
      </c>
      <c r="H522" s="34" t="n">
        <f aca="false">1/H520</f>
        <v>0.76230161177797</v>
      </c>
      <c r="I522" s="34" t="n">
        <f aca="false">1/I520</f>
        <v>0.73723560133266</v>
      </c>
      <c r="J522" s="34" t="n">
        <f aca="false">1/J520</f>
        <v>0.712993811733714</v>
      </c>
      <c r="K522" s="34" t="n">
        <f aca="false">1/K520</f>
        <v>0.689549140941696</v>
      </c>
      <c r="L522" s="34" t="n">
        <f aca="false">1/L520</f>
        <v>0.666875378086747</v>
      </c>
    </row>
    <row r="523" customFormat="false" ht="15" hidden="false" customHeight="false" outlineLevel="0" collapsed="false">
      <c r="A523" s="6" t="s">
        <v>202</v>
      </c>
      <c r="B523" s="35" t="n">
        <f aca="false">IF(B$43=0,Quesería!$F$80,IF(B$43=1,Quesería!$F$81*$M$21,0))*$M$11</f>
        <v>622.243624322401</v>
      </c>
      <c r="C523" s="35" t="n">
        <f aca="false">IF(C$43=0,Quesería!$F$80,IF(C$43=1,Quesería!$F$81*$M$21,0))*$M$11</f>
        <v>645.270088578622</v>
      </c>
      <c r="D523" s="35" t="n">
        <f aca="false">IF(D$43=0,Quesería!$F$80,IF(D$43=1,Quesería!$F$81*$M$21,0))*$M$11</f>
        <v>0</v>
      </c>
      <c r="E523" s="35" t="n">
        <f aca="false">IF(E$43=0,Quesería!$F$80,IF(E$43=1,Quesería!$F$81*$M$21,0))*$M$11</f>
        <v>0</v>
      </c>
      <c r="F523" s="35" t="n">
        <f aca="false">IF(F$43=0,Quesería!$F$80,IF(F$43=1,Quesería!$F$81*$M$21,0))*$M$11</f>
        <v>0</v>
      </c>
      <c r="G523" s="35" t="n">
        <f aca="false">IF(G$43=0,Quesería!$F$80,IF(G$43=1,Quesería!$F$81*$M$21,0))*$M$11</f>
        <v>0</v>
      </c>
      <c r="H523" s="35" t="n">
        <f aca="false">IF(H$43=0,Quesería!$F$80,IF(H$43=1,Quesería!$F$81*$M$21,0))*$M$11</f>
        <v>0</v>
      </c>
      <c r="I523" s="35" t="n">
        <f aca="false">IF(I$43=0,Quesería!$F$80,IF(I$43=1,Quesería!$F$81*$M$21,0))*$M$11</f>
        <v>0</v>
      </c>
      <c r="J523" s="35" t="n">
        <f aca="false">IF(J$43=0,Quesería!$F$80,IF(J$43=1,Quesería!$F$81*$M$21,0))*$M$11</f>
        <v>0</v>
      </c>
      <c r="K523" s="35" t="n">
        <f aca="false">IF(K$43=0,Quesería!$F$80,IF(K$43=1,Quesería!$F$81*$M$21,0))*$M$11</f>
        <v>0</v>
      </c>
      <c r="L523" s="35" t="n">
        <f aca="false">IF(L$43=0,Quesería!$F$80,IF(L$43=1,Quesería!$F$81*$M$21,0))*$M$11</f>
        <v>0</v>
      </c>
    </row>
    <row r="524" customFormat="false" ht="15" hidden="false" customHeight="false" outlineLevel="0" collapsed="false">
      <c r="A524" s="6" t="s">
        <v>285</v>
      </c>
      <c r="B524" s="35" t="n">
        <f aca="false">IF(B$43=5,Quesería!$F$87,IF(B$43=6,Quesería!$F$88,0))*$M$11</f>
        <v>0</v>
      </c>
      <c r="C524" s="35" t="n">
        <f aca="false">IF(C$43=5,Quesería!$F$87,IF(C$43=6,Quesería!$F$88,0))*$M$11</f>
        <v>0</v>
      </c>
      <c r="D524" s="35" t="n">
        <f aca="false">IF(D$43=5,Quesería!$F$87,IF(D$43=6,Quesería!$F$88,0))*$M$11</f>
        <v>0</v>
      </c>
      <c r="E524" s="35" t="n">
        <f aca="false">IF(E$43=5,Quesería!$F$87,IF(E$43=6,Quesería!$F$88,0))*$M$11</f>
        <v>0</v>
      </c>
      <c r="F524" s="35" t="n">
        <f aca="false">IF(F$43=5,Quesería!$F$87,IF(F$43=6,Quesería!$F$88,0))*$M$11</f>
        <v>0</v>
      </c>
      <c r="G524" s="35" t="n">
        <f aca="false">IF(G$43=5,Quesería!$F$87,IF(G$43=6,Quesería!$F$88,0))*$M$11</f>
        <v>26.6666666666667</v>
      </c>
      <c r="H524" s="35" t="n">
        <f aca="false">IF(H$43=5,Quesería!$F$87,IF(H$43=6,Quesería!$F$88,0))*$M$11</f>
        <v>35.3045530566667</v>
      </c>
      <c r="I524" s="35" t="n">
        <f aca="false">IF(I$43=5,Quesería!$F$87,IF(I$43=6,Quesería!$F$88,0))*$M$11</f>
        <v>0</v>
      </c>
      <c r="J524" s="35" t="n">
        <f aca="false">IF(J$43=5,Quesería!$F$87,IF(J$43=6,Quesería!$F$88,0))*$M$11</f>
        <v>0</v>
      </c>
      <c r="K524" s="35" t="n">
        <f aca="false">IF(K$43=5,Quesería!$F$87,IF(K$43=6,Quesería!$F$88,0))*$M$11</f>
        <v>0</v>
      </c>
      <c r="L524" s="35" t="n">
        <f aca="false">IF(L$43=5,Quesería!$F$87,IF(L$43=6,Quesería!$F$88,0))*$M$11</f>
        <v>0</v>
      </c>
    </row>
    <row r="525" customFormat="false" ht="15" hidden="false" customHeight="false" outlineLevel="0" collapsed="false">
      <c r="A525" s="6" t="s">
        <v>286</v>
      </c>
      <c r="B525" s="35" t="n">
        <f aca="false">Quesería!$B$36*(IF(B$43=0,SUMPRODUCT((Quesería!$C$62:$C$77=0)*(Quesería!$H$62:$H$77&gt;0)*(Quesería!$J$62:$J$77&gt;0)*Quesería!$F$62:$F$77*(1+Quesería!$I$62:$I$77)),IF(B$43=1,SUMPRODUCT((Quesería!$C$62:$C$77=1)*(Quesería!$H$62:$H$77&gt;0)*(Quesería!$J$62:$J$77&gt;0)*Quesería!$F$62:$F$77*(1+Quesería!$I$62:$I$77))*$M$21,0))*$M$11+B524)</f>
        <v>99.347875488093</v>
      </c>
      <c r="C525" s="35" t="n">
        <f aca="false">Quesería!$B$36*(IF(C$43=0,SUMPRODUCT((Quesería!$C$62:$C$77=0)*(Quesería!$H$62:$H$77&gt;0)*(Quesería!$J$62:$J$77&gt;0)*Quesería!$F$62:$F$77*(1+Quesería!$I$62:$I$77)),IF(C$43=1,SUMPRODUCT((Quesería!$C$62:$C$77=1)*(Quesería!$H$62:$H$77&gt;0)*(Quesería!$J$62:$J$77&gt;0)*Quesería!$F$62:$F$77*(1+Quesería!$I$62:$I$77))*$M$21,0))*$M$11+C524)</f>
        <v>122.601316829938</v>
      </c>
      <c r="D525" s="35" t="n">
        <f aca="false">Quesería!$B$36*(IF(D$43=0,SUMPRODUCT((Quesería!$C$62:$C$77=0)*(Quesería!$H$62:$H$77&gt;0)*(Quesería!$J$62:$J$77&gt;0)*Quesería!$F$62:$F$77*(1+Quesería!$I$62:$I$77)),IF(D$43=1,SUMPRODUCT((Quesería!$C$62:$C$77=1)*(Quesería!$H$62:$H$77&gt;0)*(Quesería!$J$62:$J$77&gt;0)*Quesería!$F$62:$F$77*(1+Quesería!$I$62:$I$77))*$M$21,0))*$M$11+D524)</f>
        <v>0</v>
      </c>
      <c r="E525" s="35" t="n">
        <f aca="false">Quesería!$B$36*(IF(E$43=0,SUMPRODUCT((Quesería!$C$62:$C$77=0)*(Quesería!$H$62:$H$77&gt;0)*(Quesería!$J$62:$J$77&gt;0)*Quesería!$F$62:$F$77*(1+Quesería!$I$62:$I$77)),IF(E$43=1,SUMPRODUCT((Quesería!$C$62:$C$77=1)*(Quesería!$H$62:$H$77&gt;0)*(Quesería!$J$62:$J$77&gt;0)*Quesería!$F$62:$F$77*(1+Quesería!$I$62:$I$77))*$M$21,0))*$M$11+E524)</f>
        <v>0</v>
      </c>
      <c r="F525" s="35" t="n">
        <f aca="false">Quesería!$B$36*(IF(F$43=0,SUMPRODUCT((Quesería!$C$62:$C$77=0)*(Quesería!$H$62:$H$77&gt;0)*(Quesería!$J$62:$J$77&gt;0)*Quesería!$F$62:$F$77*(1+Quesería!$I$62:$I$77)),IF(F$43=1,SUMPRODUCT((Quesería!$C$62:$C$77=1)*(Quesería!$H$62:$H$77&gt;0)*(Quesería!$J$62:$J$77&gt;0)*Quesería!$F$62:$F$77*(1+Quesería!$I$62:$I$77))*$M$21,0))*$M$11+F524)</f>
        <v>0</v>
      </c>
      <c r="G525" s="35" t="n">
        <f aca="false">Quesería!$B$36*(IF(G$43=0,SUMPRODUCT((Quesería!$C$62:$C$77=0)*(Quesería!$H$62:$H$77&gt;0)*(Quesería!$J$62:$J$77&gt;0)*Quesería!$F$62:$F$77*(1+Quesería!$I$62:$I$77)),IF(G$43=1,SUMPRODUCT((Quesería!$C$62:$C$77=1)*(Quesería!$H$62:$H$77&gt;0)*(Quesería!$J$62:$J$77&gt;0)*Quesería!$F$62:$F$77*(1+Quesería!$I$62:$I$77))*$M$21,0))*$M$11+G524)</f>
        <v>5.06666666666667</v>
      </c>
      <c r="H525" s="35" t="n">
        <f aca="false">Quesería!$B$36*(IF(H$43=0,SUMPRODUCT((Quesería!$C$62:$C$77=0)*(Quesería!$H$62:$H$77&gt;0)*(Quesería!$J$62:$J$77&gt;0)*Quesería!$F$62:$F$77*(1+Quesería!$I$62:$I$77)),IF(H$43=1,SUMPRODUCT((Quesería!$C$62:$C$77=1)*(Quesería!$H$62:$H$77&gt;0)*(Quesería!$J$62:$J$77&gt;0)*Quesería!$F$62:$F$77*(1+Quesería!$I$62:$I$77))*$M$21,0))*$M$11+H524)</f>
        <v>6.70786508076667</v>
      </c>
      <c r="I525" s="35" t="n">
        <f aca="false">Quesería!$B$36*(IF(I$43=0,SUMPRODUCT((Quesería!$C$62:$C$77=0)*(Quesería!$H$62:$H$77&gt;0)*(Quesería!$J$62:$J$77&gt;0)*Quesería!$F$62:$F$77*(1+Quesería!$I$62:$I$77)),IF(I$43=1,SUMPRODUCT((Quesería!$C$62:$C$77=1)*(Quesería!$H$62:$H$77&gt;0)*(Quesería!$J$62:$J$77&gt;0)*Quesería!$F$62:$F$77*(1+Quesería!$I$62:$I$77))*$M$21,0))*$M$11+I524)</f>
        <v>0</v>
      </c>
      <c r="J525" s="35" t="n">
        <f aca="false">Quesería!$B$36*(IF(J$43=0,SUMPRODUCT((Quesería!$C$62:$C$77=0)*(Quesería!$H$62:$H$77&gt;0)*(Quesería!$J$62:$J$77&gt;0)*Quesería!$F$62:$F$77*(1+Quesería!$I$62:$I$77)),IF(J$43=1,SUMPRODUCT((Quesería!$C$62:$C$77=1)*(Quesería!$H$62:$H$77&gt;0)*(Quesería!$J$62:$J$77&gt;0)*Quesería!$F$62:$F$77*(1+Quesería!$I$62:$I$77))*$M$21,0))*$M$11+J524)</f>
        <v>0</v>
      </c>
      <c r="K525" s="35" t="n">
        <f aca="false">Quesería!$B$36*(IF(K$43=0,SUMPRODUCT((Quesería!$C$62:$C$77=0)*(Quesería!$H$62:$H$77&gt;0)*(Quesería!$J$62:$J$77&gt;0)*Quesería!$F$62:$F$77*(1+Quesería!$I$62:$I$77)),IF(K$43=1,SUMPRODUCT((Quesería!$C$62:$C$77=1)*(Quesería!$H$62:$H$77&gt;0)*(Quesería!$J$62:$J$77&gt;0)*Quesería!$F$62:$F$77*(1+Quesería!$I$62:$I$77))*$M$21,0))*$M$11+K524)</f>
        <v>0</v>
      </c>
      <c r="L525" s="35" t="n">
        <f aca="false">Quesería!$B$36*(IF(L$43=0,SUMPRODUCT((Quesería!$C$62:$C$77=0)*(Quesería!$H$62:$H$77&gt;0)*(Quesería!$J$62:$J$77&gt;0)*Quesería!$F$62:$F$77*(1+Quesería!$I$62:$I$77)),IF(L$43=1,SUMPRODUCT((Quesería!$C$62:$C$77=1)*(Quesería!$H$62:$H$77&gt;0)*(Quesería!$J$62:$J$77&gt;0)*Quesería!$F$62:$F$77*(1+Quesería!$I$62:$I$77))*$M$21,0))*$M$11+L524)</f>
        <v>0</v>
      </c>
    </row>
    <row r="526" customFormat="false" ht="15" hidden="false" customHeight="false" outlineLevel="0" collapsed="false">
      <c r="A526" s="6" t="s">
        <v>260</v>
      </c>
      <c r="B526" s="35" t="n">
        <f aca="false">IF(B$43=0,($M$22*Quesería!$J$109+(1-$M$22)*Quesería!$E$105)*Quesería!$B$12*Quesería!$B$13/12*$M$23,(($M$22*Quesería!$J$109+(1-$M$22)*Quesería!$E$105)+($M$22*Quesería!$J$92+(1-$M$22)*Quesería!$E$92)*(B521-1))*IF(B$43=1,Quesería!$B$12,1))*$M$10</f>
        <v>45.6373732102639</v>
      </c>
      <c r="C526" s="35" t="n">
        <f aca="false">IF(C$43=0,($M$22*Quesería!$J$109+(1-$M$22)*Quesería!$E$105)*Quesería!$B$12*Quesería!$B$13/12*$M$23,(($M$22*Quesería!$J$109+(1-$M$22)*Quesería!$E$105)+($M$22*Quesería!$J$92+(1-$M$22)*Quesería!$E$92)*(C521-1))*IF(C$43=1,Quesería!$B$12,1))*$M$10</f>
        <v>137.173846259687</v>
      </c>
      <c r="D526" s="35" t="n">
        <f aca="false">IF(D$43=0,($M$22*Quesería!$J$109+(1-$M$22)*Quesería!$E$105)*Quesería!$B$12*Quesería!$B$13/12*$M$23,(($M$22*Quesería!$J$109+(1-$M$22)*Quesería!$E$105)+($M$22*Quesería!$J$92+(1-$M$22)*Quesería!$E$92)*(D521-1))*IF(D$43=1,Quesería!$B$12,1))*$M$10</f>
        <v>182.959006523775</v>
      </c>
      <c r="E526" s="35" t="n">
        <f aca="false">IF(E$43=0,($M$22*Quesería!$J$109+(1-$M$22)*Quesería!$E$105)*Quesería!$B$12*Quesería!$B$13/12*$M$23,(($M$22*Quesería!$J$109+(1-$M$22)*Quesería!$E$105)+($M$22*Quesería!$J$92+(1-$M$22)*Quesería!$E$92)*(E521-1))*IF(E$43=1,Quesería!$B$12,1))*$M$10</f>
        <v>183.019854092189</v>
      </c>
      <c r="F526" s="35" t="n">
        <f aca="false">IF(F$43=0,($M$22*Quesería!$J$109+(1-$M$22)*Quesería!$E$105)*Quesería!$B$12*Quesería!$B$13/12*$M$23,(($M$22*Quesería!$J$109+(1-$M$22)*Quesería!$E$105)+($M$22*Quesería!$J$92+(1-$M$22)*Quesería!$E$92)*(F521-1))*IF(F$43=1,Quesería!$B$12,1))*$M$10</f>
        <v>183.081005898444</v>
      </c>
      <c r="G526" s="35" t="n">
        <f aca="false">IF(G$43=0,($M$22*Quesería!$J$109+(1-$M$22)*Quesería!$E$105)*Quesería!$B$12*Quesería!$B$13/12*$M$23,(($M$22*Quesería!$J$109+(1-$M$22)*Quesería!$E$105)+($M$22*Quesería!$J$92+(1-$M$22)*Quesería!$E$92)*(G521-1))*IF(G$43=1,Quesería!$B$12,1))*$M$10</f>
        <v>183.142463463731</v>
      </c>
      <c r="H526" s="35" t="n">
        <f aca="false">IF(H$43=0,($M$22*Quesería!$J$109+(1-$M$22)*Quesería!$E$105)*Quesería!$B$12*Quesería!$B$13/12*$M$23,(($M$22*Quesería!$J$109+(1-$M$22)*Quesería!$E$105)+($M$22*Quesería!$J$92+(1-$M$22)*Quesería!$E$92)*(H521-1))*IF(H$43=1,Quesería!$B$12,1))*$M$10</f>
        <v>183.204228316845</v>
      </c>
      <c r="I526" s="35" t="n">
        <f aca="false">IF(I$43=0,($M$22*Quesería!$J$109+(1-$M$22)*Quesería!$E$105)*Quesería!$B$12*Quesería!$B$13/12*$M$23,(($M$22*Quesería!$J$109+(1-$M$22)*Quesería!$E$105)+($M$22*Quesería!$J$92+(1-$M$22)*Quesería!$E$92)*(I521-1))*IF(I$43=1,Quesería!$B$12,1))*$M$10</f>
        <v>183.266301994224</v>
      </c>
      <c r="J526" s="35" t="n">
        <f aca="false">IF(J$43=0,($M$22*Quesería!$J$109+(1-$M$22)*Quesería!$E$105)*Quesería!$B$12*Quesería!$B$13/12*$M$23,(($M$22*Quesería!$J$109+(1-$M$22)*Quesería!$E$105)+($M$22*Quesería!$J$92+(1-$M$22)*Quesería!$E$92)*(J521-1))*IF(J$43=1,Quesería!$B$12,1))*$M$10</f>
        <v>183.328686039989</v>
      </c>
      <c r="K526" s="35" t="n">
        <f aca="false">IF(K$43=0,($M$22*Quesería!$J$109+(1-$M$22)*Quesería!$E$105)*Quesería!$B$12*Quesería!$B$13/12*$M$23,(($M$22*Quesería!$J$109+(1-$M$22)*Quesería!$E$105)+($M$22*Quesería!$J$92+(1-$M$22)*Quesería!$E$92)*(K521-1))*IF(K$43=1,Quesería!$B$12,1))*$M$10</f>
        <v>183.391382005984</v>
      </c>
      <c r="L526" s="35" t="n">
        <f aca="false">IF(L$43=0,($M$22*Quesería!$J$109+(1-$M$22)*Quesería!$E$105)*Quesería!$B$12*Quesería!$B$13/12*$M$23,(($M$22*Quesería!$J$109+(1-$M$22)*Quesería!$E$105)+($M$22*Quesería!$J$92+(1-$M$22)*Quesería!$E$92)*(L521-1))*IF(L$43=1,Quesería!$B$12,1))*$M$10</f>
        <v>183.454391451809</v>
      </c>
    </row>
    <row r="527" customFormat="false" ht="15" hidden="false" customHeight="false" outlineLevel="0" collapsed="false">
      <c r="A527" s="6" t="s">
        <v>261</v>
      </c>
      <c r="B527" s="35" t="n">
        <f aca="false">IF(B$43&lt;=1,0,((($M$22*Quesería!$J$110+(1-$M$22)*Quesería!$E$106)-($M$22*Quesería!$J$99+(1-$M$22)*Quesería!$E$99)+$M$6*($M$22*Quesería!$J$99+(1-$M$22)*Quesería!$E$99)-(1-$M$9)*($M$22*Quesería!$J$102+(1-$M$22)*Quesería!$E$102))+($M$6*($M$22*Quesería!$J$99+(1-$M$22)*Quesería!$E$99)+$M$9*($M$22*Quesería!$J$102+(1-$M$22)*Quesería!$E$102))*(B521-1))*IF(B$43=2,Quesería!$B$12,1)+IF(B$43=2,Quesería!$B$14*$M$9*($M$22*Quesería!$J$102+(1-$M$22)*Quesería!$E$102)*B521,0))*$M$10*$M$21</f>
        <v>0</v>
      </c>
      <c r="C527" s="35" t="n">
        <f aca="false">IF(C$43&lt;=1,0,((($M$22*Quesería!$J$110+(1-$M$22)*Quesería!$E$106)-($M$22*Quesería!$J$99+(1-$M$22)*Quesería!$E$99)+$M$6*($M$22*Quesería!$J$99+(1-$M$22)*Quesería!$E$99)-(1-$M$9)*($M$22*Quesería!$J$102+(1-$M$22)*Quesería!$E$102))+($M$6*($M$22*Quesería!$J$99+(1-$M$22)*Quesería!$E$99)+$M$9*($M$22*Quesería!$J$102+(1-$M$22)*Quesería!$E$102))*(C521-1))*IF(C$43=2,Quesería!$B$12,1)+IF(C$43=2,Quesería!$B$14*$M$9*($M$22*Quesería!$J$102+(1-$M$22)*Quesería!$E$102)*C521,0))*$M$10*$M$21</f>
        <v>0</v>
      </c>
      <c r="D527" s="35" t="n">
        <f aca="false">IF(D$43&lt;=1,0,((($M$22*Quesería!$J$110+(1-$M$22)*Quesería!$E$106)-($M$22*Quesería!$J$99+(1-$M$22)*Quesería!$E$99)+$M$6*($M$22*Quesería!$J$99+(1-$M$22)*Quesería!$E$99)-(1-$M$9)*($M$22*Quesería!$J$102+(1-$M$22)*Quesería!$E$102))+($M$6*($M$22*Quesería!$J$99+(1-$M$22)*Quesería!$E$99)+$M$9*($M$22*Quesería!$J$102+(1-$M$22)*Quesería!$E$102))*(D521-1))*IF(D$43=2,Quesería!$B$12,1)+IF(D$43=2,Quesería!$B$14*$M$9*($M$22*Quesería!$J$102+(1-$M$22)*Quesería!$E$102)*D521,0))*$M$10*$M$21</f>
        <v>197.920219019486</v>
      </c>
      <c r="E527" s="35" t="n">
        <f aca="false">IF(E$43&lt;=1,0,((($M$22*Quesería!$J$110+(1-$M$22)*Quesería!$E$106)-($M$22*Quesería!$J$99+(1-$M$22)*Quesería!$E$99)+$M$6*($M$22*Quesería!$J$99+(1-$M$22)*Quesería!$E$99)-(1-$M$9)*($M$22*Quesería!$J$102+(1-$M$22)*Quesería!$E$102))+($M$6*($M$22*Quesería!$J$99+(1-$M$22)*Quesería!$E$99)+$M$9*($M$22*Quesería!$J$102+(1-$M$22)*Quesería!$E$102))*(E521-1))*IF(E$43=2,Quesería!$B$12,1)+IF(E$43=2,Quesería!$B$14*$M$9*($M$22*Quesería!$J$102+(1-$M$22)*Quesería!$E$102)*E521,0))*$M$10*$M$21</f>
        <v>234.524118409314</v>
      </c>
      <c r="F527" s="35" t="n">
        <f aca="false">IF(F$43&lt;=1,0,((($M$22*Quesería!$J$110+(1-$M$22)*Quesería!$E$106)-($M$22*Quesería!$J$99+(1-$M$22)*Quesería!$E$99)+$M$6*($M$22*Quesería!$J$99+(1-$M$22)*Quesería!$E$99)-(1-$M$9)*($M$22*Quesería!$J$102+(1-$M$22)*Quesería!$E$102))+($M$6*($M$22*Quesería!$J$99+(1-$M$22)*Quesería!$E$99)+$M$9*($M$22*Quesería!$J$102+(1-$M$22)*Quesería!$E$102))*(F521-1))*IF(F$43=2,Quesería!$B$12,1)+IF(F$43=2,Quesería!$B$14*$M$9*($M$22*Quesería!$J$102+(1-$M$22)*Quesería!$E$102)*F521,0))*$M$10*$M$21</f>
        <v>234.95966902938</v>
      </c>
      <c r="G527" s="35" t="n">
        <f aca="false">IF(G$43&lt;=1,0,((($M$22*Quesería!$J$110+(1-$M$22)*Quesería!$E$106)-($M$22*Quesería!$J$99+(1-$M$22)*Quesería!$E$99)+$M$6*($M$22*Quesería!$J$99+(1-$M$22)*Quesería!$E$99)-(1-$M$9)*($M$22*Quesería!$J$102+(1-$M$22)*Quesería!$E$102))+($M$6*($M$22*Quesería!$J$99+(1-$M$22)*Quesería!$E$99)+$M$9*($M$22*Quesería!$J$102+(1-$M$22)*Quesería!$E$102))*(G521-1))*IF(G$43=2,Quesería!$B$12,1)+IF(G$43=2,Quesería!$B$14*$M$9*($M$22*Quesería!$J$102+(1-$M$22)*Quesería!$E$102)*G521,0))*$M$10*$M$21</f>
        <v>235.397397402546</v>
      </c>
      <c r="H527" s="35" t="n">
        <f aca="false">IF(H$43&lt;=1,0,((($M$22*Quesería!$J$110+(1-$M$22)*Quesería!$E$106)-($M$22*Quesería!$J$99+(1-$M$22)*Quesería!$E$99)+$M$6*($M$22*Quesería!$J$99+(1-$M$22)*Quesería!$E$99)-(1-$M$9)*($M$22*Quesería!$J$102+(1-$M$22)*Quesería!$E$102))+($M$6*($M$22*Quesería!$J$99+(1-$M$22)*Quesería!$E$99)+$M$9*($M$22*Quesería!$J$102+(1-$M$22)*Quesería!$E$102))*(H521-1))*IF(H$43=2,Quesería!$B$12,1)+IF(H$43=2,Quesería!$B$14*$M$9*($M$22*Quesería!$J$102+(1-$M$22)*Quesería!$E$102)*H521,0))*$M$10*$M$21</f>
        <v>235.837314417578</v>
      </c>
      <c r="I527" s="35" t="n">
        <f aca="false">IF(I$43&lt;=1,0,((($M$22*Quesería!$J$110+(1-$M$22)*Quesería!$E$106)-($M$22*Quesería!$J$99+(1-$M$22)*Quesería!$E$99)+$M$6*($M$22*Quesería!$J$99+(1-$M$22)*Quesería!$E$99)-(1-$M$9)*($M$22*Quesería!$J$102+(1-$M$22)*Quesería!$E$102))+($M$6*($M$22*Quesería!$J$99+(1-$M$22)*Quesería!$E$99)+$M$9*($M$22*Quesería!$J$102+(1-$M$22)*Quesería!$E$102))*(I521-1))*IF(I$43=2,Quesería!$B$12,1)+IF(I$43=2,Quesería!$B$14*$M$9*($M$22*Quesería!$J$102+(1-$M$22)*Quesería!$E$102)*I521,0))*$M$10*$M$21</f>
        <v>236.279431017685</v>
      </c>
      <c r="J527" s="35" t="n">
        <f aca="false">IF(J$43&lt;=1,0,((($M$22*Quesería!$J$110+(1-$M$22)*Quesería!$E$106)-($M$22*Quesería!$J$99+(1-$M$22)*Quesería!$E$99)+$M$6*($M$22*Quesería!$J$99+(1-$M$22)*Quesería!$E$99)-(1-$M$9)*($M$22*Quesería!$J$102+(1-$M$22)*Quesería!$E$102))+($M$6*($M$22*Quesería!$J$99+(1-$M$22)*Quesería!$E$99)+$M$9*($M$22*Quesería!$J$102+(1-$M$22)*Quesería!$E$102))*(J521-1))*IF(J$43=2,Quesería!$B$12,1)+IF(J$43=2,Quesería!$B$14*$M$9*($M$22*Quesería!$J$102+(1-$M$22)*Quesería!$E$102)*J521,0))*$M$10*$M$21</f>
        <v>236.723758200793</v>
      </c>
      <c r="K527" s="35" t="n">
        <f aca="false">IF(K$43&lt;=1,0,((($M$22*Quesería!$J$110+(1-$M$22)*Quesería!$E$106)-($M$22*Quesería!$J$99+(1-$M$22)*Quesería!$E$99)+$M$6*($M$22*Quesería!$J$99+(1-$M$22)*Quesería!$E$99)-(1-$M$9)*($M$22*Quesería!$J$102+(1-$M$22)*Quesería!$E$102))+($M$6*($M$22*Quesería!$J$99+(1-$M$22)*Quesería!$E$99)+$M$9*($M$22*Quesería!$J$102+(1-$M$22)*Quesería!$E$102))*(K521-1))*IF(K$43=2,Quesería!$B$12,1)+IF(K$43=2,Quesería!$B$14*$M$9*($M$22*Quesería!$J$102+(1-$M$22)*Quesería!$E$102)*K521,0))*$M$10*$M$21</f>
        <v>237.170307019816</v>
      </c>
      <c r="L527" s="35" t="n">
        <f aca="false">IF(L$43&lt;=1,0,((($M$22*Quesería!$J$110+(1-$M$22)*Quesería!$E$106)-($M$22*Quesería!$J$99+(1-$M$22)*Quesería!$E$99)+$M$6*($M$22*Quesería!$J$99+(1-$M$22)*Quesería!$E$99)-(1-$M$9)*($M$22*Quesería!$J$102+(1-$M$22)*Quesería!$E$102))+($M$6*($M$22*Quesería!$J$99+(1-$M$22)*Quesería!$E$99)+$M$9*($M$22*Quesería!$J$102+(1-$M$22)*Quesería!$E$102))*(L521-1))*IF(L$43=2,Quesería!$B$12,1)+IF(L$43=2,Quesería!$B$14*$M$9*($M$22*Quesería!$J$102+(1-$M$22)*Quesería!$E$102)*L521,0))*$M$10*$M$21</f>
        <v>237.619088582935</v>
      </c>
    </row>
    <row r="528" customFormat="false" ht="15" hidden="false" customHeight="false" outlineLevel="0" collapsed="false">
      <c r="A528" s="5" t="s">
        <v>287</v>
      </c>
      <c r="B528" s="10" t="n">
        <f aca="false">B526+B527</f>
        <v>45.6373732102639</v>
      </c>
      <c r="C528" s="10" t="n">
        <f aca="false">C526+C527</f>
        <v>137.173846259687</v>
      </c>
      <c r="D528" s="10" t="n">
        <f aca="false">D526+D527</f>
        <v>380.879225543261</v>
      </c>
      <c r="E528" s="10" t="n">
        <f aca="false">E526+E527</f>
        <v>417.543972501503</v>
      </c>
      <c r="F528" s="10" t="n">
        <f aca="false">F526+F527</f>
        <v>418.040674927824</v>
      </c>
      <c r="G528" s="10" t="n">
        <f aca="false">G526+G527</f>
        <v>418.539860866278</v>
      </c>
      <c r="H528" s="10" t="n">
        <f aca="false">H526+H527</f>
        <v>419.041542734423</v>
      </c>
      <c r="I528" s="10" t="n">
        <f aca="false">I526+I527</f>
        <v>419.545733011909</v>
      </c>
      <c r="J528" s="10" t="n">
        <f aca="false">J526+J527</f>
        <v>420.052444240783</v>
      </c>
      <c r="K528" s="10" t="n">
        <f aca="false">K526+K527</f>
        <v>420.561689025801</v>
      </c>
      <c r="L528" s="10" t="n">
        <f aca="false">L526+L527</f>
        <v>421.073480034744</v>
      </c>
    </row>
    <row r="529" customFormat="false" ht="15" hidden="false" customHeight="false" outlineLevel="0" collapsed="false">
      <c r="A529" s="6" t="s">
        <v>288</v>
      </c>
      <c r="B529" s="35" t="n">
        <f aca="false">(IF(B$43&gt;=1,(Quesería!$B$21+Quesería!$B$54)*Quesería!$F$82*$M$11+Quesería!$B$22+'Beneficios y costos'!$B$118,0)+IF(B$43&gt;=2,((Quesería!$B$21+Quesería!$B$54)*Quesería!$F$83*$M$11+'Beneficios y costos'!$C$118)*$M$21,0))*$M$12</f>
        <v>0</v>
      </c>
      <c r="C529" s="35" t="n">
        <f aca="false">(IF(C$43&gt;=1,(Quesería!$B$21+Quesería!$B$54)*Quesería!$F$82*$M$11+Quesería!$B$22+'Beneficios y costos'!$B$118,0)+IF(C$43&gt;=2,((Quesería!$B$21+Quesería!$B$54)*Quesería!$F$83*$M$11+'Beneficios y costos'!$C$118)*$M$21,0))*$M$12</f>
        <v>36.8921528634167</v>
      </c>
      <c r="D529" s="35" t="n">
        <f aca="false">(IF(D$43&gt;=1,(Quesería!$B$21+Quesería!$B$54)*Quesería!$F$82*$M$11+Quesería!$B$22+'Beneficios y costos'!$B$118,0)+IF(D$43&gt;=2,((Quesería!$B$21+Quesería!$B$54)*Quesería!$F$83*$M$11+'Beneficios y costos'!$C$118)*$M$21,0))*$M$12</f>
        <v>88.8065043646377</v>
      </c>
      <c r="E529" s="35" t="n">
        <f aca="false">(IF(E$43&gt;=1,(Quesería!$B$21+Quesería!$B$54)*Quesería!$F$82*$M$11+Quesería!$B$22+'Beneficios y costos'!$B$118,0)+IF(E$43&gt;=2,((Quesería!$B$21+Quesería!$B$54)*Quesería!$F$83*$M$11+'Beneficios y costos'!$C$118)*$M$21,0))*$M$12</f>
        <v>88.8065043646377</v>
      </c>
      <c r="F529" s="35" t="n">
        <f aca="false">(IF(F$43&gt;=1,(Quesería!$B$21+Quesería!$B$54)*Quesería!$F$82*$M$11+Quesería!$B$22+'Beneficios y costos'!$B$118,0)+IF(F$43&gt;=2,((Quesería!$B$21+Quesería!$B$54)*Quesería!$F$83*$M$11+'Beneficios y costos'!$C$118)*$M$21,0))*$M$12</f>
        <v>88.8065043646377</v>
      </c>
      <c r="G529" s="35" t="n">
        <f aca="false">(IF(G$43&gt;=1,(Quesería!$B$21+Quesería!$B$54)*Quesería!$F$82*$M$11+Quesería!$B$22+'Beneficios y costos'!$B$118,0)+IF(G$43&gt;=2,((Quesería!$B$21+Quesería!$B$54)*Quesería!$F$83*$M$11+'Beneficios y costos'!$C$118)*$M$21,0))*$M$12</f>
        <v>88.8065043646377</v>
      </c>
      <c r="H529" s="35" t="n">
        <f aca="false">(IF(H$43&gt;=1,(Quesería!$B$21+Quesería!$B$54)*Quesería!$F$82*$M$11+Quesería!$B$22+'Beneficios y costos'!$B$118,0)+IF(H$43&gt;=2,((Quesería!$B$21+Quesería!$B$54)*Quesería!$F$83*$M$11+'Beneficios y costos'!$C$118)*$M$21,0))*$M$12</f>
        <v>88.8065043646377</v>
      </c>
      <c r="I529" s="35" t="n">
        <f aca="false">(IF(I$43&gt;=1,(Quesería!$B$21+Quesería!$B$54)*Quesería!$F$82*$M$11+Quesería!$B$22+'Beneficios y costos'!$B$118,0)+IF(I$43&gt;=2,((Quesería!$B$21+Quesería!$B$54)*Quesería!$F$83*$M$11+'Beneficios y costos'!$C$118)*$M$21,0))*$M$12</f>
        <v>88.8065043646377</v>
      </c>
      <c r="J529" s="35" t="n">
        <f aca="false">(IF(J$43&gt;=1,(Quesería!$B$21+Quesería!$B$54)*Quesería!$F$82*$M$11+Quesería!$B$22+'Beneficios y costos'!$B$118,0)+IF(J$43&gt;=2,((Quesería!$B$21+Quesería!$B$54)*Quesería!$F$83*$M$11+'Beneficios y costos'!$C$118)*$M$21,0))*$M$12</f>
        <v>88.8065043646377</v>
      </c>
      <c r="K529" s="35" t="n">
        <f aca="false">(IF(K$43&gt;=1,(Quesería!$B$21+Quesería!$B$54)*Quesería!$F$82*$M$11+Quesería!$B$22+'Beneficios y costos'!$B$118,0)+IF(K$43&gt;=2,((Quesería!$B$21+Quesería!$B$54)*Quesería!$F$83*$M$11+'Beneficios y costos'!$C$118)*$M$21,0))*$M$12</f>
        <v>88.8065043646377</v>
      </c>
      <c r="L529" s="35" t="n">
        <f aca="false">(IF(L$43&gt;=1,(Quesería!$B$21+Quesería!$B$54)*Quesería!$F$82*$M$11+Quesería!$B$22+'Beneficios y costos'!$B$118,0)+IF(L$43&gt;=2,((Quesería!$B$21+Quesería!$B$54)*Quesería!$F$83*$M$11+'Beneficios y costos'!$C$118)*$M$21,0))*$M$12</f>
        <v>88.8065043646377</v>
      </c>
    </row>
    <row r="530" customFormat="false" ht="15" hidden="false" customHeight="false" outlineLevel="0" collapsed="false">
      <c r="A530" s="6" t="s">
        <v>289</v>
      </c>
      <c r="B530" s="35" t="n">
        <f aca="false">IF(B$43=1,2*Quesería!$B$33*Quesería!$B$34/12*B521,0)*$M$21</f>
        <v>0</v>
      </c>
      <c r="C530" s="35" t="n">
        <f aca="false">IF(C$43=1,2*Quesería!$B$33*Quesería!$B$34/12*C521,0)*$M$21</f>
        <v>18.5341359773371</v>
      </c>
      <c r="D530" s="35" t="n">
        <f aca="false">IF(D$43=1,2*Quesería!$B$33*Quesería!$B$34/12*D521,0)*$M$21</f>
        <v>0</v>
      </c>
      <c r="E530" s="35" t="n">
        <f aca="false">IF(E$43=1,2*Quesería!$B$33*Quesería!$B$34/12*E521,0)*$M$21</f>
        <v>0</v>
      </c>
      <c r="F530" s="35" t="n">
        <f aca="false">IF(F$43=1,2*Quesería!$B$33*Quesería!$B$34/12*F521,0)*$M$21</f>
        <v>0</v>
      </c>
      <c r="G530" s="35" t="n">
        <f aca="false">IF(G$43=1,2*Quesería!$B$33*Quesería!$B$34/12*G521,0)*$M$21</f>
        <v>0</v>
      </c>
      <c r="H530" s="35" t="n">
        <f aca="false">IF(H$43=1,2*Quesería!$B$33*Quesería!$B$34/12*H521,0)*$M$21</f>
        <v>0</v>
      </c>
      <c r="I530" s="35" t="n">
        <f aca="false">IF(I$43=1,2*Quesería!$B$33*Quesería!$B$34/12*I521,0)*$M$21</f>
        <v>0</v>
      </c>
      <c r="J530" s="35" t="n">
        <f aca="false">IF(J$43=1,2*Quesería!$B$33*Quesería!$B$34/12*J521,0)*$M$21</f>
        <v>0</v>
      </c>
      <c r="K530" s="35" t="n">
        <f aca="false">IF(K$43=1,2*Quesería!$B$33*Quesería!$B$34/12*K521,0)*$M$21</f>
        <v>0</v>
      </c>
      <c r="L530" s="35" t="n">
        <f aca="false">IF(L$43=1,2*Quesería!$B$33*Quesería!$B$34/12*L521,0)*$M$21</f>
        <v>0</v>
      </c>
    </row>
    <row r="531" customFormat="false" ht="15" hidden="false" customHeight="false" outlineLevel="0" collapsed="false">
      <c r="A531" s="6" t="s">
        <v>290</v>
      </c>
      <c r="B531" s="35" t="n">
        <f aca="false">Quesería!$B$45*(B523+B524+B525+B529+B530)</f>
        <v>2.88636599924197</v>
      </c>
      <c r="C531" s="35" t="n">
        <f aca="false">Quesería!$B$45*(C523+C524+C525+C529+C530)</f>
        <v>3.29319077699725</v>
      </c>
      <c r="D531" s="35" t="n">
        <f aca="false">Quesería!$B$45*(D523+D524+D525+D529+D530)</f>
        <v>0.355226017458551</v>
      </c>
      <c r="E531" s="35" t="n">
        <f aca="false">Quesería!$B$45*(E523+E524+E525+E529+E530)</f>
        <v>0.355226017458551</v>
      </c>
      <c r="F531" s="35" t="n">
        <f aca="false">Quesería!$B$45*(F523+F524+F525+F529+F530)</f>
        <v>0.355226017458551</v>
      </c>
      <c r="G531" s="35" t="n">
        <f aca="false">Quesería!$B$45*(G523+G524+G525+G529+G530)</f>
        <v>0.482159350791884</v>
      </c>
      <c r="H531" s="35" t="n">
        <f aca="false">Quesería!$B$45*(H523+H524+H525+H529+H530)</f>
        <v>0.523275690008284</v>
      </c>
      <c r="I531" s="35" t="n">
        <f aca="false">Quesería!$B$45*(I523+I524+I525+I529+I530)</f>
        <v>0.355226017458551</v>
      </c>
      <c r="J531" s="35" t="n">
        <f aca="false">Quesería!$B$45*(J523+J524+J525+J529+J530)</f>
        <v>0.355226017458551</v>
      </c>
      <c r="K531" s="35" t="n">
        <f aca="false">Quesería!$B$45*(K523+K524+K525+K529+K530)</f>
        <v>0.355226017458551</v>
      </c>
      <c r="L531" s="35" t="n">
        <f aca="false">Quesería!$B$45*(L523+L524+L525+L529+L530)</f>
        <v>0.355226017458551</v>
      </c>
    </row>
    <row r="532" customFormat="false" ht="15" hidden="false" customHeight="false" outlineLevel="0" collapsed="false">
      <c r="A532" s="6" t="s">
        <v>291</v>
      </c>
      <c r="B532" s="35" t="n">
        <f aca="false">(IF($M$19=1,(SUMPRODUCT((Quesería!$C$62:$C$77=0)*(Quesería!$J$62:$J$77&gt;0)*(B$43&gt;=1)*(B$43&lt;=Quesería!$J$62:$J$77)*(Quesería!$H$62:$H$77&gt;0)*Quesería!$F$62:$F$77*(1+Quesería!$I$62:$I$77)/(Quesería!$J$62:$J$77+(Quesería!$J$62:$J$77=0)))+SUMPRODUCT((Quesería!$C$62:$C$77=0)*(Quesería!$J$62:$J$77=0)*(B$43=0)*(Quesería!$H$62:$H$77&gt;0)*Quesería!$F$62:$F$77*(1+Quesería!$I$62:$I$77)))*$B$520+(SUMPRODUCT((Quesería!$C$62:$C$77=1)*(Quesería!$J$62:$J$77&gt;0)*(B$43&gt;=2)*(B$43&lt;=Quesería!$J$62:$J$77+1)*(Quesería!$H$62:$H$77&gt;0)*Quesería!$F$62:$F$77*(1+Quesería!$I$62:$I$77)/(Quesería!$J$62:$J$77+(Quesería!$J$62:$J$77=0)))+SUMPRODUCT((Quesería!$C$62:$C$77=1)*(Quesería!$J$62:$J$77=0)*(B$43=1)*(Quesería!$H$62:$H$77&gt;0)*Quesería!$F$62:$F$77*(1+Quesería!$I$62:$I$77)))*$C$520*$M$21,IF(AND(B$43&gt;=1,B$43&lt;=Quesería!$B$11),Quesería!$F$80/Quesería!$B$11,0)*$B$520+IF(AND(B$43&gt;=2,B$43&lt;=Quesería!$B$11+1),Quesería!$F$81/Quesería!$B$11,0)*$C$520*$M$21)*$M$11+IF(AND(B$43&gt;=6,B$43&lt;=10),$G524*$G520/5,0)+IF(AND(B$43&gt;=7,B$43&lt;=11),$H524*$H520/5,0))*B522</f>
        <v>99.3600691219113</v>
      </c>
      <c r="C532" s="35" t="n">
        <f aca="false">(IF($M$19=1,(SUMPRODUCT((Quesería!$C$62:$C$77=0)*(Quesería!$J$62:$J$77&gt;0)*(C$43&gt;=1)*(C$43&lt;=Quesería!$J$62:$J$77)*(Quesería!$H$62:$H$77&gt;0)*Quesería!$F$62:$F$77*(1+Quesería!$I$62:$I$77)/(Quesería!$J$62:$J$77+(Quesería!$J$62:$J$77=0)))+SUMPRODUCT((Quesería!$C$62:$C$77=0)*(Quesería!$J$62:$J$77=0)*(C$43=0)*(Quesería!$H$62:$H$77&gt;0)*Quesería!$F$62:$F$77*(1+Quesería!$I$62:$I$77)))*$B$520+(SUMPRODUCT((Quesería!$C$62:$C$77=1)*(Quesería!$J$62:$J$77&gt;0)*(C$43&gt;=2)*(C$43&lt;=Quesería!$J$62:$J$77+1)*(Quesería!$H$62:$H$77&gt;0)*Quesería!$F$62:$F$77*(1+Quesería!$I$62:$I$77)/(Quesería!$J$62:$J$77+(Quesería!$J$62:$J$77=0)))+SUMPRODUCT((Quesería!$C$62:$C$77=1)*(Quesería!$J$62:$J$77=0)*(C$43=1)*(Quesería!$H$62:$H$77&gt;0)*Quesería!$F$62:$F$77*(1+Quesería!$I$62:$I$77)))*$C$520*$M$21,IF(AND(C$43&gt;=1,C$43&lt;=Quesería!$B$11),Quesería!$F$80/Quesería!$B$11,0)*$B$520+IF(AND(C$43&gt;=2,C$43&lt;=Quesería!$B$11+1),Quesería!$F$81/Quesería!$B$11,0)*$C$520*$M$21)*$M$11+IF(AND(C$43&gt;=6,C$43&lt;=10),$G524*$G520/5,0)+IF(AND(C$43&gt;=7,C$43&lt;=11),$H524*$H520/5,0))*C522</f>
        <v>57.3732269729336</v>
      </c>
      <c r="D532" s="35" t="n">
        <f aca="false">(IF($M$19=1,(SUMPRODUCT((Quesería!$C$62:$C$77=0)*(Quesería!$J$62:$J$77&gt;0)*(D$43&gt;=1)*(D$43&lt;=Quesería!$J$62:$J$77)*(Quesería!$H$62:$H$77&gt;0)*Quesería!$F$62:$F$77*(1+Quesería!$I$62:$I$77)/(Quesería!$J$62:$J$77+(Quesería!$J$62:$J$77=0)))+SUMPRODUCT((Quesería!$C$62:$C$77=0)*(Quesería!$J$62:$J$77=0)*(D$43=0)*(Quesería!$H$62:$H$77&gt;0)*Quesería!$F$62:$F$77*(1+Quesería!$I$62:$I$77)))*$B$520+(SUMPRODUCT((Quesería!$C$62:$C$77=1)*(Quesería!$J$62:$J$77&gt;0)*(D$43&gt;=2)*(D$43&lt;=Quesería!$J$62:$J$77+1)*(Quesería!$H$62:$H$77&gt;0)*Quesería!$F$62:$F$77*(1+Quesería!$I$62:$I$77)/(Quesería!$J$62:$J$77+(Quesería!$J$62:$J$77=0)))+SUMPRODUCT((Quesería!$C$62:$C$77=1)*(Quesería!$J$62:$J$77=0)*(D$43=1)*(Quesería!$H$62:$H$77&gt;0)*Quesería!$F$62:$F$77*(1+Quesería!$I$62:$I$77)))*$C$520*$M$21,IF(AND(D$43&gt;=1,D$43&lt;=Quesería!$B$11),Quesería!$F$80/Quesería!$B$11,0)*$B$520+IF(AND(D$43&gt;=2,D$43&lt;=Quesería!$B$11+1),Quesería!$F$81/Quesería!$B$11,0)*$C$520*$M$21)*$M$11+IF(AND(D$43&gt;=6,D$43&lt;=10),$G524*$G520/5,0)+IF(AND(D$43&gt;=7,D$43&lt;=11),$H524*$H520/5,0))*D522</f>
        <v>117.55085422449</v>
      </c>
      <c r="E532" s="35" t="n">
        <f aca="false">(IF($M$19=1,(SUMPRODUCT((Quesería!$C$62:$C$77=0)*(Quesería!$J$62:$J$77&gt;0)*(E$43&gt;=1)*(E$43&lt;=Quesería!$J$62:$J$77)*(Quesería!$H$62:$H$77&gt;0)*Quesería!$F$62:$F$77*(1+Quesería!$I$62:$I$77)/(Quesería!$J$62:$J$77+(Quesería!$J$62:$J$77=0)))+SUMPRODUCT((Quesería!$C$62:$C$77=0)*(Quesería!$J$62:$J$77=0)*(E$43=0)*(Quesería!$H$62:$H$77&gt;0)*Quesería!$F$62:$F$77*(1+Quesería!$I$62:$I$77)))*$B$520+(SUMPRODUCT((Quesería!$C$62:$C$77=1)*(Quesería!$J$62:$J$77&gt;0)*(E$43&gt;=2)*(E$43&lt;=Quesería!$J$62:$J$77+1)*(Quesería!$H$62:$H$77&gt;0)*Quesería!$F$62:$F$77*(1+Quesería!$I$62:$I$77)/(Quesería!$J$62:$J$77+(Quesería!$J$62:$J$77=0)))+SUMPRODUCT((Quesería!$C$62:$C$77=1)*(Quesería!$J$62:$J$77=0)*(E$43=1)*(Quesería!$H$62:$H$77&gt;0)*Quesería!$F$62:$F$77*(1+Quesería!$I$62:$I$77)))*$C$520*$M$21,IF(AND(E$43&gt;=1,E$43&lt;=Quesería!$B$11),Quesería!$F$80/Quesería!$B$11,0)*$B$520+IF(AND(E$43&gt;=2,E$43&lt;=Quesería!$B$11+1),Quesería!$F$81/Quesería!$B$11,0)*$C$520*$M$21)*$M$11+IF(AND(E$43&gt;=6,E$43&lt;=10),$G524*$G520/5,0)+IF(AND(E$43&gt;=7,E$43&lt;=11),$H524*$H520/5,0))*E522</f>
        <v>113.685545671653</v>
      </c>
      <c r="F532" s="35" t="n">
        <f aca="false">(IF($M$19=1,(SUMPRODUCT((Quesería!$C$62:$C$77=0)*(Quesería!$J$62:$J$77&gt;0)*(F$43&gt;=1)*(F$43&lt;=Quesería!$J$62:$J$77)*(Quesería!$H$62:$H$77&gt;0)*Quesería!$F$62:$F$77*(1+Quesería!$I$62:$I$77)/(Quesería!$J$62:$J$77+(Quesería!$J$62:$J$77=0)))+SUMPRODUCT((Quesería!$C$62:$C$77=0)*(Quesería!$J$62:$J$77=0)*(F$43=0)*(Quesería!$H$62:$H$77&gt;0)*Quesería!$F$62:$F$77*(1+Quesería!$I$62:$I$77)))*$B$520+(SUMPRODUCT((Quesería!$C$62:$C$77=1)*(Quesería!$J$62:$J$77&gt;0)*(F$43&gt;=2)*(F$43&lt;=Quesería!$J$62:$J$77+1)*(Quesería!$H$62:$H$77&gt;0)*Quesería!$F$62:$F$77*(1+Quesería!$I$62:$I$77)/(Quesería!$J$62:$J$77+(Quesería!$J$62:$J$77=0)))+SUMPRODUCT((Quesería!$C$62:$C$77=1)*(Quesería!$J$62:$J$77=0)*(F$43=1)*(Quesería!$H$62:$H$77&gt;0)*Quesería!$F$62:$F$77*(1+Quesería!$I$62:$I$77)))*$C$520*$M$21,IF(AND(F$43&gt;=1,F$43&lt;=Quesería!$B$11),Quesería!$F$80/Quesería!$B$11,0)*$B$520+IF(AND(F$43&gt;=2,F$43&lt;=Quesería!$B$11+1),Quesería!$F$81/Quesería!$B$11,0)*$C$520*$M$21)*$M$11+IF(AND(F$43&gt;=6,F$43&lt;=10),$G524*$G520/5,0)+IF(AND(F$43&gt;=7,F$43&lt;=11),$H524*$H520/5,0))*F522</f>
        <v>109.94733623951</v>
      </c>
      <c r="G532" s="35" t="n">
        <f aca="false">(IF($M$19=1,(SUMPRODUCT((Quesería!$C$62:$C$77=0)*(Quesería!$J$62:$J$77&gt;0)*(G$43&gt;=1)*(G$43&lt;=Quesería!$J$62:$J$77)*(Quesería!$H$62:$H$77&gt;0)*Quesería!$F$62:$F$77*(1+Quesería!$I$62:$I$77)/(Quesería!$J$62:$J$77+(Quesería!$J$62:$J$77=0)))+SUMPRODUCT((Quesería!$C$62:$C$77=0)*(Quesería!$J$62:$J$77=0)*(G$43=0)*(Quesería!$H$62:$H$77&gt;0)*Quesería!$F$62:$F$77*(1+Quesería!$I$62:$I$77)))*$B$520+(SUMPRODUCT((Quesería!$C$62:$C$77=1)*(Quesería!$J$62:$J$77&gt;0)*(G$43&gt;=2)*(G$43&lt;=Quesería!$J$62:$J$77+1)*(Quesería!$H$62:$H$77&gt;0)*Quesería!$F$62:$F$77*(1+Quesería!$I$62:$I$77)/(Quesería!$J$62:$J$77+(Quesería!$J$62:$J$77=0)))+SUMPRODUCT((Quesería!$C$62:$C$77=1)*(Quesería!$J$62:$J$77=0)*(G$43=1)*(Quesería!$H$62:$H$77&gt;0)*Quesería!$F$62:$F$77*(1+Quesería!$I$62:$I$77)))*$C$520*$M$21,IF(AND(G$43&gt;=1,G$43&lt;=Quesería!$B$11),Quesería!$F$80/Quesería!$B$11,0)*$B$520+IF(AND(G$43&gt;=2,G$43&lt;=Quesería!$B$11+1),Quesería!$F$81/Quesería!$B$11,0)*$C$520*$M$21)*$M$11+IF(AND(G$43&gt;=6,G$43&lt;=10),$G524*$G520/5,0)+IF(AND(G$43&gt;=7,G$43&lt;=11),$H524*$H520/5,0))*G522</f>
        <v>106.332046653298</v>
      </c>
      <c r="H532" s="35" t="n">
        <f aca="false">(IF($M$19=1,(SUMPRODUCT((Quesería!$C$62:$C$77=0)*(Quesería!$J$62:$J$77&gt;0)*(H$43&gt;=1)*(H$43&lt;=Quesería!$J$62:$J$77)*(Quesería!$H$62:$H$77&gt;0)*Quesería!$F$62:$F$77*(1+Quesería!$I$62:$I$77)/(Quesería!$J$62:$J$77+(Quesería!$J$62:$J$77=0)))+SUMPRODUCT((Quesería!$C$62:$C$77=0)*(Quesería!$J$62:$J$77=0)*(H$43=0)*(Quesería!$H$62:$H$77&gt;0)*Quesería!$F$62:$F$77*(1+Quesería!$I$62:$I$77)))*$B$520+(SUMPRODUCT((Quesería!$C$62:$C$77=1)*(Quesería!$J$62:$J$77&gt;0)*(H$43&gt;=2)*(H$43&lt;=Quesería!$J$62:$J$77+1)*(Quesería!$H$62:$H$77&gt;0)*Quesería!$F$62:$F$77*(1+Quesería!$I$62:$I$77)/(Quesería!$J$62:$J$77+(Quesería!$J$62:$J$77=0)))+SUMPRODUCT((Quesería!$C$62:$C$77=1)*(Quesería!$J$62:$J$77=0)*(H$43=1)*(Quesería!$H$62:$H$77&gt;0)*Quesería!$F$62:$F$77*(1+Quesería!$I$62:$I$77)))*$C$520*$M$21,IF(AND(H$43&gt;=1,H$43&lt;=Quesería!$B$11),Quesería!$F$80/Quesería!$B$11,0)*$B$520+IF(AND(H$43&gt;=2,H$43&lt;=Quesería!$B$11+1),Quesería!$F$81/Quesería!$B$11,0)*$C$520*$M$21)*$M$11+IF(AND(H$43&gt;=6,H$43&lt;=10),$G524*$G520/5,0)+IF(AND(H$43&gt;=7,H$43&lt;=11),$H524*$H520/5,0))*H522</f>
        <v>95.615344093937</v>
      </c>
      <c r="I532" s="35" t="n">
        <f aca="false">(IF($M$19=1,(SUMPRODUCT((Quesería!$C$62:$C$77=0)*(Quesería!$J$62:$J$77&gt;0)*(I$43&gt;=1)*(I$43&lt;=Quesería!$J$62:$J$77)*(Quesería!$H$62:$H$77&gt;0)*Quesería!$F$62:$F$77*(1+Quesería!$I$62:$I$77)/(Quesería!$J$62:$J$77+(Quesería!$J$62:$J$77=0)))+SUMPRODUCT((Quesería!$C$62:$C$77=0)*(Quesería!$J$62:$J$77=0)*(I$43=0)*(Quesería!$H$62:$H$77&gt;0)*Quesería!$F$62:$F$77*(1+Quesería!$I$62:$I$77)))*$B$520+(SUMPRODUCT((Quesería!$C$62:$C$77=1)*(Quesería!$J$62:$J$77&gt;0)*(I$43&gt;=2)*(I$43&lt;=Quesería!$J$62:$J$77+1)*(Quesería!$H$62:$H$77&gt;0)*Quesería!$F$62:$F$77*(1+Quesería!$I$62:$I$77)/(Quesería!$J$62:$J$77+(Quesería!$J$62:$J$77=0)))+SUMPRODUCT((Quesería!$C$62:$C$77=1)*(Quesería!$J$62:$J$77=0)*(I$43=1)*(Quesería!$H$62:$H$77&gt;0)*Quesería!$F$62:$F$77*(1+Quesería!$I$62:$I$77)))*$C$520*$M$21,IF(AND(I$43&gt;=1,I$43&lt;=Quesería!$B$11),Quesería!$F$80/Quesería!$B$11,0)*$B$520+IF(AND(I$43&gt;=2,I$43&lt;=Quesería!$B$11+1),Quesería!$F$81/Quesería!$B$11,0)*$C$520*$M$21)*$M$11+IF(AND(I$43&gt;=6,I$43&lt;=10),$G524*$G520/5,0)+IF(AND(I$43&gt;=7,I$43&lt;=11),$H524*$H520/5,0))*I522</f>
        <v>99.300052906451</v>
      </c>
      <c r="J532" s="35" t="n">
        <f aca="false">(IF($M$19=1,(SUMPRODUCT((Quesería!$C$62:$C$77=0)*(Quesería!$J$62:$J$77&gt;0)*(J$43&gt;=1)*(J$43&lt;=Quesería!$J$62:$J$77)*(Quesería!$H$62:$H$77&gt;0)*Quesería!$F$62:$F$77*(1+Quesería!$I$62:$I$77)/(Quesería!$J$62:$J$77+(Quesería!$J$62:$J$77=0)))+SUMPRODUCT((Quesería!$C$62:$C$77=0)*(Quesería!$J$62:$J$77=0)*(J$43=0)*(Quesería!$H$62:$H$77&gt;0)*Quesería!$F$62:$F$77*(1+Quesería!$I$62:$I$77)))*$B$520+(SUMPRODUCT((Quesería!$C$62:$C$77=1)*(Quesería!$J$62:$J$77&gt;0)*(J$43&gt;=2)*(J$43&lt;=Quesería!$J$62:$J$77+1)*(Quesería!$H$62:$H$77&gt;0)*Quesería!$F$62:$F$77*(1+Quesería!$I$62:$I$77)/(Quesería!$J$62:$J$77+(Quesería!$J$62:$J$77=0)))+SUMPRODUCT((Quesería!$C$62:$C$77=1)*(Quesería!$J$62:$J$77=0)*(J$43=1)*(Quesería!$H$62:$H$77&gt;0)*Quesería!$F$62:$F$77*(1+Quesería!$I$62:$I$77)))*$C$520*$M$21,IF(AND(J$43&gt;=1,J$43&lt;=Quesería!$B$11),Quesería!$F$80/Quesería!$B$11,0)*$B$520+IF(AND(J$43&gt;=2,J$43&lt;=Quesería!$B$11+1),Quesería!$F$81/Quesería!$B$11,0)*$C$520*$M$21)*$M$11+IF(AND(J$43&gt;=6,J$43&lt;=10),$G524*$G520/5,0)+IF(AND(J$43&gt;=7,J$43&lt;=11),$H524*$H520/5,0))*J522</f>
        <v>96.0348674143627</v>
      </c>
      <c r="K532" s="35" t="n">
        <f aca="false">(IF($M$19=1,(SUMPRODUCT((Quesería!$C$62:$C$77=0)*(Quesería!$J$62:$J$77&gt;0)*(K$43&gt;=1)*(K$43&lt;=Quesería!$J$62:$J$77)*(Quesería!$H$62:$H$77&gt;0)*Quesería!$F$62:$F$77*(1+Quesería!$I$62:$I$77)/(Quesería!$J$62:$J$77+(Quesería!$J$62:$J$77=0)))+SUMPRODUCT((Quesería!$C$62:$C$77=0)*(Quesería!$J$62:$J$77=0)*(K$43=0)*(Quesería!$H$62:$H$77&gt;0)*Quesería!$F$62:$F$77*(1+Quesería!$I$62:$I$77)))*$B$520+(SUMPRODUCT((Quesería!$C$62:$C$77=1)*(Quesería!$J$62:$J$77&gt;0)*(K$43&gt;=2)*(K$43&lt;=Quesería!$J$62:$J$77+1)*(Quesería!$H$62:$H$77&gt;0)*Quesería!$F$62:$F$77*(1+Quesería!$I$62:$I$77)/(Quesería!$J$62:$J$77+(Quesería!$J$62:$J$77=0)))+SUMPRODUCT((Quesería!$C$62:$C$77=1)*(Quesería!$J$62:$J$77=0)*(K$43=1)*(Quesería!$H$62:$H$77&gt;0)*Quesería!$F$62:$F$77*(1+Quesería!$I$62:$I$77)))*$C$520*$M$21,IF(AND(K$43&gt;=1,K$43&lt;=Quesería!$B$11),Quesería!$F$80/Quesería!$B$11,0)*$B$520+IF(AND(K$43&gt;=2,K$43&lt;=Quesería!$B$11+1),Quesería!$F$81/Quesería!$B$11,0)*$C$520*$M$21)*$M$11+IF(AND(K$43&gt;=6,K$43&lt;=10),$G524*$G520/5,0)+IF(AND(K$43&gt;=7,K$43&lt;=11),$H524*$H520/5,0))*K522</f>
        <v>92.8770477895191</v>
      </c>
      <c r="L532" s="35" t="n">
        <f aca="false">(IF($M$19=1,(SUMPRODUCT((Quesería!$C$62:$C$77=0)*(Quesería!$J$62:$J$77&gt;0)*(L$43&gt;=1)*(L$43&lt;=Quesería!$J$62:$J$77)*(Quesería!$H$62:$H$77&gt;0)*Quesería!$F$62:$F$77*(1+Quesería!$I$62:$I$77)/(Quesería!$J$62:$J$77+(Quesería!$J$62:$J$77=0)))+SUMPRODUCT((Quesería!$C$62:$C$77=0)*(Quesería!$J$62:$J$77=0)*(L$43=0)*(Quesería!$H$62:$H$77&gt;0)*Quesería!$F$62:$F$77*(1+Quesería!$I$62:$I$77)))*$B$520+(SUMPRODUCT((Quesería!$C$62:$C$77=1)*(Quesería!$J$62:$J$77&gt;0)*(L$43&gt;=2)*(L$43&lt;=Quesería!$J$62:$J$77+1)*(Quesería!$H$62:$H$77&gt;0)*Quesería!$F$62:$F$77*(1+Quesería!$I$62:$I$77)/(Quesería!$J$62:$J$77+(Quesería!$J$62:$J$77=0)))+SUMPRODUCT((Quesería!$C$62:$C$77=1)*(Quesería!$J$62:$J$77=0)*(L$43=1)*(Quesería!$H$62:$H$77&gt;0)*Quesería!$F$62:$F$77*(1+Quesería!$I$62:$I$77)))*$C$520*$M$21,IF(AND(L$43&gt;=1,L$43&lt;=Quesería!$B$11),Quesería!$F$80/Quesería!$B$11,0)*$B$520+IF(AND(L$43&gt;=2,L$43&lt;=Quesería!$B$11+1),Quesería!$F$81/Quesería!$B$11,0)*$C$520*$M$21)*$M$11+IF(AND(L$43&gt;=6,L$43&lt;=10),$G524*$G520/5,0)+IF(AND(L$43&gt;=7,L$43&lt;=11),$H524*$H520/5,0))*L522</f>
        <v>89.8230636262273</v>
      </c>
    </row>
    <row r="533" customFormat="false" ht="15" hidden="false" customHeight="false" outlineLevel="0" collapsed="false">
      <c r="A533" s="9" t="s">
        <v>292</v>
      </c>
      <c r="B533" s="36" t="n">
        <f aca="false">IF(B$43=1,MIN($M$7*Quesería!$B$35*Quesería!$F$75*$M$11*$M$21,Quesería!$B$50*Quesería!$B$51),0)</f>
        <v>0</v>
      </c>
      <c r="C533" s="36" t="n">
        <f aca="false">IF(C$43=1,MIN($M$7*Quesería!$B$35*Quesería!$F$75*$M$11*$M$21,Quesería!$B$50*Quesería!$B$51),0)</f>
        <v>20</v>
      </c>
      <c r="D533" s="36" t="n">
        <f aca="false">IF(D$43=1,MIN($M$7*Quesería!$B$35*Quesería!$F$75*$M$11*$M$21,Quesería!$B$50*Quesería!$B$51),0)</f>
        <v>0</v>
      </c>
      <c r="E533" s="36" t="n">
        <f aca="false">IF(E$43=1,MIN($M$7*Quesería!$B$35*Quesería!$F$75*$M$11*$M$21,Quesería!$B$50*Quesería!$B$51),0)</f>
        <v>0</v>
      </c>
      <c r="F533" s="36" t="n">
        <f aca="false">IF(F$43=1,MIN($M$7*Quesería!$B$35*Quesería!$F$75*$M$11*$M$21,Quesería!$B$50*Quesería!$B$51),0)</f>
        <v>0</v>
      </c>
      <c r="G533" s="36" t="n">
        <f aca="false">IF(G$43=1,MIN($M$7*Quesería!$B$35*Quesería!$F$75*$M$11*$M$21,Quesería!$B$50*Quesería!$B$51),0)</f>
        <v>0</v>
      </c>
      <c r="H533" s="36" t="n">
        <f aca="false">IF(H$43=1,MIN($M$7*Quesería!$B$35*Quesería!$F$75*$M$11*$M$21,Quesería!$B$50*Quesería!$B$51),0)</f>
        <v>0</v>
      </c>
      <c r="I533" s="36" t="n">
        <f aca="false">IF(I$43=1,MIN($M$7*Quesería!$B$35*Quesería!$F$75*$M$11*$M$21,Quesería!$B$50*Quesería!$B$51),0)</f>
        <v>0</v>
      </c>
      <c r="J533" s="36" t="n">
        <f aca="false">IF(J$43=1,MIN($M$7*Quesería!$B$35*Quesería!$F$75*$M$11*$M$21,Quesería!$B$50*Quesería!$B$51),0)</f>
        <v>0</v>
      </c>
      <c r="K533" s="36" t="n">
        <f aca="false">IF(K$43=1,MIN($M$7*Quesería!$B$35*Quesería!$F$75*$M$11*$M$21,Quesería!$B$50*Quesería!$B$51),0)</f>
        <v>0</v>
      </c>
      <c r="L533" s="36" t="n">
        <f aca="false">IF(L$43=1,MIN($M$7*Quesería!$B$35*Quesería!$F$75*$M$11*$M$21,Quesería!$B$50*Quesería!$B$51),0)</f>
        <v>0</v>
      </c>
    </row>
    <row r="534" customFormat="false" ht="15" hidden="false" customHeight="false" outlineLevel="0" collapsed="false">
      <c r="A534" s="9" t="s">
        <v>293</v>
      </c>
      <c r="B534" s="36" t="n">
        <v>0</v>
      </c>
      <c r="C534" s="36" t="n">
        <f aca="false">$M$20*Quesería!$B$52*Quesería!$F$86*$M$11*$B$520/C520</f>
        <v>167.678349621245</v>
      </c>
      <c r="D534" s="36" t="n">
        <v>0</v>
      </c>
      <c r="E534" s="36" t="n">
        <v>0</v>
      </c>
      <c r="F534" s="36" t="n">
        <v>0</v>
      </c>
      <c r="G534" s="36" t="n">
        <v>0</v>
      </c>
      <c r="H534" s="36" t="n">
        <v>0</v>
      </c>
      <c r="I534" s="36" t="n">
        <v>0</v>
      </c>
      <c r="J534" s="36" t="n">
        <v>0</v>
      </c>
      <c r="K534" s="36" t="n">
        <v>0</v>
      </c>
      <c r="L534" s="36" t="n">
        <v>0</v>
      </c>
    </row>
    <row r="535" customFormat="false" ht="15" hidden="false" customHeight="false" outlineLevel="0" collapsed="false">
      <c r="A535" s="9" t="s">
        <v>294</v>
      </c>
      <c r="B535" s="36" t="n">
        <f aca="false">0</f>
        <v>0</v>
      </c>
      <c r="C535" s="36" t="n">
        <f aca="false">B525*B520/C520</f>
        <v>95.0697373091799</v>
      </c>
      <c r="D535" s="36" t="n">
        <f aca="false">C525*C520/D520</f>
        <v>118.226920761753</v>
      </c>
      <c r="E535" s="36" t="n">
        <f aca="false">D525*D520/E520</f>
        <v>0</v>
      </c>
      <c r="F535" s="36" t="n">
        <f aca="false">E525*E520/F520</f>
        <v>0</v>
      </c>
      <c r="G535" s="36" t="n">
        <f aca="false">F525*F520/G520</f>
        <v>0</v>
      </c>
      <c r="H535" s="36" t="n">
        <f aca="false">G525*G520/H520</f>
        <v>4.90006447453256</v>
      </c>
      <c r="I535" s="36" t="n">
        <f aca="false">H525*H520/I520</f>
        <v>6.48729698333333</v>
      </c>
      <c r="J535" s="36" t="n">
        <f aca="false">I525*I520/J520</f>
        <v>0</v>
      </c>
      <c r="K535" s="36" t="n">
        <f aca="false">J525*J520/K520</f>
        <v>0</v>
      </c>
      <c r="L535" s="36" t="n">
        <f aca="false">K525*K520/L520</f>
        <v>0</v>
      </c>
    </row>
    <row r="536" customFormat="false" ht="15" hidden="false" customHeight="false" outlineLevel="0" collapsed="false">
      <c r="A536" s="6" t="s">
        <v>86</v>
      </c>
      <c r="B536" s="35" t="n">
        <f aca="false">$M$17*(B528-B529-B530-0.5*B531-B532)-B533-B534-B535</f>
        <v>-19.3080576189439</v>
      </c>
      <c r="C536" s="35" t="n">
        <f aca="false">$M$17*(C528-C529-C530-0.5*C531-C532)-C533-C534-C535</f>
        <v>-274.7933796603</v>
      </c>
      <c r="D536" s="35" t="n">
        <f aca="false">$M$17*(D528-D529-D530-0.5*D531-D532)-D533-D534-D535</f>
        <v>-57.2064318808618</v>
      </c>
      <c r="E536" s="35" t="n">
        <f aca="false">$M$17*(E528-E529-E530-0.5*E531-E532)-E533-E534-E535</f>
        <v>75.2060083097689</v>
      </c>
      <c r="F536" s="35" t="n">
        <f aca="false">$M$17*(F528-F529-F530-0.5*F531-F532)-F533-F534-F535</f>
        <v>76.6882274602316</v>
      </c>
      <c r="G536" s="35" t="n">
        <f aca="false">$M$17*(G528-G529-G530-0.5*G531-G532)-G533-G534-G535</f>
        <v>78.1060805605311</v>
      </c>
      <c r="H536" s="35" t="n">
        <f aca="false">$M$17*(H528-H529-H530-0.5*H531-H532)-H533-H534-H535</f>
        <v>77.1252552762629</v>
      </c>
      <c r="I536" s="35" t="n">
        <f aca="false">$M$17*(I528-I529-I530-0.5*I531-I532)-I533-I534-I535</f>
        <v>74.4542499728985</v>
      </c>
      <c r="J536" s="35" t="n">
        <f aca="false">$M$17*(J528-J529-J530-0.5*J531-J532)-J533-J534-J535</f>
        <v>82.2617108085685</v>
      </c>
      <c r="K536" s="35" t="n">
        <f aca="false">$M$17*(K528-K529-K530-0.5*K531-K532)-K533-K534-K535</f>
        <v>83.5451833520201</v>
      </c>
      <c r="L536" s="35" t="n">
        <f aca="false">$M$17*(L528-L529-L530-0.5*L531-L532)-L533-L534-L535</f>
        <v>84.7932046623022</v>
      </c>
    </row>
    <row r="537" customFormat="false" ht="15" hidden="false" customHeight="false" outlineLevel="0" collapsed="false">
      <c r="A537" s="9" t="s">
        <v>295</v>
      </c>
      <c r="B537" s="36" t="n">
        <f aca="false">(IF(B$43&gt;=1,Quesería!$G$107*IF(B$43=1,Quesería!$B$12,1),Quesería!$G$107*Quesería!$B$12*Quesería!$B$13/12*$M$23)+IF(B$43&gt;=2,Quesería!$G$108*$M$21*IF(B$43=2,Quesería!$B$12,1),0))*$M$10</f>
        <v>26.8516916045565</v>
      </c>
      <c r="C537" s="36" t="n">
        <f aca="false">(IF(C$43&gt;=1,Quesería!$G$107*IF(C$43=1,Quesería!$B$12,1),Quesería!$G$107*Quesería!$B$12*Quesería!$B$13/12*$M$23)+IF(C$43&gt;=2,Quesería!$G$108*$M$21*IF(C$43=2,Quesería!$B$12,1),0))*$M$10</f>
        <v>80.5550748136695</v>
      </c>
      <c r="D537" s="36" t="n">
        <f aca="false">(IF(D$43&gt;=1,Quesería!$G$107*IF(D$43=1,Quesería!$B$12,1),Quesería!$G$107*Quesería!$B$12*Quesería!$B$13/12*$M$23)+IF(D$43&gt;=2,Quesería!$G$108*$M$21*IF(D$43=2,Quesería!$B$12,1),0))*$M$10</f>
        <v>189.651223070959</v>
      </c>
      <c r="E537" s="36" t="n">
        <f aca="false">(IF(E$43&gt;=1,Quesería!$G$107*IF(E$43=1,Quesería!$B$12,1),Quesería!$G$107*Quesería!$B$12*Quesería!$B$13/12*$M$23)+IF(E$43&gt;=2,Quesería!$G$108*$M$21*IF(E$43=2,Quesería!$B$12,1),0))*$M$10</f>
        <v>217.066041955203</v>
      </c>
      <c r="F537" s="36" t="n">
        <f aca="false">(IF(F$43&gt;=1,Quesería!$G$107*IF(F$43=1,Quesería!$B$12,1),Quesería!$G$107*Quesería!$B$12*Quesería!$B$13/12*$M$23)+IF(F$43&gt;=2,Quesería!$G$108*$M$21*IF(F$43=2,Quesería!$B$12,1),0))*$M$10</f>
        <v>217.066041955203</v>
      </c>
      <c r="G537" s="36" t="n">
        <f aca="false">(IF(G$43&gt;=1,Quesería!$G$107*IF(G$43=1,Quesería!$B$12,1),Quesería!$G$107*Quesería!$B$12*Quesería!$B$13/12*$M$23)+IF(G$43&gt;=2,Quesería!$G$108*$M$21*IF(G$43=2,Quesería!$B$12,1),0))*$M$10</f>
        <v>217.066041955203</v>
      </c>
      <c r="H537" s="36" t="n">
        <f aca="false">(IF(H$43&gt;=1,Quesería!$G$107*IF(H$43=1,Quesería!$B$12,1),Quesería!$G$107*Quesería!$B$12*Quesería!$B$13/12*$M$23)+IF(H$43&gt;=2,Quesería!$G$108*$M$21*IF(H$43=2,Quesería!$B$12,1),0))*$M$10</f>
        <v>217.066041955203</v>
      </c>
      <c r="I537" s="36" t="n">
        <f aca="false">(IF(I$43&gt;=1,Quesería!$G$107*IF(I$43=1,Quesería!$B$12,1),Quesería!$G$107*Quesería!$B$12*Quesería!$B$13/12*$M$23)+IF(I$43&gt;=2,Quesería!$G$108*$M$21*IF(I$43=2,Quesería!$B$12,1),0))*$M$10</f>
        <v>217.066041955203</v>
      </c>
      <c r="J537" s="36" t="n">
        <f aca="false">(IF(J$43&gt;=1,Quesería!$G$107*IF(J$43=1,Quesería!$B$12,1),Quesería!$G$107*Quesería!$B$12*Quesería!$B$13/12*$M$23)+IF(J$43&gt;=2,Quesería!$G$108*$M$21*IF(J$43=2,Quesería!$B$12,1),0))*$M$10</f>
        <v>217.066041955203</v>
      </c>
      <c r="K537" s="36" t="n">
        <f aca="false">(IF(K$43&gt;=1,Quesería!$G$107*IF(K$43=1,Quesería!$B$12,1),Quesería!$G$107*Quesería!$B$12*Quesería!$B$13/12*$M$23)+IF(K$43&gt;=2,Quesería!$G$108*$M$21*IF(K$43=2,Quesería!$B$12,1),0))*$M$10</f>
        <v>217.066041955203</v>
      </c>
      <c r="L537" s="36" t="n">
        <f aca="false">(IF(L$43&gt;=1,Quesería!$G$107*IF(L$43=1,Quesería!$B$12,1),Quesería!$G$107*Quesería!$B$12*Quesería!$B$13/12*$M$23)+IF(L$43&gt;=2,Quesería!$G$108*$M$21*IF(L$43=2,Quesería!$B$12,1),0))*$M$10</f>
        <v>217.066041955203</v>
      </c>
    </row>
    <row r="538" customFormat="false" ht="15" hidden="false" customHeight="false" outlineLevel="0" collapsed="false">
      <c r="A538" s="6" t="s">
        <v>296</v>
      </c>
      <c r="B538" s="35" t="n">
        <f aca="false">(B537*(Quesería!$B$23+Quesería!$B$25*Quesería!$B$24)/365-B529*Quesería!$B$26/365)</f>
        <v>2.50861009237089</v>
      </c>
      <c r="C538" s="35" t="n">
        <f aca="false">(C537*(Quesería!$B$23+Quesería!$B$25*Quesería!$B$24)/365-C529*Quesería!$B$26/365)-(B537*(Quesería!$B$23+Quesería!$B$25*Quesería!$B$24)/365-B529*Quesería!$B$26/365)*B520/C520</f>
        <v>2.9016098457164</v>
      </c>
      <c r="D538" s="35" t="n">
        <f aca="false">(D537*(Quesería!$B$23+Quesería!$B$25*Quesería!$B$24)/365-D529*Quesería!$B$26/365)-(C537*(Quesería!$B$23+Quesería!$B$25*Quesería!$B$24)/365-C529*Quesería!$B$26/365)*C520/D520</f>
        <v>7.25236754109596</v>
      </c>
      <c r="E538" s="35" t="n">
        <f aca="false">(E537*(Quesería!$B$23+Quesería!$B$25*Quesería!$B$24)/365-E529*Quesería!$B$26/365)-(D537*(Quesería!$B$23+Quesería!$B$25*Quesería!$B$24)/365-D529*Quesería!$B$26/365)*D520/E520</f>
        <v>2.96781862624426</v>
      </c>
      <c r="F538" s="35" t="n">
        <f aca="false">(F537*(Quesería!$B$23+Quesería!$B$25*Quesería!$B$24)/365-F529*Quesería!$B$26/365)-(E537*(Quesería!$B$23+Quesería!$B$25*Quesería!$B$24)/365-E529*Quesería!$B$26/365)*E520/F520</f>
        <v>0.490816628542207</v>
      </c>
      <c r="G538" s="35" t="n">
        <f aca="false">(G537*(Quesería!$B$23+Quesería!$B$25*Quesería!$B$24)/365-G529*Quesería!$B$26/365)-(F537*(Quesería!$B$23+Quesería!$B$25*Quesería!$B$24)/365-F529*Quesería!$B$26/365)*F520/G520</f>
        <v>0.490816628542204</v>
      </c>
      <c r="H538" s="35" t="n">
        <f aca="false">(H537*(Quesería!$B$23+Quesería!$B$25*Quesería!$B$24)/365-H529*Quesería!$B$26/365)-(G537*(Quesería!$B$23+Quesería!$B$25*Quesería!$B$24)/365-G529*Quesería!$B$26/365)*G520/H520</f>
        <v>0.490816628542206</v>
      </c>
      <c r="I538" s="35" t="n">
        <f aca="false">(I537*(Quesería!$B$23+Quesería!$B$25*Quesería!$B$24)/365-I529*Quesería!$B$26/365)-(H537*(Quesería!$B$23+Quesería!$B$25*Quesería!$B$24)/365-H529*Quesería!$B$26/365)*H520/I520</f>
        <v>0.490816628542207</v>
      </c>
      <c r="J538" s="35" t="n">
        <f aca="false">(J537*(Quesería!$B$23+Quesería!$B$25*Quesería!$B$24)/365-J529*Quesería!$B$26/365)-(I537*(Quesería!$B$23+Quesería!$B$25*Quesería!$B$24)/365-I529*Quesería!$B$26/365)*I520/J520</f>
        <v>0.490816628542206</v>
      </c>
      <c r="K538" s="35" t="n">
        <f aca="false">(K537*(Quesería!$B$23+Quesería!$B$25*Quesería!$B$24)/365-K529*Quesería!$B$26/365)-(J537*(Quesería!$B$23+Quesería!$B$25*Quesería!$B$24)/365-J529*Quesería!$B$26/365)*J520/K520</f>
        <v>0.490816628542204</v>
      </c>
      <c r="L538" s="35" t="n">
        <f aca="false">-(K537*(Quesería!$B$23+Quesería!$B$25*Quesería!$B$24)/365-K529*Quesería!$B$26/365)*K520/L520</f>
        <v>-14.4357831924178</v>
      </c>
    </row>
    <row r="539" customFormat="false" ht="15" hidden="false" customHeight="false" outlineLevel="0" collapsed="false">
      <c r="A539" s="6" t="s">
        <v>297</v>
      </c>
      <c r="B539" s="35" t="n">
        <v>0</v>
      </c>
      <c r="C539" s="35" t="n">
        <v>0</v>
      </c>
      <c r="D539" s="35" t="n">
        <v>0</v>
      </c>
      <c r="E539" s="35" t="n">
        <v>0</v>
      </c>
      <c r="F539" s="35" t="n">
        <v>0</v>
      </c>
      <c r="G539" s="35" t="n">
        <v>0</v>
      </c>
      <c r="H539" s="35" t="n">
        <v>0</v>
      </c>
      <c r="I539" s="35" t="n">
        <v>0</v>
      </c>
      <c r="J539" s="35" t="n">
        <v>0</v>
      </c>
      <c r="K539" s="35" t="n">
        <v>0</v>
      </c>
      <c r="L539" s="35" t="n">
        <f aca="false">$M$8*Quesería!$B$39*(Quesería!$F$82+Quesería!$F$83*$M$21)*$M$11*(1-$M$17)</f>
        <v>56.0502928201667</v>
      </c>
    </row>
    <row r="540" customFormat="false" ht="15" hidden="false" customHeight="false" outlineLevel="0" collapsed="false">
      <c r="A540" s="5" t="s">
        <v>298</v>
      </c>
      <c r="B540" s="37" t="n">
        <f aca="false">B528-B529-B530-B531-B536-B523-B524-B525-B538+B539</f>
        <v>-662.041045072899</v>
      </c>
      <c r="C540" s="37" t="n">
        <f aca="false">C528-C529-C530-C531-C536-C523-C524-C525-C538+C539</f>
        <v>-417.525268952041</v>
      </c>
      <c r="D540" s="37" t="n">
        <f aca="false">D528-D529-D530-D531-D536-D523-D524-D525-D538+D539</f>
        <v>341.67155950093</v>
      </c>
      <c r="E540" s="37" t="n">
        <f aca="false">E528-E529-E530-E531-E536-E523-E524-E525-E538+E539</f>
        <v>250.208415183394</v>
      </c>
      <c r="F540" s="37" t="n">
        <f aca="false">F528-F529-F530-F531-F536-F523-F524-F525-F538+F539</f>
        <v>251.699900456954</v>
      </c>
      <c r="G540" s="37" t="n">
        <f aca="false">G528-G529-G530-G531-G536-G523-G524-G525-G538+G539</f>
        <v>218.920966628441</v>
      </c>
      <c r="H540" s="37" t="n">
        <f aca="false">H528-H529-H530-H531-H536-H523-H524-H525-H538+H539</f>
        <v>210.083272637539</v>
      </c>
      <c r="I540" s="37" t="n">
        <f aca="false">I528-I529-I530-I531-I536-I523-I524-I525-I538+I539</f>
        <v>255.438936028372</v>
      </c>
      <c r="J540" s="37" t="n">
        <f aca="false">J528-J529-J530-J531-J536-J523-J524-J525-J538+J539</f>
        <v>248.138186421576</v>
      </c>
      <c r="K540" s="37" t="n">
        <f aca="false">K528-K529-K530-K531-K536-K523-K524-K525-K538+K539</f>
        <v>247.363958663142</v>
      </c>
      <c r="L540" s="37" t="n">
        <f aca="false">L528-L529-L530-L531-L536-L523-L524-L525-L538+L539</f>
        <v>317.60462100293</v>
      </c>
    </row>
    <row r="541" customFormat="false" ht="15" hidden="false" customHeight="false" outlineLevel="0" collapsed="false">
      <c r="A541" s="9" t="s">
        <v>299</v>
      </c>
      <c r="B541" s="36" t="n">
        <f aca="false">B540*B520</f>
        <v>-701.1014667322</v>
      </c>
      <c r="C541" s="36" t="n">
        <f aca="false">C540*C520</f>
        <v>-462.05642651212</v>
      </c>
      <c r="D541" s="36" t="n">
        <f aca="false">D540*D520</f>
        <v>392.102703647644</v>
      </c>
      <c r="E541" s="36" t="n">
        <f aca="false">E540*E520</f>
        <v>296.902228805098</v>
      </c>
      <c r="F541" s="36" t="n">
        <f aca="false">F540*F520</f>
        <v>308.82690443432</v>
      </c>
      <c r="G541" s="36" t="n">
        <f aca="false">G540*G520</f>
        <v>277.740990694328</v>
      </c>
      <c r="H541" s="36" t="n">
        <f aca="false">H540*H520</f>
        <v>275.590749634579</v>
      </c>
      <c r="I541" s="36" t="n">
        <f aca="false">I540*I520</f>
        <v>346.482095501939</v>
      </c>
      <c r="J541" s="36" t="n">
        <f aca="false">J540*J520</f>
        <v>348.022917363341</v>
      </c>
      <c r="K541" s="36" t="n">
        <f aca="false">K540*K520</f>
        <v>358.732893677925</v>
      </c>
      <c r="L541" s="36" t="n">
        <f aca="false">L540*L520</f>
        <v>476.257830832099</v>
      </c>
    </row>
    <row r="542" customFormat="false" ht="15" hidden="false" customHeight="false" outlineLevel="0" collapsed="false">
      <c r="A542" s="6" t="s">
        <v>300</v>
      </c>
      <c r="B542" s="35" t="n">
        <f aca="false">B540</f>
        <v>-662.041045072899</v>
      </c>
      <c r="C542" s="35" t="n">
        <f aca="false">B542+C540</f>
        <v>-1079.56631402494</v>
      </c>
      <c r="D542" s="35" t="n">
        <f aca="false">C542+D540</f>
        <v>-737.894754524009</v>
      </c>
      <c r="E542" s="35" t="n">
        <f aca="false">D542+E540</f>
        <v>-487.686339340615</v>
      </c>
      <c r="F542" s="35" t="n">
        <f aca="false">E542+F540</f>
        <v>-235.986438883661</v>
      </c>
      <c r="G542" s="35" t="n">
        <f aca="false">F542+G540</f>
        <v>-17.0654722552196</v>
      </c>
      <c r="H542" s="35" t="n">
        <f aca="false">G542+H540</f>
        <v>193.017800382319</v>
      </c>
      <c r="I542" s="35" t="n">
        <f aca="false">H542+I540</f>
        <v>448.456736410691</v>
      </c>
      <c r="J542" s="35" t="n">
        <f aca="false">I542+J540</f>
        <v>696.594922832267</v>
      </c>
      <c r="K542" s="35" t="n">
        <f aca="false">J542+K540</f>
        <v>943.958881495409</v>
      </c>
      <c r="L542" s="35" t="n">
        <f aca="false">K542+L540</f>
        <v>1261.56350249834</v>
      </c>
    </row>
    <row r="543" customFormat="false" ht="15" hidden="false" customHeight="false" outlineLevel="0" collapsed="false">
      <c r="A543" s="9" t="s">
        <v>301</v>
      </c>
      <c r="B543" s="38" t="n">
        <v>0</v>
      </c>
      <c r="C543" s="38" t="n">
        <f aca="false">IF(AND(B542&lt;0,C542&gt;=0),B$43+(-B542)/C540,0)</f>
        <v>0</v>
      </c>
      <c r="D543" s="38" t="n">
        <f aca="false">IF(AND(C542&lt;0,D542&gt;=0),C$43+(-C542)/D540,0)</f>
        <v>0</v>
      </c>
      <c r="E543" s="38" t="n">
        <f aca="false">IF(AND(D542&lt;0,E542&gt;=0),D$43+(-D542)/E540,0)</f>
        <v>0</v>
      </c>
      <c r="F543" s="38" t="n">
        <f aca="false">IF(AND(E542&lt;0,F542&gt;=0),E$43+(-E542)/F540,0)</f>
        <v>0</v>
      </c>
      <c r="G543" s="38" t="n">
        <f aca="false">IF(AND(F542&lt;0,G542&gt;=0),F$43+(-F542)/G540,0)</f>
        <v>0</v>
      </c>
      <c r="H543" s="38" t="n">
        <f aca="false">IF(AND(G542&lt;0,H542&gt;=0),G$43+(-G542)/H540,0)</f>
        <v>5.08123194217687</v>
      </c>
      <c r="I543" s="38" t="n">
        <f aca="false">IF(AND(H542&lt;0,I542&gt;=0),H$43+(-H542)/I540,0)</f>
        <v>0</v>
      </c>
      <c r="J543" s="38" t="n">
        <f aca="false">IF(AND(I542&lt;0,J542&gt;=0),I$43+(-I542)/J540,0)</f>
        <v>0</v>
      </c>
      <c r="K543" s="38" t="n">
        <f aca="false">IF(AND(J542&lt;0,K542&gt;=0),J$43+(-J542)/K540,0)</f>
        <v>0</v>
      </c>
      <c r="L543" s="38" t="n">
        <f aca="false">IF(AND(K542&lt;0,L542&gt;=0),K$43+(-K542)/L540,0)</f>
        <v>0</v>
      </c>
    </row>
    <row r="544" customFormat="false" ht="15" hidden="false" customHeight="false" outlineLevel="0" collapsed="false">
      <c r="A544" s="9" t="s">
        <v>302</v>
      </c>
      <c r="B544" s="34" t="n">
        <f aca="false">(B520/$B$520)/(1+$M$25)^B$43</f>
        <v>1</v>
      </c>
      <c r="C544" s="34" t="n">
        <f aca="false">(C520/$B$520)/(1+$M$25)^C$43</f>
        <v>0.920791763795399</v>
      </c>
      <c r="D544" s="34" t="n">
        <f aca="false">(D520/$B$520)/(1+$M$25)^D$43</f>
        <v>0.841366697366085</v>
      </c>
      <c r="E544" s="34" t="n">
        <f aca="false">(E520/$B$520)/(1+$M$25)^E$43</f>
        <v>0.766568540789938</v>
      </c>
      <c r="F544" s="34" t="n">
        <f aca="false">(F520/$B$520)/(1+$M$25)^F$43</f>
        <v>0.698419998757253</v>
      </c>
      <c r="G544" s="34" t="n">
        <f aca="false">(G520/$B$520)/(1+$M$25)^G$43</f>
        <v>0.63632991534119</v>
      </c>
      <c r="H544" s="34" t="n">
        <f aca="false">(H520/$B$520)/(1+$M$25)^H$43</f>
        <v>0.579759688838551</v>
      </c>
      <c r="I544" s="34" t="n">
        <f aca="false">(I520/$B$520)/(1+$M$25)^I$43</f>
        <v>0.528218599658246</v>
      </c>
      <c r="J544" s="34" t="n">
        <f aca="false">(J520/$B$520)/(1+$M$25)^J$43</f>
        <v>0.481259553564127</v>
      </c>
      <c r="K544" s="34" t="n">
        <f aca="false">(K520/$B$520)/(1+$M$25)^K$43</f>
        <v>0.43847520334686</v>
      </c>
      <c r="L544" s="34" t="n">
        <f aca="false">(L520/$B$520)/(1+$M$25)^L$43</f>
        <v>0.399494415282193</v>
      </c>
    </row>
    <row r="545" customFormat="false" ht="15" hidden="false" customHeight="false" outlineLevel="0" collapsed="false">
      <c r="A545" s="9" t="s">
        <v>303</v>
      </c>
      <c r="B545" s="36" t="n">
        <f aca="false">B540*B544</f>
        <v>-662.041045072899</v>
      </c>
      <c r="C545" s="36" t="n">
        <f aca="false">C540*C544</f>
        <v>-384.453828827498</v>
      </c>
      <c r="D545" s="36" t="n">
        <f aca="false">D540*D544</f>
        <v>287.471071601217</v>
      </c>
      <c r="E545" s="36" t="n">
        <f aca="false">E540*E544</f>
        <v>191.801899720497</v>
      </c>
      <c r="F545" s="36" t="n">
        <f aca="false">F540*F544</f>
        <v>175.792244164347</v>
      </c>
      <c r="G545" s="36" t="n">
        <f aca="false">G540*G544</f>
        <v>139.305960161088</v>
      </c>
      <c r="H545" s="36" t="n">
        <f aca="false">H540*H544</f>
        <v>121.797812774524</v>
      </c>
      <c r="I545" s="36" t="n">
        <f aca="false">I540*I544</f>
        <v>134.927597087099</v>
      </c>
      <c r="J545" s="36" t="n">
        <f aca="false">J540*J544</f>
        <v>119.41887281946</v>
      </c>
      <c r="K545" s="36" t="n">
        <f aca="false">K540*K544</f>
        <v>108.462962075505</v>
      </c>
      <c r="L545" s="36" t="n">
        <f aca="false">L540*L544</f>
        <v>126.881272358488</v>
      </c>
    </row>
    <row r="546" customFormat="false" ht="15" hidden="false" customHeight="false" outlineLevel="0" collapsed="false">
      <c r="A546" s="9" t="s">
        <v>304</v>
      </c>
      <c r="B546" s="36" t="n">
        <f aca="false">B545</f>
        <v>-662.041045072899</v>
      </c>
      <c r="C546" s="36" t="n">
        <f aca="false">B546+C545</f>
        <v>-1046.4948739004</v>
      </c>
      <c r="D546" s="36" t="n">
        <f aca="false">C546+D545</f>
        <v>-759.023802299179</v>
      </c>
      <c r="E546" s="36" t="n">
        <f aca="false">D546+E545</f>
        <v>-567.221902578682</v>
      </c>
      <c r="F546" s="36" t="n">
        <f aca="false">E546+F545</f>
        <v>-391.429658414335</v>
      </c>
      <c r="G546" s="36" t="n">
        <f aca="false">F546+G545</f>
        <v>-252.123698253248</v>
      </c>
      <c r="H546" s="36" t="n">
        <f aca="false">G546+H545</f>
        <v>-130.325885478724</v>
      </c>
      <c r="I546" s="36" t="n">
        <f aca="false">H546+I545</f>
        <v>4.60171160837501</v>
      </c>
      <c r="J546" s="36" t="n">
        <f aca="false">I546+J545</f>
        <v>124.020584427835</v>
      </c>
      <c r="K546" s="36" t="n">
        <f aca="false">J546+K545</f>
        <v>232.48354650334</v>
      </c>
      <c r="L546" s="36" t="n">
        <f aca="false">K546+L545</f>
        <v>359.364818861828</v>
      </c>
    </row>
    <row r="547" customFormat="false" ht="15" hidden="false" customHeight="false" outlineLevel="0" collapsed="false">
      <c r="A547" s="9" t="s">
        <v>305</v>
      </c>
      <c r="B547" s="38" t="n">
        <v>0</v>
      </c>
      <c r="C547" s="38" t="n">
        <f aca="false">IF(AND(B546&lt;0,C546&gt;=0),B$43+(-B546)/C545,0)</f>
        <v>0</v>
      </c>
      <c r="D547" s="38" t="n">
        <f aca="false">IF(AND(C546&lt;0,D546&gt;=0),C$43+(-C546)/D545,0)</f>
        <v>0</v>
      </c>
      <c r="E547" s="38" t="n">
        <f aca="false">IF(AND(D546&lt;0,E546&gt;=0),D$43+(-D546)/E545,0)</f>
        <v>0</v>
      </c>
      <c r="F547" s="38" t="n">
        <f aca="false">IF(AND(E546&lt;0,F546&gt;=0),E$43+(-E546)/F545,0)</f>
        <v>0</v>
      </c>
      <c r="G547" s="38" t="n">
        <f aca="false">IF(AND(F546&lt;0,G546&gt;=0),F$43+(-F546)/G545,0)</f>
        <v>0</v>
      </c>
      <c r="H547" s="38" t="n">
        <f aca="false">IF(AND(G546&lt;0,H546&gt;=0),G$43+(-G546)/H545,0)</f>
        <v>0</v>
      </c>
      <c r="I547" s="38" t="n">
        <f aca="false">IF(AND(H546&lt;0,I546&gt;=0),H$43+(-H546)/I545,0)</f>
        <v>6.96589495620081</v>
      </c>
      <c r="J547" s="38" t="n">
        <f aca="false">IF(AND(I546&lt;0,J546&gt;=0),I$43+(-I546)/J545,0)</f>
        <v>0</v>
      </c>
      <c r="K547" s="38" t="n">
        <f aca="false">IF(AND(J546&lt;0,K546&gt;=0),J$43+(-J546)/K545,0)</f>
        <v>0</v>
      </c>
      <c r="L547" s="38" t="n">
        <f aca="false">IF(AND(K546&lt;0,L546&gt;=0),K$43+(-K546)/L545,0)</f>
        <v>0</v>
      </c>
    </row>
    <row r="548" customFormat="false" ht="15" hidden="false" customHeight="false" outlineLevel="0" collapsed="false">
      <c r="A548" s="9" t="s">
        <v>306</v>
      </c>
      <c r="B548" s="36" t="n">
        <f aca="false">IF(B$43&lt;0,0,(Quesería!$B$40*$B$523*$B$520)*(1-MAX(0,MIN(B$43-0-Quesería!$B$43,(Quesería!$B$42-Quesería!$B$43)))/(Quesería!$B$42-Quesería!$B$43)))+IF(B$43&lt;1,0,(Quesería!$B$40*$C$523*$C$520)*(1-MAX(0,MIN(B$43-1-Quesería!$B$43,(Quesería!$B$42-Quesería!$B$43)))/(Quesería!$B$42-Quesería!$B$43)))</f>
        <v>461.269198710196</v>
      </c>
      <c r="C548" s="36" t="n">
        <f aca="false">IF(C$43&lt;0,0,(Quesería!$B$40*$B$523*$B$520)*(1-MAX(0,MIN(C$43-0-Quesería!$B$43,(Quesería!$B$42-Quesería!$B$43)))/(Quesería!$B$42-Quesería!$B$43)))+IF(C$43&lt;1,0,(Quesería!$B$40*$C$523*$C$520)*(1-MAX(0,MIN(C$43-1-Quesería!$B$43,(Quesería!$B$42-Quesería!$B$43)))/(Quesería!$B$42-Quesería!$B$43)))</f>
        <v>961.133157623378</v>
      </c>
      <c r="D548" s="36" t="n">
        <f aca="false">IF(D$43&lt;0,0,(Quesería!$B$40*$B$523*$B$520)*(1-MAX(0,MIN(D$43-0-Quesería!$B$43,(Quesería!$B$42-Quesería!$B$43)))/(Quesería!$B$42-Quesería!$B$43)))+IF(D$43&lt;1,0,(Quesería!$B$40*$C$523*$C$520)*(1-MAX(0,MIN(D$43-1-Quesería!$B$43,(Quesería!$B$42-Quesería!$B$43)))/(Quesería!$B$42-Quesería!$B$43)))</f>
        <v>884.254957838345</v>
      </c>
      <c r="E548" s="36" t="n">
        <f aca="false">IF(E$43&lt;0,0,(Quesería!$B$40*$B$523*$B$520)*(1-MAX(0,MIN(E$43-0-Quesería!$B$43,(Quesería!$B$42-Quesería!$B$43)))/(Quesería!$B$42-Quesería!$B$43)))+IF(E$43&lt;1,0,(Quesería!$B$40*$C$523*$C$520)*(1-MAX(0,MIN(E$43-1-Quesería!$B$43,(Quesería!$B$42-Quesería!$B$43)))/(Quesería!$B$42-Quesería!$B$43)))</f>
        <v>724.066098234449</v>
      </c>
      <c r="F548" s="36" t="n">
        <f aca="false">IF(F$43&lt;0,0,(Quesería!$B$40*$B$523*$B$520)*(1-MAX(0,MIN(F$43-0-Quesería!$B$43,(Quesería!$B$42-Quesería!$B$43)))/(Quesería!$B$42-Quesería!$B$43)))+IF(F$43&lt;1,0,(Quesería!$B$40*$C$523*$C$520)*(1-MAX(0,MIN(F$43-1-Quesería!$B$43,(Quesería!$B$42-Quesería!$B$43)))/(Quesería!$B$42-Quesería!$B$43)))</f>
        <v>563.877238630553</v>
      </c>
      <c r="G548" s="36" t="n">
        <f aca="false">IF(G$43&lt;0,0,(Quesería!$B$40*$B$523*$B$520)*(1-MAX(0,MIN(G$43-0-Quesería!$B$43,(Quesería!$B$42-Quesería!$B$43)))/(Quesería!$B$42-Quesería!$B$43)))+IF(G$43&lt;1,0,(Quesería!$B$40*$C$523*$C$520)*(1-MAX(0,MIN(G$43-1-Quesería!$B$43,(Quesería!$B$42-Quesería!$B$43)))/(Quesería!$B$42-Quesería!$B$43)))</f>
        <v>403.688379026656</v>
      </c>
      <c r="H548" s="36" t="n">
        <f aca="false">IF(H$43&lt;0,0,(Quesería!$B$40*$B$523*$B$520)*(1-MAX(0,MIN(H$43-0-Quesería!$B$43,(Quesería!$B$42-Quesería!$B$43)))/(Quesería!$B$42-Quesería!$B$43)))+IF(H$43&lt;1,0,(Quesería!$B$40*$C$523*$C$520)*(1-MAX(0,MIN(H$43-1-Quesería!$B$43,(Quesería!$B$42-Quesería!$B$43)))/(Quesería!$B$42-Quesería!$B$43)))</f>
        <v>243.49951942276</v>
      </c>
      <c r="I548" s="36" t="n">
        <f aca="false">IF(I$43&lt;0,0,(Quesería!$B$40*$B$523*$B$520)*(1-MAX(0,MIN(I$43-0-Quesería!$B$43,(Quesería!$B$42-Quesería!$B$43)))/(Quesería!$B$42-Quesería!$B$43)))+IF(I$43&lt;1,0,(Quesería!$B$40*$C$523*$C$520)*(1-MAX(0,MIN(I$43-1-Quesería!$B$43,(Quesería!$B$42-Quesería!$B$43)))/(Quesería!$B$42-Quesería!$B$43)))</f>
        <v>83.3106598188637</v>
      </c>
      <c r="J548" s="36" t="n">
        <f aca="false">IF(J$43&lt;0,0,(Quesería!$B$40*$B$523*$B$520)*(1-MAX(0,MIN(J$43-0-Quesería!$B$43,(Quesería!$B$42-Quesería!$B$43)))/(Quesería!$B$42-Quesería!$B$43)))+IF(J$43&lt;1,0,(Quesería!$B$40*$C$523*$C$520)*(1-MAX(0,MIN(J$43-1-Quesería!$B$43,(Quesería!$B$42-Quesería!$B$43)))/(Quesería!$B$42-Quesería!$B$43)))</f>
        <v>0</v>
      </c>
      <c r="K548" s="36" t="n">
        <f aca="false">IF(K$43&lt;0,0,(Quesería!$B$40*$B$523*$B$520)*(1-MAX(0,MIN(K$43-0-Quesería!$B$43,(Quesería!$B$42-Quesería!$B$43)))/(Quesería!$B$42-Quesería!$B$43)))+IF(K$43&lt;1,0,(Quesería!$B$40*$C$523*$C$520)*(1-MAX(0,MIN(K$43-1-Quesería!$B$43,(Quesería!$B$42-Quesería!$B$43)))/(Quesería!$B$42-Quesería!$B$43)))</f>
        <v>0</v>
      </c>
      <c r="L548" s="36" t="n">
        <f aca="false">IF(L$43&lt;0,0,(Quesería!$B$40*$B$523*$B$520)*(1-MAX(0,MIN(L$43-0-Quesería!$B$43,(Quesería!$B$42-Quesería!$B$43)))/(Quesería!$B$42-Quesería!$B$43)))+IF(L$43&lt;1,0,(Quesería!$B$40*$C$523*$C$520)*(1-MAX(0,MIN(L$43-1-Quesería!$B$43,(Quesería!$B$42-Quesería!$B$43)))/(Quesería!$B$42-Quesería!$B$43)))</f>
        <v>0</v>
      </c>
    </row>
    <row r="549" customFormat="false" ht="15" hidden="false" customHeight="false" outlineLevel="0" collapsed="false">
      <c r="A549" s="6" t="s">
        <v>307</v>
      </c>
      <c r="B549" s="35" t="n">
        <f aca="false">Quesería!$B$40*B523</f>
        <v>435.57053702568</v>
      </c>
      <c r="C549" s="35" t="n">
        <f aca="false">Quesería!$B$40*C523</f>
        <v>451.689062005035</v>
      </c>
      <c r="D549" s="35" t="n">
        <f aca="false">Quesería!$B$40*D523</f>
        <v>0</v>
      </c>
      <c r="E549" s="35" t="n">
        <f aca="false">Quesería!$B$40*E523</f>
        <v>0</v>
      </c>
      <c r="F549" s="35" t="n">
        <f aca="false">Quesería!$B$40*F523</f>
        <v>0</v>
      </c>
      <c r="G549" s="35" t="n">
        <f aca="false">Quesería!$B$40*G523</f>
        <v>0</v>
      </c>
      <c r="H549" s="35" t="n">
        <f aca="false">Quesería!$B$40*H523</f>
        <v>0</v>
      </c>
      <c r="I549" s="35" t="n">
        <f aca="false">Quesería!$B$40*I523</f>
        <v>0</v>
      </c>
      <c r="J549" s="35" t="n">
        <f aca="false">Quesería!$B$40*J523</f>
        <v>0</v>
      </c>
      <c r="K549" s="35" t="n">
        <f aca="false">Quesería!$B$40*K523</f>
        <v>0</v>
      </c>
      <c r="L549" s="35" t="n">
        <f aca="false">Quesería!$B$40*L523</f>
        <v>0</v>
      </c>
    </row>
    <row r="550" customFormat="false" ht="15" hidden="false" customHeight="false" outlineLevel="0" collapsed="false">
      <c r="A550" s="6" t="s">
        <v>308</v>
      </c>
      <c r="B550" s="35" t="n">
        <f aca="false">(IF(AND(B$43&gt;0,B$43&lt;=0+Quesería!$B$42),($M$14+$M$24)*((Quesería!$B$40*$B$523*$B$520)-(Quesería!$B$40*$B$523*$B$520)/(Quesería!$B$42-Quesería!$B$43)*MAX(0,MIN(B$43-1-0-Quesería!$B$43,(Quesería!$B$42-Quesería!$B$43)))),0)+IF(AND(B$43&gt;1,B$43&lt;=1+Quesería!$B$42),($M$14+$M$24)*((Quesería!$B$40*$C$523*$C$520)-(Quesería!$B$40*$C$523*$C$520)/(Quesería!$B$42-Quesería!$B$43)*MAX(0,MIN(B$43-1-1-Quesería!$B$43,(Quesería!$B$42-Quesería!$B$43)))),0))*B522</f>
        <v>0</v>
      </c>
      <c r="C550" s="35" t="n">
        <f aca="false">(IF(AND(C$43&gt;0,C$43&lt;=0+Quesería!$B$42),($M$14+$M$24)*((Quesería!$B$40*$B$523*$B$520)-(Quesería!$B$40*$B$523*$B$520)/(Quesería!$B$42-Quesería!$B$43)*MAX(0,MIN(C$43-1-0-Quesería!$B$43,(Quesería!$B$42-Quesería!$B$43)))),0)+IF(AND(C$43&gt;1,C$43&lt;=1+Quesería!$B$42),($M$14+$M$24)*((Quesería!$B$40*$C$523*$C$520)-(Quesería!$B$40*$C$523*$C$520)/(Quesería!$B$42-Quesería!$B$43)*MAX(0,MIN(C$43-1-1-Quesería!$B$43,(Quesería!$B$42-Quesería!$B$43)))),0))*C522</f>
        <v>56.4177568679195</v>
      </c>
      <c r="D550" s="35" t="n">
        <f aca="false">(IF(AND(D$43&gt;0,D$43&lt;=0+Quesería!$B$42),($M$14+$M$24)*((Quesería!$B$40*$B$523*$B$520)-(Quesería!$B$40*$B$523*$B$520)/(Quesería!$B$42-Quesería!$B$43)*MAX(0,MIN(D$43-1-0-Quesería!$B$43,(Quesería!$B$42-Quesería!$B$43)))),0)+IF(AND(D$43&gt;1,D$43&lt;=1+Quesería!$B$42),($M$14+$M$24)*((Quesería!$B$40*$C$523*$C$520)-(Quesería!$B$40*$C$523*$C$520)/(Quesería!$B$42-Quesería!$B$43)*MAX(0,MIN(D$43-1-1-Quesería!$B$43,(Quesería!$B$42-Quesería!$B$43)))),0))*D522</f>
        <v>113.361651167604</v>
      </c>
      <c r="E550" s="35" t="n">
        <f aca="false">(IF(AND(E$43&gt;0,E$43&lt;=0+Quesería!$B$42),($M$14+$M$24)*((Quesería!$B$40*$B$523*$B$520)-(Quesería!$B$40*$B$523*$B$520)/(Quesería!$B$42-Quesería!$B$43)*MAX(0,MIN(E$43-1-0-Quesería!$B$43,(Quesería!$B$42-Quesería!$B$43)))),0)+IF(AND(E$43&gt;1,E$43&lt;=1+Quesería!$B$42),($M$14+$M$24)*((Quesería!$B$40*$C$523*$C$520)-(Quesería!$B$40*$C$523*$C$520)/(Quesería!$B$42-Quesería!$B$43)*MAX(0,MIN(E$43-1-1-Quesería!$B$43,(Quesería!$B$42-Quesería!$B$43)))),0))*E522</f>
        <v>100.864785138296</v>
      </c>
      <c r="F550" s="35" t="n">
        <f aca="false">(IF(AND(F$43&gt;0,F$43&lt;=0+Quesería!$B$42),($M$14+$M$24)*((Quesería!$B$40*$B$523*$B$520)-(Quesería!$B$40*$B$523*$B$520)/(Quesería!$B$42-Quesería!$B$43)*MAX(0,MIN(F$43-1-0-Quesería!$B$43,(Quesería!$B$42-Quesería!$B$43)))),0)+IF(AND(F$43&gt;1,F$43&lt;=1+Quesería!$B$42),($M$14+$M$24)*((Quesería!$B$40*$C$523*$C$520)-(Quesería!$B$40*$C$523*$C$520)/(Quesería!$B$42-Quesería!$B$43)*MAX(0,MIN(F$43-1-1-Quesería!$B$43,(Quesería!$B$42-Quesería!$B$43)))),0))*F522</f>
        <v>79.8766310108756</v>
      </c>
      <c r="G550" s="35" t="n">
        <f aca="false">(IF(AND(G$43&gt;0,G$43&lt;=0+Quesería!$B$42),($M$14+$M$24)*((Quesería!$B$40*$B$523*$B$520)-(Quesería!$B$40*$B$523*$B$520)/(Quesería!$B$42-Quesería!$B$43)*MAX(0,MIN(G$43-1-0-Quesería!$B$43,(Quesería!$B$42-Quesería!$B$43)))),0)+IF(AND(G$43&gt;1,G$43&lt;=1+Quesería!$B$42),($M$14+$M$24)*((Quesería!$B$40*$C$523*$C$520)-(Quesería!$B$40*$C$523*$C$520)/(Quesería!$B$42-Quesería!$B$43)*MAX(0,MIN(G$43-1-1-Quesería!$B$43,(Quesería!$B$42-Quesería!$B$43)))),0))*G522</f>
        <v>60.1596846411516</v>
      </c>
      <c r="H550" s="35" t="n">
        <f aca="false">(IF(AND(H$43&gt;0,H$43&lt;=0+Quesería!$B$42),($M$14+$M$24)*((Quesería!$B$40*$B$523*$B$520)-(Quesería!$B$40*$B$523*$B$520)/(Quesería!$B$42-Quesería!$B$43)*MAX(0,MIN(H$43-1-0-Quesería!$B$43,(Quesería!$B$42-Quesería!$B$43)))),0)+IF(AND(H$43&gt;1,H$43&lt;=1+Quesería!$B$42),($M$14+$M$24)*((Quesería!$B$40*$C$523*$C$520)-(Quesería!$B$40*$C$523*$C$520)/(Quesería!$B$42-Quesería!$B$43)*MAX(0,MIN(H$43-1-1-Quesería!$B$43,(Quesería!$B$42-Quesería!$B$43)))),0))*H522</f>
        <v>41.6530392449988</v>
      </c>
      <c r="I550" s="35" t="n">
        <f aca="false">(IF(AND(I$43&gt;0,I$43&lt;=0+Quesería!$B$42),($M$14+$M$24)*((Quesería!$B$40*$B$523*$B$520)-(Quesería!$B$40*$B$523*$B$520)/(Quesería!$B$42-Quesería!$B$43)*MAX(0,MIN(I$43-1-0-Quesería!$B$43,(Quesería!$B$42-Quesería!$B$43)))),0)+IF(AND(I$43&gt;1,I$43&lt;=1+Quesería!$B$42),($M$14+$M$24)*((Quesería!$B$40*$C$523*$C$520)-(Quesería!$B$40*$C$523*$C$520)/(Quesería!$B$42-Quesería!$B$43)*MAX(0,MIN(I$43-1-1-Quesería!$B$43,(Quesería!$B$42-Quesería!$B$43)))),0))*I522</f>
        <v>24.2984190497046</v>
      </c>
      <c r="J550" s="35" t="n">
        <f aca="false">(IF(AND(J$43&gt;0,J$43&lt;=0+Quesería!$B$42),($M$14+$M$24)*((Quesería!$B$40*$B$523*$B$520)-(Quesería!$B$40*$B$523*$B$520)/(Quesería!$B$42-Quesería!$B$43)*MAX(0,MIN(J$43-1-0-Quesería!$B$43,(Quesería!$B$42-Quesería!$B$43)))),0)+IF(AND(J$43&gt;1,J$43&lt;=1+Quesería!$B$42),($M$14+$M$24)*((Quesería!$B$40*$C$523*$C$520)-(Quesería!$B$40*$C$523*$C$520)/(Quesería!$B$42-Quesería!$B$43)*MAX(0,MIN(J$43-1-1-Quesería!$B$43,(Quesería!$B$42-Quesería!$B$43)))),0))*J522</f>
        <v>8.04007212211335</v>
      </c>
      <c r="K550" s="35" t="n">
        <f aca="false">(IF(AND(K$43&gt;0,K$43&lt;=0+Quesería!$B$42),($M$14+$M$24)*((Quesería!$B$40*$B$523*$B$520)-(Quesería!$B$40*$B$523*$B$520)/(Quesería!$B$42-Quesería!$B$43)*MAX(0,MIN(K$43-1-0-Quesería!$B$43,(Quesería!$B$42-Quesería!$B$43)))),0)+IF(AND(K$43&gt;1,K$43&lt;=1+Quesería!$B$42),($M$14+$M$24)*((Quesería!$B$40*$C$523*$C$520)-(Quesería!$B$40*$C$523*$C$520)/(Quesería!$B$42-Quesería!$B$43)*MAX(0,MIN(K$43-1-1-Quesería!$B$43,(Quesería!$B$42-Quesería!$B$43)))),0))*K522</f>
        <v>0</v>
      </c>
      <c r="L550" s="35" t="n">
        <f aca="false">(IF(AND(L$43&gt;0,L$43&lt;=0+Quesería!$B$42),($M$14+$M$24)*((Quesería!$B$40*$B$523*$B$520)-(Quesería!$B$40*$B$523*$B$520)/(Quesería!$B$42-Quesería!$B$43)*MAX(0,MIN(L$43-1-0-Quesería!$B$43,(Quesería!$B$42-Quesería!$B$43)))),0)+IF(AND(L$43&gt;1,L$43&lt;=1+Quesería!$B$42),($M$14+$M$24)*((Quesería!$B$40*$C$523*$C$520)-(Quesería!$B$40*$C$523*$C$520)/(Quesería!$B$42-Quesería!$B$43)*MAX(0,MIN(L$43-1-1-Quesería!$B$43,(Quesería!$B$42-Quesería!$B$43)))),0))*L522</f>
        <v>0</v>
      </c>
    </row>
    <row r="551" customFormat="false" ht="15" hidden="false" customHeight="false" outlineLevel="0" collapsed="false">
      <c r="A551" s="6" t="s">
        <v>309</v>
      </c>
      <c r="B551" s="35" t="n">
        <f aca="false">(IF(AND(B$43&gt;0+Quesería!$B$43,B$43&lt;=0+Quesería!$B$42),(Quesería!$B$40*$B$523*$B$520)/(Quesería!$B$42-Quesería!$B$43),0)+IF(AND(B$43&gt;1+Quesería!$B$43,B$43&lt;=1+Quesería!$B$42),(Quesería!$B$40*$C$523*$C$520)/(Quesería!$B$42-Quesería!$B$43),0))*B522</f>
        <v>0</v>
      </c>
      <c r="C551" s="35" t="n">
        <f aca="false">(IF(AND(C$43&gt;0+Quesería!$B$43,C$43&lt;=0+Quesería!$B$42),(Quesería!$B$40*$B$523*$B$520)/(Quesería!$B$42-Quesería!$B$43),0)+IF(AND(C$43&gt;1+Quesería!$B$43,C$43&lt;=1+Quesería!$B$42),(Quesería!$B$40*$C$523*$C$520)/(Quesería!$B$42-Quesería!$B$43),0))*C522</f>
        <v>0</v>
      </c>
      <c r="D551" s="35" t="n">
        <f aca="false">(IF(AND(D$43&gt;0+Quesería!$B$43,D$43&lt;=0+Quesería!$B$42),(Quesería!$B$40*$B$523*$B$520)/(Quesería!$B$42-Quesería!$B$43),0)+IF(AND(D$43&gt;1+Quesería!$B$43,D$43&lt;=1+Quesería!$B$42),(Quesería!$B$40*$C$523*$C$520)/(Quesería!$B$42-Quesería!$B$43),0))*D522</f>
        <v>66.9903424990934</v>
      </c>
      <c r="E551" s="35" t="n">
        <f aca="false">(IF(AND(E$43&gt;0+Quesería!$B$43,E$43&lt;=0+Quesería!$B$42),(Quesería!$B$40*$B$523*$B$520)/(Quesería!$B$42-Quesería!$B$43),0)+IF(AND(E$43&gt;1+Quesería!$B$43,E$43&lt;=1+Quesería!$B$42),(Quesería!$B$40*$C$523*$C$520)/(Quesería!$B$42-Quesería!$B$43),0))*E522</f>
        <v>134.995957601372</v>
      </c>
      <c r="F551" s="35" t="n">
        <f aca="false">(IF(AND(F$43&gt;0+Quesería!$B$43,F$43&lt;=0+Quesería!$B$42),(Quesería!$B$40*$B$523*$B$520)/(Quesería!$B$42-Quesería!$B$43),0)+IF(AND(F$43&gt;1+Quesería!$B$43,F$43&lt;=1+Quesería!$B$42),(Quesería!$B$40*$C$523*$C$520)/(Quesería!$B$42-Quesería!$B$43),0))*F522</f>
        <v>130.55701895684</v>
      </c>
      <c r="G551" s="35" t="n">
        <f aca="false">(IF(AND(G$43&gt;0+Quesería!$B$43,G$43&lt;=0+Quesería!$B$42),(Quesería!$B$40*$B$523*$B$520)/(Quesería!$B$42-Quesería!$B$43),0)+IF(AND(G$43&gt;1+Quesería!$B$43,G$43&lt;=1+Quesería!$B$42),(Quesería!$B$40*$C$523*$C$520)/(Quesería!$B$42-Quesería!$B$43),0))*G522</f>
        <v>126.264041544333</v>
      </c>
      <c r="H551" s="35" t="n">
        <f aca="false">(IF(AND(H$43&gt;0+Quesería!$B$43,H$43&lt;=0+Quesería!$B$42),(Quesería!$B$40*$B$523*$B$520)/(Quesería!$B$42-Quesería!$B$43),0)+IF(AND(H$43&gt;1+Quesería!$B$43,H$43&lt;=1+Quesería!$B$42),(Quesería!$B$40*$C$523*$C$520)/(Quesería!$B$42-Quesería!$B$43),0))*H522</f>
        <v>122.112225864925</v>
      </c>
      <c r="I551" s="35" t="n">
        <f aca="false">(IF(AND(I$43&gt;0+Quesería!$B$43,I$43&lt;=0+Quesería!$B$42),(Quesería!$B$40*$B$523*$B$520)/(Quesería!$B$42-Quesería!$B$43),0)+IF(AND(I$43&gt;1+Quesería!$B$43,I$43&lt;=1+Quesería!$B$42),(Quesería!$B$40*$C$523*$C$520)/(Quesería!$B$42-Quesería!$B$43),0))*I522</f>
        <v>118.096930236872</v>
      </c>
      <c r="J551" s="35" t="n">
        <f aca="false">(IF(AND(J$43&gt;0+Quesería!$B$43,J$43&lt;=0+Quesería!$B$42),(Quesería!$B$40*$B$523*$B$520)/(Quesería!$B$42-Quesería!$B$43),0)+IF(AND(J$43&gt;1+Quesería!$B$43,J$43&lt;=1+Quesería!$B$42),(Quesería!$B$40*$C$523*$C$520)/(Quesería!$B$42-Quesería!$B$43),0))*J522</f>
        <v>59.3999849023024</v>
      </c>
      <c r="K551" s="35" t="n">
        <f aca="false">(IF(AND(K$43&gt;0+Quesería!$B$43,K$43&lt;=0+Quesería!$B$42),(Quesería!$B$40*$B$523*$B$520)/(Quesería!$B$42-Quesería!$B$43),0)+IF(AND(K$43&gt;1+Quesería!$B$43,K$43&lt;=1+Quesería!$B$42),(Quesería!$B$40*$C$523*$C$520)/(Quesería!$B$42-Quesería!$B$43),0))*K522</f>
        <v>0</v>
      </c>
      <c r="L551" s="35" t="n">
        <f aca="false">(IF(AND(L$43&gt;0+Quesería!$B$43,L$43&lt;=0+Quesería!$B$42),(Quesería!$B$40*$B$523*$B$520)/(Quesería!$B$42-Quesería!$B$43),0)+IF(AND(L$43&gt;1+Quesería!$B$43,L$43&lt;=1+Quesería!$B$42),(Quesería!$B$40*$C$523*$C$520)/(Quesería!$B$42-Quesería!$B$43),0))*L522</f>
        <v>0</v>
      </c>
    </row>
    <row r="552" customFormat="false" ht="15" hidden="false" customHeight="false" outlineLevel="0" collapsed="false">
      <c r="A552" s="6" t="s">
        <v>310</v>
      </c>
      <c r="B552" s="35" t="n">
        <f aca="false">$M$13*Quesería!$B$44*(1+0.19)*B548*B522+(1-$M$13)*IF(B$43=0,Quesería!$B$53,0)</f>
        <v>4</v>
      </c>
      <c r="C552" s="35" t="n">
        <f aca="false">$M$13*Quesería!$B$44*(1+0.19)*C548*C522+(1-$M$13)*IF(C$43=0,Quesería!$B$53,0)</f>
        <v>0</v>
      </c>
      <c r="D552" s="35" t="n">
        <f aca="false">$M$13*Quesería!$B$44*(1+0.19)*D548*D522+(1-$M$13)*IF(D$43=0,Quesería!$B$53,0)</f>
        <v>0</v>
      </c>
      <c r="E552" s="35" t="n">
        <f aca="false">$M$13*Quesería!$B$44*(1+0.19)*E548*E522+(1-$M$13)*IF(E$43=0,Quesería!$B$53,0)</f>
        <v>0</v>
      </c>
      <c r="F552" s="35" t="n">
        <f aca="false">$M$13*Quesería!$B$44*(1+0.19)*F548*F522+(1-$M$13)*IF(F$43=0,Quesería!$B$53,0)</f>
        <v>0</v>
      </c>
      <c r="G552" s="35" t="n">
        <f aca="false">$M$13*Quesería!$B$44*(1+0.19)*G548*G522+(1-$M$13)*IF(G$43=0,Quesería!$B$53,0)</f>
        <v>0</v>
      </c>
      <c r="H552" s="35" t="n">
        <f aca="false">$M$13*Quesería!$B$44*(1+0.19)*H548*H522+(1-$M$13)*IF(H$43=0,Quesería!$B$53,0)</f>
        <v>0</v>
      </c>
      <c r="I552" s="35" t="n">
        <f aca="false">$M$13*Quesería!$B$44*(1+0.19)*I548*I522+(1-$M$13)*IF(I$43=0,Quesería!$B$53,0)</f>
        <v>0</v>
      </c>
      <c r="J552" s="35" t="n">
        <f aca="false">$M$13*Quesería!$B$44*(1+0.19)*J548*J522+(1-$M$13)*IF(J$43=0,Quesería!$B$53,0)</f>
        <v>0</v>
      </c>
      <c r="K552" s="35" t="n">
        <f aca="false">$M$13*Quesería!$B$44*(1+0.19)*K548*K522+(1-$M$13)*IF(K$43=0,Quesería!$B$53,0)</f>
        <v>0</v>
      </c>
      <c r="L552" s="35" t="n">
        <f aca="false">$M$13*Quesería!$B$44*(1+0.19)*L548*L522+(1-$M$13)*IF(L$43=0,Quesería!$B$53,0)</f>
        <v>0</v>
      </c>
    </row>
    <row r="553" customFormat="false" ht="15" hidden="false" customHeight="false" outlineLevel="0" collapsed="false">
      <c r="A553" s="6" t="s">
        <v>311</v>
      </c>
      <c r="B553" s="35" t="n">
        <f aca="false">Quesería!$B$45*(B550+B551+B552)</f>
        <v>0.016</v>
      </c>
      <c r="C553" s="35" t="n">
        <f aca="false">Quesería!$B$45*(C550+C551+C552)</f>
        <v>0.225671027471678</v>
      </c>
      <c r="D553" s="35" t="n">
        <f aca="false">Quesería!$B$45*(D550+D551+D552)</f>
        <v>0.721407974666789</v>
      </c>
      <c r="E553" s="35" t="n">
        <f aca="false">Quesería!$B$45*(E550+E551+E552)</f>
        <v>0.943442970958672</v>
      </c>
      <c r="F553" s="35" t="n">
        <f aca="false">Quesería!$B$45*(F550+F551+F552)</f>
        <v>0.841734599870862</v>
      </c>
      <c r="G553" s="35" t="n">
        <f aca="false">Quesería!$B$45*(G550+G551+G552)</f>
        <v>0.745694904741937</v>
      </c>
      <c r="H553" s="35" t="n">
        <f aca="false">Quesería!$B$45*(H550+H551+H552)</f>
        <v>0.655061060439696</v>
      </c>
      <c r="I553" s="35" t="n">
        <f aca="false">Quesería!$B$45*(I550+I551+I552)</f>
        <v>0.569581397146304</v>
      </c>
      <c r="J553" s="35" t="n">
        <f aca="false">Quesería!$B$45*(J550+J551+J552)</f>
        <v>0.269760228097663</v>
      </c>
      <c r="K553" s="35" t="n">
        <f aca="false">Quesería!$B$45*(K550+K551+K552)</f>
        <v>0</v>
      </c>
      <c r="L553" s="35" t="n">
        <f aca="false">Quesería!$B$45*(L550+L551+L552)</f>
        <v>0</v>
      </c>
    </row>
    <row r="554" customFormat="false" ht="15" hidden="false" customHeight="false" outlineLevel="0" collapsed="false">
      <c r="A554" s="6" t="s">
        <v>312</v>
      </c>
      <c r="B554" s="35" t="n">
        <f aca="false">$M$17*(B550+B552+0.5*B553)</f>
        <v>1.4028</v>
      </c>
      <c r="C554" s="35" t="n">
        <f aca="false">$M$17*(C550+C552+0.5*C553)</f>
        <v>19.7857073335794</v>
      </c>
      <c r="D554" s="35" t="n">
        <f aca="false">$M$17*(D550+D552+0.5*D553)</f>
        <v>39.802824304228</v>
      </c>
      <c r="E554" s="35" t="n">
        <f aca="false">$M$17*(E550+E552+0.5*E553)</f>
        <v>35.4677773183212</v>
      </c>
      <c r="F554" s="35" t="n">
        <f aca="false">$M$17*(F550+F552+0.5*F553)</f>
        <v>28.1041244087839</v>
      </c>
      <c r="G554" s="35" t="n">
        <f aca="false">$M$17*(G550+G552+0.5*G553)</f>
        <v>21.1863862327329</v>
      </c>
      <c r="H554" s="35" t="n">
        <f aca="false">$M$17*(H550+H552+0.5*H553)</f>
        <v>14.6931994213265</v>
      </c>
      <c r="I554" s="35" t="n">
        <f aca="false">$M$17*(I550+I552+0.5*I553)</f>
        <v>8.6041234118972</v>
      </c>
      <c r="J554" s="35" t="n">
        <f aca="false">$M$17*(J550+J552+0.5*J553)</f>
        <v>2.86123328265676</v>
      </c>
      <c r="K554" s="35" t="n">
        <f aca="false">$M$17*(K550+K552+0.5*K553)</f>
        <v>0</v>
      </c>
      <c r="L554" s="35" t="n">
        <f aca="false">$M$17*(L550+L552+0.5*L553)</f>
        <v>0</v>
      </c>
    </row>
    <row r="555" customFormat="false" ht="15" hidden="false" customHeight="false" outlineLevel="0" collapsed="false">
      <c r="A555" s="5" t="s">
        <v>313</v>
      </c>
      <c r="B555" s="37" t="n">
        <f aca="false">B540+B549-B550-B551-B552-B553+B554</f>
        <v>-229.083708047218</v>
      </c>
      <c r="C555" s="37" t="n">
        <f aca="false">C540+C549-C550-C551-C552-C553+C554</f>
        <v>-2.69392750881728</v>
      </c>
      <c r="D555" s="37" t="n">
        <f aca="false">D540+D549-D550-D551-D552-D553+D554</f>
        <v>200.400982163794</v>
      </c>
      <c r="E555" s="37" t="n">
        <f aca="false">E540+E549-E550-E551-E552-E553+E554</f>
        <v>48.8720067910881</v>
      </c>
      <c r="F555" s="37" t="n">
        <f aca="false">F540+F549-F550-F551-F552-F553+F554</f>
        <v>68.5286402981519</v>
      </c>
      <c r="G555" s="37" t="n">
        <f aca="false">G540+G549-G550-G551-G552-G553+G554</f>
        <v>52.9379317709481</v>
      </c>
      <c r="H555" s="37" t="n">
        <f aca="false">H540+H549-H550-H551-H552-H553+H554</f>
        <v>60.3561458885014</v>
      </c>
      <c r="I555" s="37" t="n">
        <f aca="false">I540+I549-I550-I551-I552-I553+I554</f>
        <v>121.078128756547</v>
      </c>
      <c r="J555" s="37" t="n">
        <f aca="false">J540+J549-J550-J551-J552-J553+J554</f>
        <v>183.289602451719</v>
      </c>
      <c r="K555" s="37" t="n">
        <f aca="false">K540+K549-K550-K551-K552-K553+K554</f>
        <v>247.363958663142</v>
      </c>
      <c r="L555" s="37" t="n">
        <f aca="false">L540+L549-L550-L551-L552-L553+L554</f>
        <v>317.60462100293</v>
      </c>
    </row>
    <row r="556" customFormat="false" ht="15" hidden="false" customHeight="false" outlineLevel="0" collapsed="false">
      <c r="A556" s="9" t="s">
        <v>314</v>
      </c>
      <c r="B556" s="36" t="n">
        <f aca="false">B555*B520</f>
        <v>-242.599646822004</v>
      </c>
      <c r="C556" s="36" t="n">
        <f aca="false">C555*C520</f>
        <v>-2.98124834727019</v>
      </c>
      <c r="D556" s="36" t="n">
        <f aca="false">D555*D520</f>
        <v>229.980414626383</v>
      </c>
      <c r="E556" s="36" t="n">
        <f aca="false">E555*E520</f>
        <v>57.992484912294</v>
      </c>
      <c r="F556" s="36" t="n">
        <f aca="false">F555*F520</f>
        <v>84.0822257376722</v>
      </c>
      <c r="G556" s="36" t="n">
        <f aca="false">G555*G520</f>
        <v>67.1613771938356</v>
      </c>
      <c r="H556" s="36" t="n">
        <f aca="false">H555*H520</f>
        <v>79.1762013302432</v>
      </c>
      <c r="I556" s="36" t="n">
        <f aca="false">I555*I520</f>
        <v>164.232612393759</v>
      </c>
      <c r="J556" s="36" t="n">
        <f aca="false">J555*J520</f>
        <v>257.070397295641</v>
      </c>
      <c r="K556" s="36" t="n">
        <f aca="false">K555*K520</f>
        <v>358.732893677925</v>
      </c>
      <c r="L556" s="36" t="n">
        <f aca="false">L555*L520</f>
        <v>476.257830832099</v>
      </c>
    </row>
    <row r="557" customFormat="false" ht="15" hidden="false" customHeight="false" outlineLevel="0" collapsed="false">
      <c r="A557" s="9" t="s">
        <v>315</v>
      </c>
      <c r="B557" s="34" t="n">
        <f aca="false">(B520/$B$520)/(1+Quesería!$B$46+$M$24)^B$43</f>
        <v>1</v>
      </c>
      <c r="C557" s="34" t="n">
        <f aca="false">(C520/$B$520)/(1+Quesería!$B$46+$M$24)^C$43</f>
        <v>0.839792648762556</v>
      </c>
      <c r="D557" s="34" t="n">
        <f aca="false">(D520/$B$520)/(1+Quesería!$B$46+$M$24)^D$43</f>
        <v>0.699852636893309</v>
      </c>
      <c r="E557" s="34" t="n">
        <f aca="false">(E520/$B$520)/(1+Quesería!$B$46+$M$24)^E$43</f>
        <v>0.581544456525564</v>
      </c>
      <c r="F557" s="34" t="n">
        <f aca="false">(F520/$B$520)/(1+Quesería!$B$46+$M$24)^F$43</f>
        <v>0.48323595152385</v>
      </c>
      <c r="G557" s="34" t="n">
        <f aca="false">(G520/$B$520)/(1+Quesería!$B$46+$M$24)^G$43</f>
        <v>0.401546231289534</v>
      </c>
      <c r="H557" s="34" t="n">
        <f aca="false">(H520/$B$520)/(1+Quesería!$B$46+$M$24)^H$43</f>
        <v>0.333665935562889</v>
      </c>
      <c r="I557" s="34" t="n">
        <f aca="false">(I520/$B$520)/(1+Quesería!$B$46+$M$24)^I$43</f>
        <v>0.277260618777372</v>
      </c>
      <c r="J557" s="34" t="n">
        <f aca="false">(J520/$B$520)/(1+Quesería!$B$46+$M$24)^J$43</f>
        <v>0.23039046702543</v>
      </c>
      <c r="K557" s="34" t="n">
        <f aca="false">(K520/$B$520)/(1+Quesería!$B$46+$M$24)^K$43</f>
        <v>0.191443586652371</v>
      </c>
      <c r="L557" s="34" t="n">
        <f aca="false">(L520/$B$520)/(1+Quesería!$B$46+$M$24)^L$43</f>
        <v>0.159080570231573</v>
      </c>
    </row>
    <row r="558" customFormat="false" ht="15" hidden="false" customHeight="false" outlineLevel="0" collapsed="false">
      <c r="A558" s="9" t="s">
        <v>316</v>
      </c>
      <c r="B558" s="36" t="n">
        <f aca="false">B540+B523+B525+B554</f>
        <v>60.9532547375949</v>
      </c>
      <c r="C558" s="36" t="n">
        <f aca="false">C540+C523+C525+C554</f>
        <v>370.131843790099</v>
      </c>
      <c r="D558" s="36" t="n">
        <f aca="false">D540+D523+D525+D554</f>
        <v>381.474383805158</v>
      </c>
      <c r="E558" s="36" t="n">
        <f aca="false">E540+E523+E525+E554</f>
        <v>285.676192501715</v>
      </c>
      <c r="F558" s="36" t="n">
        <f aca="false">F540+F523+F525+F554</f>
        <v>279.804024865738</v>
      </c>
      <c r="G558" s="36" t="n">
        <f aca="false">G540+G523+G525+G554</f>
        <v>245.174019527841</v>
      </c>
      <c r="H558" s="36" t="n">
        <f aca="false">H540+H523+H525+H554</f>
        <v>231.484337139632</v>
      </c>
      <c r="I558" s="36" t="n">
        <f aca="false">I540+I523+I525+I554</f>
        <v>264.043059440269</v>
      </c>
      <c r="J558" s="36" t="n">
        <f aca="false">J540+J523+J525+J554</f>
        <v>250.999419704232</v>
      </c>
      <c r="K558" s="36" t="n">
        <f aca="false">K540+K523+K525+K554</f>
        <v>247.363958663142</v>
      </c>
      <c r="L558" s="36" t="n">
        <f aca="false">L540+L523+L525+L554</f>
        <v>317.60462100293</v>
      </c>
    </row>
    <row r="559" customFormat="false" ht="15" hidden="false" customHeight="false" outlineLevel="0" collapsed="false">
      <c r="A559" s="5" t="s">
        <v>317</v>
      </c>
      <c r="B559" s="12" t="str">
        <f aca="false">IF(AND(B$43&gt;=1,(B550+B551+B552)&gt;0.001),B558/(B550+B551+B552),"")</f>
        <v/>
      </c>
      <c r="C559" s="12" t="n">
        <f aca="false">IF(AND(C$43&gt;=1,(C550+C551+C552)&gt;0.001),C558/(C550+C551+C552),"")</f>
        <v>6.56055583097038</v>
      </c>
      <c r="D559" s="12" t="n">
        <f aca="false">IF(AND(D$43&gt;=1,(D550+D551+D552)&gt;0.001),D558/(D550+D551+D552),"")</f>
        <v>2.11516588228101</v>
      </c>
      <c r="E559" s="12" t="n">
        <f aca="false">IF(AND(E$43&gt;=1,(E550+E551+E552)&gt;0.001),E558/(E550+E551+E552),"")</f>
        <v>1.2112070418477</v>
      </c>
      <c r="F559" s="12" t="n">
        <f aca="false">IF(AND(F$43&gt;=1,(F550+F551+F552)&gt;0.001),F558/(F550+F551+F552),"")</f>
        <v>1.32965438231322</v>
      </c>
      <c r="G559" s="12" t="n">
        <f aca="false">IF(AND(G$43&gt;=1,(G550+G551+G552)&gt;0.001),G558/(G550+G551+G552),"")</f>
        <v>1.3151438636298</v>
      </c>
      <c r="H559" s="12" t="n">
        <f aca="false">IF(AND(H$43&gt;=1,(H550+H551+H552)&gt;0.001),H558/(H550+H551+H552),"")</f>
        <v>1.41351303638322</v>
      </c>
      <c r="I559" s="12" t="n">
        <f aca="false">IF(AND(I$43&gt;=1,(I550+I551+I552)&gt;0.001),I558/(I550+I551+I552),"")</f>
        <v>1.85429552835235</v>
      </c>
      <c r="J559" s="12" t="n">
        <f aca="false">IF(AND(J$43&gt;=1,(J550+J551+J552)&gt;0.001),J558/(J550+J551+J552),"")</f>
        <v>3.72181505738291</v>
      </c>
      <c r="K559" s="12" t="str">
        <f aca="false">IF(AND(K$43&gt;=1,(K550+K551+K552)&gt;0.001),K558/(K550+K551+K552),"")</f>
        <v/>
      </c>
      <c r="L559" s="12" t="str">
        <f aca="false">IF(AND(L$43&gt;=1,(L550+L551+L552)&gt;0.001),L558/(L550+L551+L552),"")</f>
        <v/>
      </c>
    </row>
    <row r="561" customFormat="false" ht="15" hidden="false" customHeight="false" outlineLevel="0" collapsed="false">
      <c r="A561" s="66" t="s">
        <v>638</v>
      </c>
      <c r="B561" s="67"/>
      <c r="C561" s="67"/>
      <c r="D561" s="67"/>
      <c r="E561" s="67"/>
      <c r="F561" s="67"/>
      <c r="G561" s="67"/>
      <c r="H561" s="67"/>
      <c r="I561" s="67"/>
      <c r="J561" s="67"/>
      <c r="K561" s="67"/>
      <c r="L561" s="67"/>
    </row>
    <row r="562" customFormat="false" ht="15" hidden="false" customHeight="false" outlineLevel="0" collapsed="false">
      <c r="A562" s="9" t="s">
        <v>281</v>
      </c>
      <c r="B562" s="33" t="n">
        <f aca="false">CHOOSE($N$15,Entorno!B$7,Entorno!B$8,Entorno!B$9)</f>
        <v>0.065</v>
      </c>
      <c r="C562" s="33" t="n">
        <f aca="false">CHOOSE($N$15,Entorno!C$7,Entorno!C$8,Entorno!C$9)</f>
        <v>0.065</v>
      </c>
      <c r="D562" s="33" t="n">
        <f aca="false">CHOOSE($N$15,Entorno!D$7,Entorno!D$8,Entorno!D$9)</f>
        <v>0.065</v>
      </c>
      <c r="E562" s="33" t="n">
        <f aca="false">CHOOSE($N$15,Entorno!E$7,Entorno!E$8,Entorno!E$9)</f>
        <v>0.065</v>
      </c>
      <c r="F562" s="33" t="n">
        <f aca="false">CHOOSE($N$15,Entorno!F$7,Entorno!F$8,Entorno!F$9)</f>
        <v>0.065</v>
      </c>
      <c r="G562" s="33" t="n">
        <f aca="false">CHOOSE($N$15,Entorno!G$7,Entorno!G$8,Entorno!G$9)</f>
        <v>0.065</v>
      </c>
      <c r="H562" s="33" t="n">
        <f aca="false">CHOOSE($N$15,Entorno!H$7,Entorno!H$8,Entorno!H$9)</f>
        <v>0.065</v>
      </c>
      <c r="I562" s="33" t="n">
        <f aca="false">CHOOSE($N$15,Entorno!I$7,Entorno!I$8,Entorno!I$9)</f>
        <v>0.065</v>
      </c>
      <c r="J562" s="33" t="n">
        <f aca="false">CHOOSE($N$15,Entorno!J$7,Entorno!J$8,Entorno!J$9)</f>
        <v>0.065</v>
      </c>
      <c r="K562" s="33" t="n">
        <f aca="false">CHOOSE($N$15,Entorno!K$7,Entorno!K$8,Entorno!K$9)</f>
        <v>0.065</v>
      </c>
      <c r="L562" s="33" t="n">
        <f aca="false">CHOOSE($N$15,Entorno!L$7,Entorno!L$8,Entorno!L$9)</f>
        <v>0.065</v>
      </c>
    </row>
    <row r="563" customFormat="false" ht="15" hidden="false" customHeight="false" outlineLevel="0" collapsed="false">
      <c r="A563" s="9" t="s">
        <v>282</v>
      </c>
      <c r="B563" s="34" t="n">
        <f aca="false">1+B562</f>
        <v>1.065</v>
      </c>
      <c r="C563" s="34" t="n">
        <f aca="false">B563*(1+C562)</f>
        <v>1.134225</v>
      </c>
      <c r="D563" s="34" t="n">
        <f aca="false">C563*(1+D562)</f>
        <v>1.207949625</v>
      </c>
      <c r="E563" s="34" t="n">
        <f aca="false">D563*(1+E562)</f>
        <v>1.286466350625</v>
      </c>
      <c r="F563" s="34" t="n">
        <f aca="false">E563*(1+F562)</f>
        <v>1.37008666341562</v>
      </c>
      <c r="G563" s="34" t="n">
        <f aca="false">F563*(1+G562)</f>
        <v>1.45914229653764</v>
      </c>
      <c r="H563" s="34" t="n">
        <f aca="false">G563*(1+H562)</f>
        <v>1.55398654581259</v>
      </c>
      <c r="I563" s="34" t="n">
        <f aca="false">H563*(1+I562)</f>
        <v>1.6549956712904</v>
      </c>
      <c r="J563" s="34" t="n">
        <f aca="false">I563*(1+J562)</f>
        <v>1.76257038992428</v>
      </c>
      <c r="K563" s="34" t="n">
        <f aca="false">J563*(1+K562)</f>
        <v>1.87713746526936</v>
      </c>
      <c r="L563" s="34" t="n">
        <f aca="false">K563*(1+L562)</f>
        <v>1.99915140051187</v>
      </c>
    </row>
    <row r="564" customFormat="false" ht="15" hidden="false" customHeight="false" outlineLevel="0" collapsed="false">
      <c r="A564" s="9" t="s">
        <v>283</v>
      </c>
      <c r="B564" s="34" t="n">
        <f aca="false">(1+$N$16)/(1+B562)</f>
        <v>1.018779342723</v>
      </c>
      <c r="C564" s="34" t="n">
        <f aca="false">B564*(1+Entorno!$B$13)</f>
        <v>1.02387323943662</v>
      </c>
      <c r="D564" s="34" t="n">
        <f aca="false">C564*(1+Entorno!$B$13)</f>
        <v>1.0289926056338</v>
      </c>
      <c r="E564" s="34" t="n">
        <f aca="false">D564*(1+Entorno!$B$13)</f>
        <v>1.03413756866197</v>
      </c>
      <c r="F564" s="34" t="n">
        <f aca="false">E564*(1+Entorno!$B$13)</f>
        <v>1.03930825650528</v>
      </c>
      <c r="G564" s="34" t="n">
        <f aca="false">F564*(1+Entorno!$B$13)</f>
        <v>1.04450479778781</v>
      </c>
      <c r="H564" s="34" t="n">
        <f aca="false">G564*(1+Entorno!$B$13)</f>
        <v>1.04972732177675</v>
      </c>
      <c r="I564" s="34" t="n">
        <f aca="false">H564*(1+Entorno!$B$13)</f>
        <v>1.05497595838563</v>
      </c>
      <c r="J564" s="34" t="n">
        <f aca="false">I564*(1+Entorno!$B$13)</f>
        <v>1.06025083817756</v>
      </c>
      <c r="K564" s="34" t="n">
        <f aca="false">J564*(1+Entorno!$B$13)</f>
        <v>1.06555209236845</v>
      </c>
      <c r="L564" s="34" t="n">
        <f aca="false">K564*(1+Entorno!$B$13)</f>
        <v>1.07087985283029</v>
      </c>
    </row>
    <row r="565" customFormat="false" ht="15" hidden="false" customHeight="false" outlineLevel="0" collapsed="false">
      <c r="A565" s="9" t="s">
        <v>284</v>
      </c>
      <c r="B565" s="34" t="n">
        <f aca="false">1/B563</f>
        <v>0.938967136150235</v>
      </c>
      <c r="C565" s="34" t="n">
        <f aca="false">1/C563</f>
        <v>0.881659282770174</v>
      </c>
      <c r="D565" s="34" t="n">
        <f aca="false">1/D563</f>
        <v>0.82784909180298</v>
      </c>
      <c r="E565" s="34" t="n">
        <f aca="false">1/E563</f>
        <v>0.777323090894817</v>
      </c>
      <c r="F565" s="34" t="n">
        <f aca="false">1/F563</f>
        <v>0.729880836520955</v>
      </c>
      <c r="G565" s="34" t="n">
        <f aca="false">1/G563</f>
        <v>0.685334118799019</v>
      </c>
      <c r="H565" s="34" t="n">
        <f aca="false">1/H563</f>
        <v>0.643506214834759</v>
      </c>
      <c r="I565" s="34" t="n">
        <f aca="false">1/I563</f>
        <v>0.604231187638272</v>
      </c>
      <c r="J565" s="34" t="n">
        <f aca="false">1/J563</f>
        <v>0.567353227829363</v>
      </c>
      <c r="K565" s="34" t="n">
        <f aca="false">1/K563</f>
        <v>0.532726035520529</v>
      </c>
      <c r="L565" s="34" t="n">
        <f aca="false">1/L563</f>
        <v>0.500212239925379</v>
      </c>
    </row>
    <row r="566" customFormat="false" ht="15" hidden="false" customHeight="false" outlineLevel="0" collapsed="false">
      <c r="A566" s="6" t="s">
        <v>202</v>
      </c>
      <c r="B566" s="35" t="n">
        <f aca="false">IF(B$43=0,Quesería!$F$80,IF(B$43=1,Quesería!$F$81*$N$21,0))*$N$11</f>
        <v>622.243624322401</v>
      </c>
      <c r="C566" s="35" t="n">
        <f aca="false">IF(C$43=0,Quesería!$F$80,IF(C$43=1,Quesería!$F$81*$N$21,0))*$N$11</f>
        <v>645.270088578622</v>
      </c>
      <c r="D566" s="35" t="n">
        <f aca="false">IF(D$43=0,Quesería!$F$80,IF(D$43=1,Quesería!$F$81*$N$21,0))*$N$11</f>
        <v>0</v>
      </c>
      <c r="E566" s="35" t="n">
        <f aca="false">IF(E$43=0,Quesería!$F$80,IF(E$43=1,Quesería!$F$81*$N$21,0))*$N$11</f>
        <v>0</v>
      </c>
      <c r="F566" s="35" t="n">
        <f aca="false">IF(F$43=0,Quesería!$F$80,IF(F$43=1,Quesería!$F$81*$N$21,0))*$N$11</f>
        <v>0</v>
      </c>
      <c r="G566" s="35" t="n">
        <f aca="false">IF(G$43=0,Quesería!$F$80,IF(G$43=1,Quesería!$F$81*$N$21,0))*$N$11</f>
        <v>0</v>
      </c>
      <c r="H566" s="35" t="n">
        <f aca="false">IF(H$43=0,Quesería!$F$80,IF(H$43=1,Quesería!$F$81*$N$21,0))*$N$11</f>
        <v>0</v>
      </c>
      <c r="I566" s="35" t="n">
        <f aca="false">IF(I$43=0,Quesería!$F$80,IF(I$43=1,Quesería!$F$81*$N$21,0))*$N$11</f>
        <v>0</v>
      </c>
      <c r="J566" s="35" t="n">
        <f aca="false">IF(J$43=0,Quesería!$F$80,IF(J$43=1,Quesería!$F$81*$N$21,0))*$N$11</f>
        <v>0</v>
      </c>
      <c r="K566" s="35" t="n">
        <f aca="false">IF(K$43=0,Quesería!$F$80,IF(K$43=1,Quesería!$F$81*$N$21,0))*$N$11</f>
        <v>0</v>
      </c>
      <c r="L566" s="35" t="n">
        <f aca="false">IF(L$43=0,Quesería!$F$80,IF(L$43=1,Quesería!$F$81*$N$21,0))*$N$11</f>
        <v>0</v>
      </c>
    </row>
    <row r="567" customFormat="false" ht="15" hidden="false" customHeight="false" outlineLevel="0" collapsed="false">
      <c r="A567" s="6" t="s">
        <v>285</v>
      </c>
      <c r="B567" s="35" t="n">
        <f aca="false">IF(B$43=5,Quesería!$F$87,IF(B$43=6,Quesería!$F$88,0))*$N$11</f>
        <v>0</v>
      </c>
      <c r="C567" s="35" t="n">
        <f aca="false">IF(C$43=5,Quesería!$F$87,IF(C$43=6,Quesería!$F$88,0))*$N$11</f>
        <v>0</v>
      </c>
      <c r="D567" s="35" t="n">
        <f aca="false">IF(D$43=5,Quesería!$F$87,IF(D$43=6,Quesería!$F$88,0))*$N$11</f>
        <v>0</v>
      </c>
      <c r="E567" s="35" t="n">
        <f aca="false">IF(E$43=5,Quesería!$F$87,IF(E$43=6,Quesería!$F$88,0))*$N$11</f>
        <v>0</v>
      </c>
      <c r="F567" s="35" t="n">
        <f aca="false">IF(F$43=5,Quesería!$F$87,IF(F$43=6,Quesería!$F$88,0))*$N$11</f>
        <v>0</v>
      </c>
      <c r="G567" s="35" t="n">
        <f aca="false">IF(G$43=5,Quesería!$F$87,IF(G$43=6,Quesería!$F$88,0))*$N$11</f>
        <v>26.6666666666667</v>
      </c>
      <c r="H567" s="35" t="n">
        <f aca="false">IF(H$43=5,Quesería!$F$87,IF(H$43=6,Quesería!$F$88,0))*$N$11</f>
        <v>35.3045530566667</v>
      </c>
      <c r="I567" s="35" t="n">
        <f aca="false">IF(I$43=5,Quesería!$F$87,IF(I$43=6,Quesería!$F$88,0))*$N$11</f>
        <v>0</v>
      </c>
      <c r="J567" s="35" t="n">
        <f aca="false">IF(J$43=5,Quesería!$F$87,IF(J$43=6,Quesería!$F$88,0))*$N$11</f>
        <v>0</v>
      </c>
      <c r="K567" s="35" t="n">
        <f aca="false">IF(K$43=5,Quesería!$F$87,IF(K$43=6,Quesería!$F$88,0))*$N$11</f>
        <v>0</v>
      </c>
      <c r="L567" s="35" t="n">
        <f aca="false">IF(L$43=5,Quesería!$F$87,IF(L$43=6,Quesería!$F$88,0))*$N$11</f>
        <v>0</v>
      </c>
    </row>
    <row r="568" customFormat="false" ht="15" hidden="false" customHeight="false" outlineLevel="0" collapsed="false">
      <c r="A568" s="6" t="s">
        <v>286</v>
      </c>
      <c r="B568" s="35" t="n">
        <f aca="false">Quesería!$B$36*(IF(B$43=0,SUMPRODUCT((Quesería!$C$62:$C$77=0)*(Quesería!$H$62:$H$77&gt;0)*(Quesería!$J$62:$J$77&gt;0)*Quesería!$F$62:$F$77*(1+Quesería!$I$62:$I$77)),IF(B$43=1,SUMPRODUCT((Quesería!$C$62:$C$77=1)*(Quesería!$H$62:$H$77&gt;0)*(Quesería!$J$62:$J$77&gt;0)*Quesería!$F$62:$F$77*(1+Quesería!$I$62:$I$77))*$N$21,0))*$N$11+B567)</f>
        <v>99.347875488093</v>
      </c>
      <c r="C568" s="35" t="n">
        <f aca="false">Quesería!$B$36*(IF(C$43=0,SUMPRODUCT((Quesería!$C$62:$C$77=0)*(Quesería!$H$62:$H$77&gt;0)*(Quesería!$J$62:$J$77&gt;0)*Quesería!$F$62:$F$77*(1+Quesería!$I$62:$I$77)),IF(C$43=1,SUMPRODUCT((Quesería!$C$62:$C$77=1)*(Quesería!$H$62:$H$77&gt;0)*(Quesería!$J$62:$J$77&gt;0)*Quesería!$F$62:$F$77*(1+Quesería!$I$62:$I$77))*$N$21,0))*$N$11+C567)</f>
        <v>122.601316829938</v>
      </c>
      <c r="D568" s="35" t="n">
        <f aca="false">Quesería!$B$36*(IF(D$43=0,SUMPRODUCT((Quesería!$C$62:$C$77=0)*(Quesería!$H$62:$H$77&gt;0)*(Quesería!$J$62:$J$77&gt;0)*Quesería!$F$62:$F$77*(1+Quesería!$I$62:$I$77)),IF(D$43=1,SUMPRODUCT((Quesería!$C$62:$C$77=1)*(Quesería!$H$62:$H$77&gt;0)*(Quesería!$J$62:$J$77&gt;0)*Quesería!$F$62:$F$77*(1+Quesería!$I$62:$I$77))*$N$21,0))*$N$11+D567)</f>
        <v>0</v>
      </c>
      <c r="E568" s="35" t="n">
        <f aca="false">Quesería!$B$36*(IF(E$43=0,SUMPRODUCT((Quesería!$C$62:$C$77=0)*(Quesería!$H$62:$H$77&gt;0)*(Quesería!$J$62:$J$77&gt;0)*Quesería!$F$62:$F$77*(1+Quesería!$I$62:$I$77)),IF(E$43=1,SUMPRODUCT((Quesería!$C$62:$C$77=1)*(Quesería!$H$62:$H$77&gt;0)*(Quesería!$J$62:$J$77&gt;0)*Quesería!$F$62:$F$77*(1+Quesería!$I$62:$I$77))*$N$21,0))*$N$11+E567)</f>
        <v>0</v>
      </c>
      <c r="F568" s="35" t="n">
        <f aca="false">Quesería!$B$36*(IF(F$43=0,SUMPRODUCT((Quesería!$C$62:$C$77=0)*(Quesería!$H$62:$H$77&gt;0)*(Quesería!$J$62:$J$77&gt;0)*Quesería!$F$62:$F$77*(1+Quesería!$I$62:$I$77)),IF(F$43=1,SUMPRODUCT((Quesería!$C$62:$C$77=1)*(Quesería!$H$62:$H$77&gt;0)*(Quesería!$J$62:$J$77&gt;0)*Quesería!$F$62:$F$77*(1+Quesería!$I$62:$I$77))*$N$21,0))*$N$11+F567)</f>
        <v>0</v>
      </c>
      <c r="G568" s="35" t="n">
        <f aca="false">Quesería!$B$36*(IF(G$43=0,SUMPRODUCT((Quesería!$C$62:$C$77=0)*(Quesería!$H$62:$H$77&gt;0)*(Quesería!$J$62:$J$77&gt;0)*Quesería!$F$62:$F$77*(1+Quesería!$I$62:$I$77)),IF(G$43=1,SUMPRODUCT((Quesería!$C$62:$C$77=1)*(Quesería!$H$62:$H$77&gt;0)*(Quesería!$J$62:$J$77&gt;0)*Quesería!$F$62:$F$77*(1+Quesería!$I$62:$I$77))*$N$21,0))*$N$11+G567)</f>
        <v>5.06666666666667</v>
      </c>
      <c r="H568" s="35" t="n">
        <f aca="false">Quesería!$B$36*(IF(H$43=0,SUMPRODUCT((Quesería!$C$62:$C$77=0)*(Quesería!$H$62:$H$77&gt;0)*(Quesería!$J$62:$J$77&gt;0)*Quesería!$F$62:$F$77*(1+Quesería!$I$62:$I$77)),IF(H$43=1,SUMPRODUCT((Quesería!$C$62:$C$77=1)*(Quesería!$H$62:$H$77&gt;0)*(Quesería!$J$62:$J$77&gt;0)*Quesería!$F$62:$F$77*(1+Quesería!$I$62:$I$77))*$N$21,0))*$N$11+H567)</f>
        <v>6.70786508076667</v>
      </c>
      <c r="I568" s="35" t="n">
        <f aca="false">Quesería!$B$36*(IF(I$43=0,SUMPRODUCT((Quesería!$C$62:$C$77=0)*(Quesería!$H$62:$H$77&gt;0)*(Quesería!$J$62:$J$77&gt;0)*Quesería!$F$62:$F$77*(1+Quesería!$I$62:$I$77)),IF(I$43=1,SUMPRODUCT((Quesería!$C$62:$C$77=1)*(Quesería!$H$62:$H$77&gt;0)*(Quesería!$J$62:$J$77&gt;0)*Quesería!$F$62:$F$77*(1+Quesería!$I$62:$I$77))*$N$21,0))*$N$11+I567)</f>
        <v>0</v>
      </c>
      <c r="J568" s="35" t="n">
        <f aca="false">Quesería!$B$36*(IF(J$43=0,SUMPRODUCT((Quesería!$C$62:$C$77=0)*(Quesería!$H$62:$H$77&gt;0)*(Quesería!$J$62:$J$77&gt;0)*Quesería!$F$62:$F$77*(1+Quesería!$I$62:$I$77)),IF(J$43=1,SUMPRODUCT((Quesería!$C$62:$C$77=1)*(Quesería!$H$62:$H$77&gt;0)*(Quesería!$J$62:$J$77&gt;0)*Quesería!$F$62:$F$77*(1+Quesería!$I$62:$I$77))*$N$21,0))*$N$11+J567)</f>
        <v>0</v>
      </c>
      <c r="K568" s="35" t="n">
        <f aca="false">Quesería!$B$36*(IF(K$43=0,SUMPRODUCT((Quesería!$C$62:$C$77=0)*(Quesería!$H$62:$H$77&gt;0)*(Quesería!$J$62:$J$77&gt;0)*Quesería!$F$62:$F$77*(1+Quesería!$I$62:$I$77)),IF(K$43=1,SUMPRODUCT((Quesería!$C$62:$C$77=1)*(Quesería!$H$62:$H$77&gt;0)*(Quesería!$J$62:$J$77&gt;0)*Quesería!$F$62:$F$77*(1+Quesería!$I$62:$I$77))*$N$21,0))*$N$11+K567)</f>
        <v>0</v>
      </c>
      <c r="L568" s="35" t="n">
        <f aca="false">Quesería!$B$36*(IF(L$43=0,SUMPRODUCT((Quesería!$C$62:$C$77=0)*(Quesería!$H$62:$H$77&gt;0)*(Quesería!$J$62:$J$77&gt;0)*Quesería!$F$62:$F$77*(1+Quesería!$I$62:$I$77)),IF(L$43=1,SUMPRODUCT((Quesería!$C$62:$C$77=1)*(Quesería!$H$62:$H$77&gt;0)*(Quesería!$J$62:$J$77&gt;0)*Quesería!$F$62:$F$77*(1+Quesería!$I$62:$I$77))*$N$21,0))*$N$11+L567)</f>
        <v>0</v>
      </c>
    </row>
    <row r="569" customFormat="false" ht="15" hidden="false" customHeight="false" outlineLevel="0" collapsed="false">
      <c r="A569" s="6" t="s">
        <v>260</v>
      </c>
      <c r="B569" s="35" t="n">
        <f aca="false">IF(B$43=0,($N$22*Quesería!$J$109+(1-$N$22)*Quesería!$E$105)*Quesería!$B$12*Quesería!$B$13/12*$N$23,(($N$22*Quesería!$J$109+(1-$N$22)*Quesería!$E$105)+($N$22*Quesería!$J$92+(1-$N$22)*Quesería!$E$92)*(B564-1))*IF(B$43=1,Quesería!$B$12,1))*$N$10</f>
        <v>45.6373732102639</v>
      </c>
      <c r="C569" s="35" t="n">
        <f aca="false">IF(C$43=0,($N$22*Quesería!$J$109+(1-$N$22)*Quesería!$E$105)*Quesería!$B$12*Quesería!$B$13/12*$N$23,(($N$22*Quesería!$J$109+(1-$N$22)*Quesería!$E$105)+($N$22*Quesería!$J$92+(1-$N$22)*Quesería!$E$92)*(C564-1))*IF(C$43=1,Quesería!$B$12,1))*$N$10</f>
        <v>137.122681602623</v>
      </c>
      <c r="D569" s="35" t="n">
        <f aca="false">IF(D$43=0,($N$22*Quesería!$J$109+(1-$N$22)*Quesería!$E$105)*Quesería!$B$12*Quesería!$B$13/12*$N$23,(($N$22*Quesería!$J$109+(1-$N$22)*Quesería!$E$105)+($N$22*Quesería!$J$92+(1-$N$22)*Quesería!$E$92)*(D564-1))*IF(D$43=1,Quesería!$B$12,1))*$N$10</f>
        <v>182.890445883309</v>
      </c>
      <c r="E569" s="35" t="n">
        <f aca="false">IF(E$43=0,($N$22*Quesería!$J$109+(1-$N$22)*Quesería!$E$105)*Quesería!$B$12*Quesería!$B$13/12*$N$23,(($N$22*Quesería!$J$109+(1-$N$22)*Quesería!$E$105)+($N$22*Quesería!$J$92+(1-$N$22)*Quesería!$E$92)*(E564-1))*IF(E$43=1,Quesería!$B$12,1))*$N$10</f>
        <v>182.95095064852</v>
      </c>
      <c r="F569" s="35" t="n">
        <f aca="false">IF(F$43=0,($N$22*Quesería!$J$109+(1-$N$22)*Quesería!$E$105)*Quesería!$B$12*Quesería!$B$13/12*$N$23,(($N$22*Quesería!$J$109+(1-$N$22)*Quesería!$E$105)+($N$22*Quesería!$J$92+(1-$N$22)*Quesería!$E$92)*(F564-1))*IF(F$43=1,Quesería!$B$12,1))*$N$10</f>
        <v>183.011757937558</v>
      </c>
      <c r="G569" s="35" t="n">
        <f aca="false">IF(G$43=0,($N$22*Quesería!$J$109+(1-$N$22)*Quesería!$E$105)*Quesería!$B$12*Quesería!$B$13/12*$N$23,(($N$22*Quesería!$J$109+(1-$N$22)*Quesería!$E$105)+($N$22*Quesería!$J$92+(1-$N$22)*Quesería!$E$92)*(G564-1))*IF(G$43=1,Quesería!$B$12,1))*$N$10</f>
        <v>183.07286926304</v>
      </c>
      <c r="H569" s="35" t="n">
        <f aca="false">IF(H$43=0,($N$22*Quesería!$J$109+(1-$N$22)*Quesería!$E$105)*Quesería!$B$12*Quesería!$B$13/12*$N$23,(($N$22*Quesería!$J$109+(1-$N$22)*Quesería!$E$105)+($N$22*Quesería!$J$92+(1-$N$22)*Quesería!$E$92)*(H564-1))*IF(H$43=1,Quesería!$B$12,1))*$N$10</f>
        <v>183.13428614515</v>
      </c>
      <c r="I569" s="35" t="n">
        <f aca="false">IF(I$43=0,($N$22*Quesería!$J$109+(1-$N$22)*Quesería!$E$105)*Quesería!$B$12*Quesería!$B$13/12*$N$23,(($N$22*Quesería!$J$109+(1-$N$22)*Quesería!$E$105)+($N$22*Quesería!$J$92+(1-$N$22)*Quesería!$E$92)*(I564-1))*IF(I$43=1,Quesería!$B$12,1))*$N$10</f>
        <v>183.196010111671</v>
      </c>
      <c r="J569" s="35" t="n">
        <f aca="false">IF(J$43=0,($N$22*Quesería!$J$109+(1-$N$22)*Quesería!$E$105)*Quesería!$B$12*Quesería!$B$13/12*$N$23,(($N$22*Quesería!$J$109+(1-$N$22)*Quesería!$E$105)+($N$22*Quesería!$J$92+(1-$N$22)*Quesería!$E$92)*(J564-1))*IF(J$43=1,Quesería!$B$12,1))*$N$10</f>
        <v>183.258042698024</v>
      </c>
      <c r="K569" s="35" t="n">
        <f aca="false">IF(K$43=0,($N$22*Quesería!$J$109+(1-$N$22)*Quesería!$E$105)*Quesería!$B$12*Quesería!$B$13/12*$N$23,(($N$22*Quesería!$J$109+(1-$N$22)*Quesería!$E$105)+($N$22*Quesería!$J$92+(1-$N$22)*Quesería!$E$92)*(K564-1))*IF(K$43=1,Quesería!$B$12,1))*$N$10</f>
        <v>183.320385447308</v>
      </c>
      <c r="L569" s="35" t="n">
        <f aca="false">IF(L$43=0,($N$22*Quesería!$J$109+(1-$N$22)*Quesería!$E$105)*Quesería!$B$12*Quesería!$B$13/12*$N$23,(($N$22*Quesería!$J$109+(1-$N$22)*Quesería!$E$105)+($N$22*Quesería!$J$92+(1-$N$22)*Quesería!$E$92)*(L564-1))*IF(L$43=1,Quesería!$B$12,1))*$N$10</f>
        <v>183.38303991034</v>
      </c>
    </row>
    <row r="570" customFormat="false" ht="15" hidden="false" customHeight="false" outlineLevel="0" collapsed="false">
      <c r="A570" s="6" t="s">
        <v>261</v>
      </c>
      <c r="B570" s="35" t="n">
        <f aca="false">IF(B$43&lt;=1,0,((($N$22*Quesería!$J$110+(1-$N$22)*Quesería!$E$106)-($N$22*Quesería!$J$99+(1-$N$22)*Quesería!$E$99)+$N$6*($N$22*Quesería!$J$99+(1-$N$22)*Quesería!$E$99)-(1-$N$9)*($N$22*Quesería!$J$102+(1-$N$22)*Quesería!$E$102))+($N$6*($N$22*Quesería!$J$99+(1-$N$22)*Quesería!$E$99)+$N$9*($N$22*Quesería!$J$102+(1-$N$22)*Quesería!$E$102))*(B564-1))*IF(B$43=2,Quesería!$B$12,1)+IF(B$43=2,Quesería!$B$14*$N$9*($N$22*Quesería!$J$102+(1-$N$22)*Quesería!$E$102)*B564,0))*$N$10*$N$21</f>
        <v>0</v>
      </c>
      <c r="C570" s="35" t="n">
        <f aca="false">IF(C$43&lt;=1,0,((($N$22*Quesería!$J$110+(1-$N$22)*Quesería!$E$106)-($N$22*Quesería!$J$99+(1-$N$22)*Quesería!$E$99)+$N$6*($N$22*Quesería!$J$99+(1-$N$22)*Quesería!$E$99)-(1-$N$9)*($N$22*Quesería!$J$102+(1-$N$22)*Quesería!$E$102))+($N$6*($N$22*Quesería!$J$99+(1-$N$22)*Quesería!$E$99)+$N$9*($N$22*Quesería!$J$102+(1-$N$22)*Quesería!$E$102))*(C564-1))*IF(C$43=2,Quesería!$B$12,1)+IF(C$43=2,Quesería!$B$14*$N$9*($N$22*Quesería!$J$102+(1-$N$22)*Quesería!$E$102)*C564,0))*$N$10*$N$21</f>
        <v>0</v>
      </c>
      <c r="D570" s="35" t="n">
        <f aca="false">IF(D$43&lt;=1,0,((($N$22*Quesería!$J$110+(1-$N$22)*Quesería!$E$106)-($N$22*Quesería!$J$99+(1-$N$22)*Quesería!$E$99)+$N$6*($N$22*Quesería!$J$99+(1-$N$22)*Quesería!$E$99)-(1-$N$9)*($N$22*Quesería!$J$102+(1-$N$22)*Quesería!$E$102))+($N$6*($N$22*Quesería!$J$99+(1-$N$22)*Quesería!$E$99)+$N$9*($N$22*Quesería!$J$102+(1-$N$22)*Quesería!$E$102))*(D564-1))*IF(D$43=2,Quesería!$B$12,1)+IF(D$43=2,Quesería!$B$14*$N$9*($N$22*Quesería!$J$102+(1-$N$22)*Quesería!$E$102)*D564,0))*$N$10*$N$21</f>
        <v>197.428051564712</v>
      </c>
      <c r="E570" s="35" t="n">
        <f aca="false">IF(E$43&lt;=1,0,((($N$22*Quesería!$J$110+(1-$N$22)*Quesería!$E$106)-($N$22*Quesería!$J$99+(1-$N$22)*Quesería!$E$99)+$N$6*($N$22*Quesería!$J$99+(1-$N$22)*Quesería!$E$99)-(1-$N$9)*($N$22*Quesería!$J$102+(1-$N$22)*Quesería!$E$102))+($N$6*($N$22*Quesería!$J$99+(1-$N$22)*Quesería!$E$99)+$N$9*($N$22*Quesería!$J$102+(1-$N$22)*Quesería!$E$102))*(E564-1))*IF(E$43=2,Quesería!$B$12,1)+IF(E$43=2,Quesería!$B$14*$N$9*($N$22*Quesería!$J$102+(1-$N$22)*Quesería!$E$102)*E564,0))*$N$10*$N$21</f>
        <v>234.033357147268</v>
      </c>
      <c r="F570" s="35" t="n">
        <f aca="false">IF(F$43&lt;=1,0,((($N$22*Quesería!$J$110+(1-$N$22)*Quesería!$E$106)-($N$22*Quesería!$J$99+(1-$N$22)*Quesería!$E$99)+$N$6*($N$22*Quesería!$J$99+(1-$N$22)*Quesería!$E$99)-(1-$N$9)*($N$22*Quesería!$J$102+(1-$N$22)*Quesería!$E$102))+($N$6*($N$22*Quesería!$J$99+(1-$N$22)*Quesería!$E$99)+$N$9*($N$22*Quesería!$J$102+(1-$N$22)*Quesería!$E$102))*(F564-1))*IF(F$43=2,Quesería!$B$12,1)+IF(F$43=2,Quesería!$B$14*$N$9*($N$22*Quesería!$J$102+(1-$N$22)*Quesería!$E$102)*F564,0))*$N$10*$N$21</f>
        <v>234.466453961024</v>
      </c>
      <c r="G570" s="35" t="n">
        <f aca="false">IF(G$43&lt;=1,0,((($N$22*Quesería!$J$110+(1-$N$22)*Quesería!$E$106)-($N$22*Quesería!$J$99+(1-$N$22)*Quesería!$E$99)+$N$6*($N$22*Quesería!$J$99+(1-$N$22)*Quesería!$E$99)-(1-$N$9)*($N$22*Quesería!$J$102+(1-$N$22)*Quesería!$E$102))+($N$6*($N$22*Quesería!$J$99+(1-$N$22)*Quesería!$E$99)+$N$9*($N$22*Quesería!$J$102+(1-$N$22)*Quesería!$E$102))*(G564-1))*IF(G$43=2,Quesería!$B$12,1)+IF(G$43=2,Quesería!$B$14*$N$9*($N$22*Quesería!$J$102+(1-$N$22)*Quesería!$E$102)*G564,0))*$N$10*$N$21</f>
        <v>234.901716258848</v>
      </c>
      <c r="H570" s="35" t="n">
        <f aca="false">IF(H$43&lt;=1,0,((($N$22*Quesería!$J$110+(1-$N$22)*Quesería!$E$106)-($N$22*Quesería!$J$99+(1-$N$22)*Quesería!$E$99)+$N$6*($N$22*Quesería!$J$99+(1-$N$22)*Quesería!$E$99)-(1-$N$9)*($N$22*Quesería!$J$102+(1-$N$22)*Quesería!$E$102))+($N$6*($N$22*Quesería!$J$99+(1-$N$22)*Quesería!$E$99)+$N$9*($N$22*Quesería!$J$102+(1-$N$22)*Quesería!$E$102))*(H564-1))*IF(H$43=2,Quesería!$B$12,1)+IF(H$43=2,Quesería!$B$14*$N$9*($N$22*Quesería!$J$102+(1-$N$22)*Quesería!$E$102)*H564,0))*$N$10*$N$21</f>
        <v>235.339154868162</v>
      </c>
      <c r="I570" s="35" t="n">
        <f aca="false">IF(I$43&lt;=1,0,((($N$22*Quesería!$J$110+(1-$N$22)*Quesería!$E$106)-($N$22*Quesería!$J$99+(1-$N$22)*Quesería!$E$99)+$N$6*($N$22*Quesería!$J$99+(1-$N$22)*Quesería!$E$99)-(1-$N$9)*($N$22*Quesería!$J$102+(1-$N$22)*Quesería!$E$102))+($N$6*($N$22*Quesería!$J$99+(1-$N$22)*Quesería!$E$99)+$N$9*($N$22*Quesería!$J$102+(1-$N$22)*Quesería!$E$102))*(I564-1))*IF(I$43=2,Quesería!$B$12,1)+IF(I$43=2,Quesería!$B$14*$N$9*($N$22*Quesería!$J$102+(1-$N$22)*Quesería!$E$102)*I564,0))*$N$10*$N$21</f>
        <v>235.778780670522</v>
      </c>
      <c r="J570" s="35" t="n">
        <f aca="false">IF(J$43&lt;=1,0,((($N$22*Quesería!$J$110+(1-$N$22)*Quesería!$E$106)-($N$22*Quesería!$J$99+(1-$N$22)*Quesería!$E$99)+$N$6*($N$22*Quesería!$J$99+(1-$N$22)*Quesería!$E$99)-(1-$N$9)*($N$22*Quesería!$J$102+(1-$N$22)*Quesería!$E$102))+($N$6*($N$22*Quesería!$J$99+(1-$N$22)*Quesería!$E$99)+$N$9*($N$22*Quesería!$J$102+(1-$N$22)*Quesería!$E$102))*(J564-1))*IF(J$43=2,Quesería!$B$12,1)+IF(J$43=2,Quesería!$B$14*$N$9*($N$22*Quesería!$J$102+(1-$N$22)*Quesería!$E$102)*J564,0))*$N$10*$N$21</f>
        <v>236.220604601894</v>
      </c>
      <c r="K570" s="35" t="n">
        <f aca="false">IF(K$43&lt;=1,0,((($N$22*Quesería!$J$110+(1-$N$22)*Quesería!$E$106)-($N$22*Quesería!$J$99+(1-$N$22)*Quesería!$E$99)+$N$6*($N$22*Quesería!$J$99+(1-$N$22)*Quesería!$E$99)-(1-$N$9)*($N$22*Quesería!$J$102+(1-$N$22)*Quesería!$E$102))+($N$6*($N$22*Quesería!$J$99+(1-$N$22)*Quesería!$E$99)+$N$9*($N$22*Quesería!$J$102+(1-$N$22)*Quesería!$E$102))*(K564-1))*IF(K$43=2,Quesería!$B$12,1)+IF(K$43=2,Quesería!$B$14*$N$9*($N$22*Quesería!$J$102+(1-$N$22)*Quesería!$E$102)*K564,0))*$N$10*$N$21</f>
        <v>236.664637652922</v>
      </c>
      <c r="L570" s="35" t="n">
        <f aca="false">IF(L$43&lt;=1,0,((($N$22*Quesería!$J$110+(1-$N$22)*Quesería!$E$106)-($N$22*Quesería!$J$99+(1-$N$22)*Quesería!$E$99)+$N$6*($N$22*Quesería!$J$99+(1-$N$22)*Quesería!$E$99)-(1-$N$9)*($N$22*Quesería!$J$102+(1-$N$22)*Quesería!$E$102))+($N$6*($N$22*Quesería!$J$99+(1-$N$22)*Quesería!$E$99)+$N$9*($N$22*Quesería!$J$102+(1-$N$22)*Quesería!$E$102))*(L564-1))*IF(L$43=2,Quesería!$B$12,1)+IF(L$43=2,Quesería!$B$14*$N$9*($N$22*Quesería!$J$102+(1-$N$22)*Quesería!$E$102)*L564,0))*$N$10*$N$21</f>
        <v>237.110890869206</v>
      </c>
    </row>
    <row r="571" customFormat="false" ht="15" hidden="false" customHeight="false" outlineLevel="0" collapsed="false">
      <c r="A571" s="5" t="s">
        <v>287</v>
      </c>
      <c r="B571" s="10" t="n">
        <f aca="false">B569+B570</f>
        <v>45.6373732102639</v>
      </c>
      <c r="C571" s="10" t="n">
        <f aca="false">C569+C570</f>
        <v>137.122681602623</v>
      </c>
      <c r="D571" s="10" t="n">
        <f aca="false">D569+D570</f>
        <v>380.318497448021</v>
      </c>
      <c r="E571" s="10" t="n">
        <f aca="false">E569+E570</f>
        <v>416.984307795789</v>
      </c>
      <c r="F571" s="10" t="n">
        <f aca="false">F569+F570</f>
        <v>417.478211898581</v>
      </c>
      <c r="G571" s="10" t="n">
        <f aca="false">G569+G570</f>
        <v>417.974585521888</v>
      </c>
      <c r="H571" s="10" t="n">
        <f aca="false">H569+H570</f>
        <v>418.473441013312</v>
      </c>
      <c r="I571" s="10" t="n">
        <f aca="false">I569+I570</f>
        <v>418.974790782192</v>
      </c>
      <c r="J571" s="10" t="n">
        <f aca="false">J569+J570</f>
        <v>419.478647299917</v>
      </c>
      <c r="K571" s="10" t="n">
        <f aca="false">K569+K570</f>
        <v>419.985023100231</v>
      </c>
      <c r="L571" s="10" t="n">
        <f aca="false">L569+L570</f>
        <v>420.493930779546</v>
      </c>
    </row>
    <row r="572" customFormat="false" ht="15" hidden="false" customHeight="false" outlineLevel="0" collapsed="false">
      <c r="A572" s="6" t="s">
        <v>288</v>
      </c>
      <c r="B572" s="35" t="n">
        <f aca="false">(IF(B$43&gt;=1,(Quesería!$B$21+Quesería!$B$54)*Quesería!$F$82*$N$11+Quesería!$B$22+'Beneficios y costos'!$B$118,0)+IF(B$43&gt;=2,((Quesería!$B$21+Quesería!$B$54)*Quesería!$F$83*$N$11+'Beneficios y costos'!$C$118)*$N$21,0))*$N$12</f>
        <v>0</v>
      </c>
      <c r="C572" s="35" t="n">
        <f aca="false">(IF(C$43&gt;=1,(Quesería!$B$21+Quesería!$B$54)*Quesería!$F$82*$N$11+Quesería!$B$22+'Beneficios y costos'!$B$118,0)+IF(C$43&gt;=2,((Quesería!$B$21+Quesería!$B$54)*Quesería!$F$83*$N$11+'Beneficios y costos'!$C$118)*$N$21,0))*$N$12</f>
        <v>36.8921528634167</v>
      </c>
      <c r="D572" s="35" t="n">
        <f aca="false">(IF(D$43&gt;=1,(Quesería!$B$21+Quesería!$B$54)*Quesería!$F$82*$N$11+Quesería!$B$22+'Beneficios y costos'!$B$118,0)+IF(D$43&gt;=2,((Quesería!$B$21+Quesería!$B$54)*Quesería!$F$83*$N$11+'Beneficios y costos'!$C$118)*$N$21,0))*$N$12</f>
        <v>88.8065043646377</v>
      </c>
      <c r="E572" s="35" t="n">
        <f aca="false">(IF(E$43&gt;=1,(Quesería!$B$21+Quesería!$B$54)*Quesería!$F$82*$N$11+Quesería!$B$22+'Beneficios y costos'!$B$118,0)+IF(E$43&gt;=2,((Quesería!$B$21+Quesería!$B$54)*Quesería!$F$83*$N$11+'Beneficios y costos'!$C$118)*$N$21,0))*$N$12</f>
        <v>88.8065043646377</v>
      </c>
      <c r="F572" s="35" t="n">
        <f aca="false">(IF(F$43&gt;=1,(Quesería!$B$21+Quesería!$B$54)*Quesería!$F$82*$N$11+Quesería!$B$22+'Beneficios y costos'!$B$118,0)+IF(F$43&gt;=2,((Quesería!$B$21+Quesería!$B$54)*Quesería!$F$83*$N$11+'Beneficios y costos'!$C$118)*$N$21,0))*$N$12</f>
        <v>88.8065043646377</v>
      </c>
      <c r="G572" s="35" t="n">
        <f aca="false">(IF(G$43&gt;=1,(Quesería!$B$21+Quesería!$B$54)*Quesería!$F$82*$N$11+Quesería!$B$22+'Beneficios y costos'!$B$118,0)+IF(G$43&gt;=2,((Quesería!$B$21+Quesería!$B$54)*Quesería!$F$83*$N$11+'Beneficios y costos'!$C$118)*$N$21,0))*$N$12</f>
        <v>88.8065043646377</v>
      </c>
      <c r="H572" s="35" t="n">
        <f aca="false">(IF(H$43&gt;=1,(Quesería!$B$21+Quesería!$B$54)*Quesería!$F$82*$N$11+Quesería!$B$22+'Beneficios y costos'!$B$118,0)+IF(H$43&gt;=2,((Quesería!$B$21+Quesería!$B$54)*Quesería!$F$83*$N$11+'Beneficios y costos'!$C$118)*$N$21,0))*$N$12</f>
        <v>88.8065043646377</v>
      </c>
      <c r="I572" s="35" t="n">
        <f aca="false">(IF(I$43&gt;=1,(Quesería!$B$21+Quesería!$B$54)*Quesería!$F$82*$N$11+Quesería!$B$22+'Beneficios y costos'!$B$118,0)+IF(I$43&gt;=2,((Quesería!$B$21+Quesería!$B$54)*Quesería!$F$83*$N$11+'Beneficios y costos'!$C$118)*$N$21,0))*$N$12</f>
        <v>88.8065043646377</v>
      </c>
      <c r="J572" s="35" t="n">
        <f aca="false">(IF(J$43&gt;=1,(Quesería!$B$21+Quesería!$B$54)*Quesería!$F$82*$N$11+Quesería!$B$22+'Beneficios y costos'!$B$118,0)+IF(J$43&gt;=2,((Quesería!$B$21+Quesería!$B$54)*Quesería!$F$83*$N$11+'Beneficios y costos'!$C$118)*$N$21,0))*$N$12</f>
        <v>88.8065043646377</v>
      </c>
      <c r="K572" s="35" t="n">
        <f aca="false">(IF(K$43&gt;=1,(Quesería!$B$21+Quesería!$B$54)*Quesería!$F$82*$N$11+Quesería!$B$22+'Beneficios y costos'!$B$118,0)+IF(K$43&gt;=2,((Quesería!$B$21+Quesería!$B$54)*Quesería!$F$83*$N$11+'Beneficios y costos'!$C$118)*$N$21,0))*$N$12</f>
        <v>88.8065043646377</v>
      </c>
      <c r="L572" s="35" t="n">
        <f aca="false">(IF(L$43&gt;=1,(Quesería!$B$21+Quesería!$B$54)*Quesería!$F$82*$N$11+Quesería!$B$22+'Beneficios y costos'!$B$118,0)+IF(L$43&gt;=2,((Quesería!$B$21+Quesería!$B$54)*Quesería!$F$83*$N$11+'Beneficios y costos'!$C$118)*$N$21,0))*$N$12</f>
        <v>88.8065043646377</v>
      </c>
    </row>
    <row r="573" customFormat="false" ht="15" hidden="false" customHeight="false" outlineLevel="0" collapsed="false">
      <c r="A573" s="6" t="s">
        <v>289</v>
      </c>
      <c r="B573" s="35" t="n">
        <f aca="false">IF(B$43=1,2*Quesería!$B$33*Quesería!$B$34/12*B564,0)*$N$21</f>
        <v>0</v>
      </c>
      <c r="C573" s="35" t="n">
        <f aca="false">IF(C$43=1,2*Quesería!$B$33*Quesería!$B$34/12*C564,0)*$N$21</f>
        <v>18.4297183098592</v>
      </c>
      <c r="D573" s="35" t="n">
        <f aca="false">IF(D$43=1,2*Quesería!$B$33*Quesería!$B$34/12*D564,0)*$N$21</f>
        <v>0</v>
      </c>
      <c r="E573" s="35" t="n">
        <f aca="false">IF(E$43=1,2*Quesería!$B$33*Quesería!$B$34/12*E564,0)*$N$21</f>
        <v>0</v>
      </c>
      <c r="F573" s="35" t="n">
        <f aca="false">IF(F$43=1,2*Quesería!$B$33*Quesería!$B$34/12*F564,0)*$N$21</f>
        <v>0</v>
      </c>
      <c r="G573" s="35" t="n">
        <f aca="false">IF(G$43=1,2*Quesería!$B$33*Quesería!$B$34/12*G564,0)*$N$21</f>
        <v>0</v>
      </c>
      <c r="H573" s="35" t="n">
        <f aca="false">IF(H$43=1,2*Quesería!$B$33*Quesería!$B$34/12*H564,0)*$N$21</f>
        <v>0</v>
      </c>
      <c r="I573" s="35" t="n">
        <f aca="false">IF(I$43=1,2*Quesería!$B$33*Quesería!$B$34/12*I564,0)*$N$21</f>
        <v>0</v>
      </c>
      <c r="J573" s="35" t="n">
        <f aca="false">IF(J$43=1,2*Quesería!$B$33*Quesería!$B$34/12*J564,0)*$N$21</f>
        <v>0</v>
      </c>
      <c r="K573" s="35" t="n">
        <f aca="false">IF(K$43=1,2*Quesería!$B$33*Quesería!$B$34/12*K564,0)*$N$21</f>
        <v>0</v>
      </c>
      <c r="L573" s="35" t="n">
        <f aca="false">IF(L$43=1,2*Quesería!$B$33*Quesería!$B$34/12*L564,0)*$N$21</f>
        <v>0</v>
      </c>
    </row>
    <row r="574" customFormat="false" ht="15" hidden="false" customHeight="false" outlineLevel="0" collapsed="false">
      <c r="A574" s="6" t="s">
        <v>290</v>
      </c>
      <c r="B574" s="35" t="n">
        <f aca="false">Quesería!$B$45*(B566+B567+B568+B572+B573)</f>
        <v>2.88636599924197</v>
      </c>
      <c r="C574" s="35" t="n">
        <f aca="false">Quesería!$B$45*(C566+C567+C568+C572+C573)</f>
        <v>3.29277310632734</v>
      </c>
      <c r="D574" s="35" t="n">
        <f aca="false">Quesería!$B$45*(D566+D567+D568+D572+D573)</f>
        <v>0.355226017458551</v>
      </c>
      <c r="E574" s="35" t="n">
        <f aca="false">Quesería!$B$45*(E566+E567+E568+E572+E573)</f>
        <v>0.355226017458551</v>
      </c>
      <c r="F574" s="35" t="n">
        <f aca="false">Quesería!$B$45*(F566+F567+F568+F572+F573)</f>
        <v>0.355226017458551</v>
      </c>
      <c r="G574" s="35" t="n">
        <f aca="false">Quesería!$B$45*(G566+G567+G568+G572+G573)</f>
        <v>0.482159350791884</v>
      </c>
      <c r="H574" s="35" t="n">
        <f aca="false">Quesería!$B$45*(H566+H567+H568+H572+H573)</f>
        <v>0.523275690008284</v>
      </c>
      <c r="I574" s="35" t="n">
        <f aca="false">Quesería!$B$45*(I566+I567+I568+I572+I573)</f>
        <v>0.355226017458551</v>
      </c>
      <c r="J574" s="35" t="n">
        <f aca="false">Quesería!$B$45*(J566+J567+J568+J572+J573)</f>
        <v>0.355226017458551</v>
      </c>
      <c r="K574" s="35" t="n">
        <f aca="false">Quesería!$B$45*(K566+K567+K568+K572+K573)</f>
        <v>0.355226017458551</v>
      </c>
      <c r="L574" s="35" t="n">
        <f aca="false">Quesería!$B$45*(L566+L567+L568+L572+L573)</f>
        <v>0.355226017458551</v>
      </c>
    </row>
    <row r="575" customFormat="false" ht="15" hidden="false" customHeight="false" outlineLevel="0" collapsed="false">
      <c r="A575" s="6" t="s">
        <v>291</v>
      </c>
      <c r="B575" s="35" t="n">
        <f aca="false">(IF($N$19=1,(SUMPRODUCT((Quesería!$C$62:$C$77=0)*(Quesería!$J$62:$J$77&gt;0)*(B$43&gt;=1)*(B$43&lt;=Quesería!$J$62:$J$77)*(Quesería!$H$62:$H$77&gt;0)*Quesería!$F$62:$F$77*(1+Quesería!$I$62:$I$77)/(Quesería!$J$62:$J$77+(Quesería!$J$62:$J$77=0)))+SUMPRODUCT((Quesería!$C$62:$C$77=0)*(Quesería!$J$62:$J$77=0)*(B$43=0)*(Quesería!$H$62:$H$77&gt;0)*Quesería!$F$62:$F$77*(1+Quesería!$I$62:$I$77)))*$B$563+(SUMPRODUCT((Quesería!$C$62:$C$77=1)*(Quesería!$J$62:$J$77&gt;0)*(B$43&gt;=2)*(B$43&lt;=Quesería!$J$62:$J$77+1)*(Quesería!$H$62:$H$77&gt;0)*Quesería!$F$62:$F$77*(1+Quesería!$I$62:$I$77)/(Quesería!$J$62:$J$77+(Quesería!$J$62:$J$77=0)))+SUMPRODUCT((Quesería!$C$62:$C$77=1)*(Quesería!$J$62:$J$77=0)*(B$43=1)*(Quesería!$H$62:$H$77&gt;0)*Quesería!$F$62:$F$77*(1+Quesería!$I$62:$I$77)))*$C$563*$N$21,IF(AND(B$43&gt;=1,B$43&lt;=Quesería!$B$11),Quesería!$F$80/Quesería!$B$11,0)*$B$563+IF(AND(B$43&gt;=2,B$43&lt;=Quesería!$B$11+1),Quesería!$F$81/Quesería!$B$11,0)*$C$563*$N$21)*$N$11+IF(AND(B$43&gt;=6,B$43&lt;=10),$G567*$G563/5,0)+IF(AND(B$43&gt;=7,B$43&lt;=11),$H567*$H563/5,0))*B565</f>
        <v>99.3600691219113</v>
      </c>
      <c r="C575" s="35" t="n">
        <f aca="false">(IF($N$19=1,(SUMPRODUCT((Quesería!$C$62:$C$77=0)*(Quesería!$J$62:$J$77&gt;0)*(C$43&gt;=1)*(C$43&lt;=Quesería!$J$62:$J$77)*(Quesería!$H$62:$H$77&gt;0)*Quesería!$F$62:$F$77*(1+Quesería!$I$62:$I$77)/(Quesería!$J$62:$J$77+(Quesería!$J$62:$J$77=0)))+SUMPRODUCT((Quesería!$C$62:$C$77=0)*(Quesería!$J$62:$J$77=0)*(C$43=0)*(Quesería!$H$62:$H$77&gt;0)*Quesería!$F$62:$F$77*(1+Quesería!$I$62:$I$77)))*$B$563+(SUMPRODUCT((Quesería!$C$62:$C$77=1)*(Quesería!$J$62:$J$77&gt;0)*(C$43&gt;=2)*(C$43&lt;=Quesería!$J$62:$J$77+1)*(Quesería!$H$62:$H$77&gt;0)*Quesería!$F$62:$F$77*(1+Quesería!$I$62:$I$77)/(Quesería!$J$62:$J$77+(Quesería!$J$62:$J$77=0)))+SUMPRODUCT((Quesería!$C$62:$C$77=1)*(Quesería!$J$62:$J$77=0)*(C$43=1)*(Quesería!$H$62:$H$77&gt;0)*Quesería!$F$62:$F$77*(1+Quesería!$I$62:$I$77)))*$C$563*$N$21,IF(AND(C$43&gt;=1,C$43&lt;=Quesería!$B$11),Quesería!$F$80/Quesería!$B$11,0)*$B$563+IF(AND(C$43&gt;=2,C$43&lt;=Quesería!$B$11+1),Quesería!$F$81/Quesería!$B$11,0)*$C$563*$N$21)*$N$11+IF(AND(C$43&gt;=6,C$43&lt;=10),$G567*$G563/5,0)+IF(AND(C$43&gt;=7,C$43&lt;=11),$H567*$H563/5,0))*C565</f>
        <v>56.2957954804841</v>
      </c>
      <c r="D575" s="35" t="n">
        <f aca="false">(IF($N$19=1,(SUMPRODUCT((Quesería!$C$62:$C$77=0)*(Quesería!$J$62:$J$77&gt;0)*(D$43&gt;=1)*(D$43&lt;=Quesería!$J$62:$J$77)*(Quesería!$H$62:$H$77&gt;0)*Quesería!$F$62:$F$77*(1+Quesería!$I$62:$I$77)/(Quesería!$J$62:$J$77+(Quesería!$J$62:$J$77=0)))+SUMPRODUCT((Quesería!$C$62:$C$77=0)*(Quesería!$J$62:$J$77=0)*(D$43=0)*(Quesería!$H$62:$H$77&gt;0)*Quesería!$F$62:$F$77*(1+Quesería!$I$62:$I$77)))*$B$563+(SUMPRODUCT((Quesería!$C$62:$C$77=1)*(Quesería!$J$62:$J$77&gt;0)*(D$43&gt;=2)*(D$43&lt;=Quesería!$J$62:$J$77+1)*(Quesería!$H$62:$H$77&gt;0)*Quesería!$F$62:$F$77*(1+Quesería!$I$62:$I$77)/(Quesería!$J$62:$J$77+(Quesería!$J$62:$J$77=0)))+SUMPRODUCT((Quesería!$C$62:$C$77=1)*(Quesería!$J$62:$J$77=0)*(D$43=1)*(Quesería!$H$62:$H$77&gt;0)*Quesería!$F$62:$F$77*(1+Quesería!$I$62:$I$77)))*$C$563*$N$21,IF(AND(D$43&gt;=1,D$43&lt;=Quesería!$B$11),Quesería!$F$80/Quesería!$B$11,0)*$B$563+IF(AND(D$43&gt;=2,D$43&lt;=Quesería!$B$11+1),Quesería!$F$81/Quesería!$B$11,0)*$C$563*$N$21)*$N$11+IF(AND(D$43&gt;=6,D$43&lt;=10),$G567*$G563/5,0)+IF(AND(D$43&gt;=7,D$43&lt;=11),$H567*$H563/5,0))*D565</f>
        <v>113.448642571217</v>
      </c>
      <c r="E575" s="35" t="n">
        <f aca="false">(IF($N$19=1,(SUMPRODUCT((Quesería!$C$62:$C$77=0)*(Quesería!$J$62:$J$77&gt;0)*(E$43&gt;=1)*(E$43&lt;=Quesería!$J$62:$J$77)*(Quesería!$H$62:$H$77&gt;0)*Quesería!$F$62:$F$77*(1+Quesería!$I$62:$I$77)/(Quesería!$J$62:$J$77+(Quesería!$J$62:$J$77=0)))+SUMPRODUCT((Quesería!$C$62:$C$77=0)*(Quesería!$J$62:$J$77=0)*(E$43=0)*(Quesería!$H$62:$H$77&gt;0)*Quesería!$F$62:$F$77*(1+Quesería!$I$62:$I$77)))*$B$563+(SUMPRODUCT((Quesería!$C$62:$C$77=1)*(Quesería!$J$62:$J$77&gt;0)*(E$43&gt;=2)*(E$43&lt;=Quesería!$J$62:$J$77+1)*(Quesería!$H$62:$H$77&gt;0)*Quesería!$F$62:$F$77*(1+Quesería!$I$62:$I$77)/(Quesería!$J$62:$J$77+(Quesería!$J$62:$J$77=0)))+SUMPRODUCT((Quesería!$C$62:$C$77=1)*(Quesería!$J$62:$J$77=0)*(E$43=1)*(Quesería!$H$62:$H$77&gt;0)*Quesería!$F$62:$F$77*(1+Quesería!$I$62:$I$77)))*$C$563*$N$21,IF(AND(E$43&gt;=1,E$43&lt;=Quesería!$B$11),Quesería!$F$80/Quesería!$B$11,0)*$B$563+IF(AND(E$43&gt;=2,E$43&lt;=Quesería!$B$11+1),Quesería!$F$81/Quesería!$B$11,0)*$C$563*$N$21)*$N$11+IF(AND(E$43&gt;=6,E$43&lt;=10),$G567*$G563/5,0)+IF(AND(E$43&gt;=7,E$43&lt;=11),$H567*$H563/5,0))*E565</f>
        <v>106.524547015227</v>
      </c>
      <c r="F575" s="35" t="n">
        <f aca="false">(IF($N$19=1,(SUMPRODUCT((Quesería!$C$62:$C$77=0)*(Quesería!$J$62:$J$77&gt;0)*(F$43&gt;=1)*(F$43&lt;=Quesería!$J$62:$J$77)*(Quesería!$H$62:$H$77&gt;0)*Quesería!$F$62:$F$77*(1+Quesería!$I$62:$I$77)/(Quesería!$J$62:$J$77+(Quesería!$J$62:$J$77=0)))+SUMPRODUCT((Quesería!$C$62:$C$77=0)*(Quesería!$J$62:$J$77=0)*(F$43=0)*(Quesería!$H$62:$H$77&gt;0)*Quesería!$F$62:$F$77*(1+Quesería!$I$62:$I$77)))*$B$563+(SUMPRODUCT((Quesería!$C$62:$C$77=1)*(Quesería!$J$62:$J$77&gt;0)*(F$43&gt;=2)*(F$43&lt;=Quesería!$J$62:$J$77+1)*(Quesería!$H$62:$H$77&gt;0)*Quesería!$F$62:$F$77*(1+Quesería!$I$62:$I$77)/(Quesería!$J$62:$J$77+(Quesería!$J$62:$J$77=0)))+SUMPRODUCT((Quesería!$C$62:$C$77=1)*(Quesería!$J$62:$J$77=0)*(F$43=1)*(Quesería!$H$62:$H$77&gt;0)*Quesería!$F$62:$F$77*(1+Quesería!$I$62:$I$77)))*$C$563*$N$21,IF(AND(F$43&gt;=1,F$43&lt;=Quesería!$B$11),Quesería!$F$80/Quesería!$B$11,0)*$B$563+IF(AND(F$43&gt;=2,F$43&lt;=Quesería!$B$11+1),Quesería!$F$81/Quesería!$B$11,0)*$C$563*$N$21)*$N$11+IF(AND(F$43&gt;=6,F$43&lt;=10),$G567*$G563/5,0)+IF(AND(F$43&gt;=7,F$43&lt;=11),$H567*$H563/5,0))*F565</f>
        <v>100.023048840589</v>
      </c>
      <c r="G575" s="35" t="n">
        <f aca="false">(IF($N$19=1,(SUMPRODUCT((Quesería!$C$62:$C$77=0)*(Quesería!$J$62:$J$77&gt;0)*(G$43&gt;=1)*(G$43&lt;=Quesería!$J$62:$J$77)*(Quesería!$H$62:$H$77&gt;0)*Quesería!$F$62:$F$77*(1+Quesería!$I$62:$I$77)/(Quesería!$J$62:$J$77+(Quesería!$J$62:$J$77=0)))+SUMPRODUCT((Quesería!$C$62:$C$77=0)*(Quesería!$J$62:$J$77=0)*(G$43=0)*(Quesería!$H$62:$H$77&gt;0)*Quesería!$F$62:$F$77*(1+Quesería!$I$62:$I$77)))*$B$563+(SUMPRODUCT((Quesería!$C$62:$C$77=1)*(Quesería!$J$62:$J$77&gt;0)*(G$43&gt;=2)*(G$43&lt;=Quesería!$J$62:$J$77+1)*(Quesería!$H$62:$H$77&gt;0)*Quesería!$F$62:$F$77*(1+Quesería!$I$62:$I$77)/(Quesería!$J$62:$J$77+(Quesería!$J$62:$J$77=0)))+SUMPRODUCT((Quesería!$C$62:$C$77=1)*(Quesería!$J$62:$J$77=0)*(G$43=1)*(Quesería!$H$62:$H$77&gt;0)*Quesería!$F$62:$F$77*(1+Quesería!$I$62:$I$77)))*$C$563*$N$21,IF(AND(G$43&gt;=1,G$43&lt;=Quesería!$B$11),Quesería!$F$80/Quesería!$B$11,0)*$B$563+IF(AND(G$43&gt;=2,G$43&lt;=Quesería!$B$11+1),Quesería!$F$81/Quesería!$B$11,0)*$C$563*$N$21)*$N$11+IF(AND(G$43&gt;=6,G$43&lt;=10),$G567*$G563/5,0)+IF(AND(G$43&gt;=7,G$43&lt;=11),$H567*$H563/5,0))*G565</f>
        <v>93.918355718863</v>
      </c>
      <c r="H575" s="35" t="n">
        <f aca="false">(IF($N$19=1,(SUMPRODUCT((Quesería!$C$62:$C$77=0)*(Quesería!$J$62:$J$77&gt;0)*(H$43&gt;=1)*(H$43&lt;=Quesería!$J$62:$J$77)*(Quesería!$H$62:$H$77&gt;0)*Quesería!$F$62:$F$77*(1+Quesería!$I$62:$I$77)/(Quesería!$J$62:$J$77+(Quesería!$J$62:$J$77=0)))+SUMPRODUCT((Quesería!$C$62:$C$77=0)*(Quesería!$J$62:$J$77=0)*(H$43=0)*(Quesería!$H$62:$H$77&gt;0)*Quesería!$F$62:$F$77*(1+Quesería!$I$62:$I$77)))*$B$563+(SUMPRODUCT((Quesería!$C$62:$C$77=1)*(Quesería!$J$62:$J$77&gt;0)*(H$43&gt;=2)*(H$43&lt;=Quesería!$J$62:$J$77+1)*(Quesería!$H$62:$H$77&gt;0)*Quesería!$F$62:$F$77*(1+Quesería!$I$62:$I$77)/(Quesería!$J$62:$J$77+(Quesería!$J$62:$J$77=0)))+SUMPRODUCT((Quesería!$C$62:$C$77=1)*(Quesería!$J$62:$J$77=0)*(H$43=1)*(Quesería!$H$62:$H$77&gt;0)*Quesería!$F$62:$F$77*(1+Quesería!$I$62:$I$77)))*$C$563*$N$21,IF(AND(H$43&gt;=1,H$43&lt;=Quesería!$B$11),Quesería!$F$80/Quesería!$B$11,0)*$B$563+IF(AND(H$43&gt;=2,H$43&lt;=Quesería!$B$11+1),Quesería!$F$81/Quesería!$B$11,0)*$C$563*$N$21)*$N$11+IF(AND(H$43&gt;=6,H$43&lt;=10),$G567*$G563/5,0)+IF(AND(H$43&gt;=7,H$43&lt;=11),$H567*$H563/5,0))*H565</f>
        <v>82.6856177391628</v>
      </c>
      <c r="I575" s="35" t="n">
        <f aca="false">(IF($N$19=1,(SUMPRODUCT((Quesería!$C$62:$C$77=0)*(Quesería!$J$62:$J$77&gt;0)*(I$43&gt;=1)*(I$43&lt;=Quesería!$J$62:$J$77)*(Quesería!$H$62:$H$77&gt;0)*Quesería!$F$62:$F$77*(1+Quesería!$I$62:$I$77)/(Quesería!$J$62:$J$77+(Quesería!$J$62:$J$77=0)))+SUMPRODUCT((Quesería!$C$62:$C$77=0)*(Quesería!$J$62:$J$77=0)*(I$43=0)*(Quesería!$H$62:$H$77&gt;0)*Quesería!$F$62:$F$77*(1+Quesería!$I$62:$I$77)))*$B$563+(SUMPRODUCT((Quesería!$C$62:$C$77=1)*(Quesería!$J$62:$J$77&gt;0)*(I$43&gt;=2)*(I$43&lt;=Quesería!$J$62:$J$77+1)*(Quesería!$H$62:$H$77&gt;0)*Quesería!$F$62:$F$77*(1+Quesería!$I$62:$I$77)/(Quesería!$J$62:$J$77+(Quesería!$J$62:$J$77=0)))+SUMPRODUCT((Quesería!$C$62:$C$77=1)*(Quesería!$J$62:$J$77=0)*(I$43=1)*(Quesería!$H$62:$H$77&gt;0)*Quesería!$F$62:$F$77*(1+Quesería!$I$62:$I$77)))*$C$563*$N$21,IF(AND(I$43&gt;=1,I$43&lt;=Quesería!$B$11),Quesería!$F$80/Quesería!$B$11,0)*$B$563+IF(AND(I$43&gt;=2,I$43&lt;=Quesería!$B$11+1),Quesería!$F$81/Quesería!$B$11,0)*$C$563*$N$21)*$N$11+IF(AND(I$43&gt;=6,I$43&lt;=10),$G567*$G563/5,0)+IF(AND(I$43&gt;=7,I$43&lt;=11),$H567*$H563/5,0))*I565</f>
        <v>84.2690407046912</v>
      </c>
      <c r="J575" s="35" t="n">
        <f aca="false">(IF($N$19=1,(SUMPRODUCT((Quesería!$C$62:$C$77=0)*(Quesería!$J$62:$J$77&gt;0)*(J$43&gt;=1)*(J$43&lt;=Quesería!$J$62:$J$77)*(Quesería!$H$62:$H$77&gt;0)*Quesería!$F$62:$F$77*(1+Quesería!$I$62:$I$77)/(Quesería!$J$62:$J$77+(Quesería!$J$62:$J$77=0)))+SUMPRODUCT((Quesería!$C$62:$C$77=0)*(Quesería!$J$62:$J$77=0)*(J$43=0)*(Quesería!$H$62:$H$77&gt;0)*Quesería!$F$62:$F$77*(1+Quesería!$I$62:$I$77)))*$B$563+(SUMPRODUCT((Quesería!$C$62:$C$77=1)*(Quesería!$J$62:$J$77&gt;0)*(J$43&gt;=2)*(J$43&lt;=Quesería!$J$62:$J$77+1)*(Quesería!$H$62:$H$77&gt;0)*Quesería!$F$62:$F$77*(1+Quesería!$I$62:$I$77)/(Quesería!$J$62:$J$77+(Quesería!$J$62:$J$77=0)))+SUMPRODUCT((Quesería!$C$62:$C$77=1)*(Quesería!$J$62:$J$77=0)*(J$43=1)*(Quesería!$H$62:$H$77&gt;0)*Quesería!$F$62:$F$77*(1+Quesería!$I$62:$I$77)))*$C$563*$N$21,IF(AND(J$43&gt;=1,J$43&lt;=Quesería!$B$11),Quesería!$F$80/Quesería!$B$11,0)*$B$563+IF(AND(J$43&gt;=2,J$43&lt;=Quesería!$B$11+1),Quesería!$F$81/Quesería!$B$11,0)*$C$563*$N$21)*$N$11+IF(AND(J$43&gt;=6,J$43&lt;=10),$G567*$G563/5,0)+IF(AND(J$43&gt;=7,J$43&lt;=11),$H567*$H563/5,0))*J565</f>
        <v>79.1258598166115</v>
      </c>
      <c r="K575" s="35" t="n">
        <f aca="false">(IF($N$19=1,(SUMPRODUCT((Quesería!$C$62:$C$77=0)*(Quesería!$J$62:$J$77&gt;0)*(K$43&gt;=1)*(K$43&lt;=Quesería!$J$62:$J$77)*(Quesería!$H$62:$H$77&gt;0)*Quesería!$F$62:$F$77*(1+Quesería!$I$62:$I$77)/(Quesería!$J$62:$J$77+(Quesería!$J$62:$J$77=0)))+SUMPRODUCT((Quesería!$C$62:$C$77=0)*(Quesería!$J$62:$J$77=0)*(K$43=0)*(Quesería!$H$62:$H$77&gt;0)*Quesería!$F$62:$F$77*(1+Quesería!$I$62:$I$77)))*$B$563+(SUMPRODUCT((Quesería!$C$62:$C$77=1)*(Quesería!$J$62:$J$77&gt;0)*(K$43&gt;=2)*(K$43&lt;=Quesería!$J$62:$J$77+1)*(Quesería!$H$62:$H$77&gt;0)*Quesería!$F$62:$F$77*(1+Quesería!$I$62:$I$77)/(Quesería!$J$62:$J$77+(Quesería!$J$62:$J$77=0)))+SUMPRODUCT((Quesería!$C$62:$C$77=1)*(Quesería!$J$62:$J$77=0)*(K$43=1)*(Quesería!$H$62:$H$77&gt;0)*Quesería!$F$62:$F$77*(1+Quesería!$I$62:$I$77)))*$C$563*$N$21,IF(AND(K$43&gt;=1,K$43&lt;=Quesería!$B$11),Quesería!$F$80/Quesería!$B$11,0)*$B$563+IF(AND(K$43&gt;=2,K$43&lt;=Quesería!$B$11+1),Quesería!$F$81/Quesería!$B$11,0)*$C$563*$N$21)*$N$11+IF(AND(K$43&gt;=6,K$43&lt;=10),$G567*$G563/5,0)+IF(AND(K$43&gt;=7,K$43&lt;=11),$H567*$H563/5,0))*K565</f>
        <v>74.2965819874286</v>
      </c>
      <c r="L575" s="35" t="n">
        <f aca="false">(IF($N$19=1,(SUMPRODUCT((Quesería!$C$62:$C$77=0)*(Quesería!$J$62:$J$77&gt;0)*(L$43&gt;=1)*(L$43&lt;=Quesería!$J$62:$J$77)*(Quesería!$H$62:$H$77&gt;0)*Quesería!$F$62:$F$77*(1+Quesería!$I$62:$I$77)/(Quesería!$J$62:$J$77+(Quesería!$J$62:$J$77=0)))+SUMPRODUCT((Quesería!$C$62:$C$77=0)*(Quesería!$J$62:$J$77=0)*(L$43=0)*(Quesería!$H$62:$H$77&gt;0)*Quesería!$F$62:$F$77*(1+Quesería!$I$62:$I$77)))*$B$563+(SUMPRODUCT((Quesería!$C$62:$C$77=1)*(Quesería!$J$62:$J$77&gt;0)*(L$43&gt;=2)*(L$43&lt;=Quesería!$J$62:$J$77+1)*(Quesería!$H$62:$H$77&gt;0)*Quesería!$F$62:$F$77*(1+Quesería!$I$62:$I$77)/(Quesería!$J$62:$J$77+(Quesería!$J$62:$J$77=0)))+SUMPRODUCT((Quesería!$C$62:$C$77=1)*(Quesería!$J$62:$J$77=0)*(L$43=1)*(Quesería!$H$62:$H$77&gt;0)*Quesería!$F$62:$F$77*(1+Quesería!$I$62:$I$77)))*$C$563*$N$21,IF(AND(L$43&gt;=1,L$43&lt;=Quesería!$B$11),Quesería!$F$80/Quesería!$B$11,0)*$B$563+IF(AND(L$43&gt;=2,L$43&lt;=Quesería!$B$11+1),Quesería!$F$81/Quesería!$B$11,0)*$C$563*$N$21)*$N$11+IF(AND(L$43&gt;=6,L$43&lt;=10),$G567*$G563/5,0)+IF(AND(L$43&gt;=7,L$43&lt;=11),$H567*$H563/5,0))*L565</f>
        <v>69.762048814487</v>
      </c>
    </row>
    <row r="576" customFormat="false" ht="15" hidden="false" customHeight="false" outlineLevel="0" collapsed="false">
      <c r="A576" s="9" t="s">
        <v>292</v>
      </c>
      <c r="B576" s="36" t="n">
        <f aca="false">IF(B$43=1,MIN($N$7*Quesería!$B$35*Quesería!$F$75*$N$11*$N$21,Quesería!$B$50*Quesería!$B$51),0)</f>
        <v>0</v>
      </c>
      <c r="C576" s="36" t="n">
        <f aca="false">IF(C$43=1,MIN($N$7*Quesería!$B$35*Quesería!$F$75*$N$11*$N$21,Quesería!$B$50*Quesería!$B$51),0)</f>
        <v>20</v>
      </c>
      <c r="D576" s="36" t="n">
        <f aca="false">IF(D$43=1,MIN($N$7*Quesería!$B$35*Quesería!$F$75*$N$11*$N$21,Quesería!$B$50*Quesería!$B$51),0)</f>
        <v>0</v>
      </c>
      <c r="E576" s="36" t="n">
        <f aca="false">IF(E$43=1,MIN($N$7*Quesería!$B$35*Quesería!$F$75*$N$11*$N$21,Quesería!$B$50*Quesería!$B$51),0)</f>
        <v>0</v>
      </c>
      <c r="F576" s="36" t="n">
        <f aca="false">IF(F$43=1,MIN($N$7*Quesería!$B$35*Quesería!$F$75*$N$11*$N$21,Quesería!$B$50*Quesería!$B$51),0)</f>
        <v>0</v>
      </c>
      <c r="G576" s="36" t="n">
        <f aca="false">IF(G$43=1,MIN($N$7*Quesería!$B$35*Quesería!$F$75*$N$11*$N$21,Quesería!$B$50*Quesería!$B$51),0)</f>
        <v>0</v>
      </c>
      <c r="H576" s="36" t="n">
        <f aca="false">IF(H$43=1,MIN($N$7*Quesería!$B$35*Quesería!$F$75*$N$11*$N$21,Quesería!$B$50*Quesería!$B$51),0)</f>
        <v>0</v>
      </c>
      <c r="I576" s="36" t="n">
        <f aca="false">IF(I$43=1,MIN($N$7*Quesería!$B$35*Quesería!$F$75*$N$11*$N$21,Quesería!$B$50*Quesería!$B$51),0)</f>
        <v>0</v>
      </c>
      <c r="J576" s="36" t="n">
        <f aca="false">IF(J$43=1,MIN($N$7*Quesería!$B$35*Quesería!$F$75*$N$11*$N$21,Quesería!$B$50*Quesería!$B$51),0)</f>
        <v>0</v>
      </c>
      <c r="K576" s="36" t="n">
        <f aca="false">IF(K$43=1,MIN($N$7*Quesería!$B$35*Quesería!$F$75*$N$11*$N$21,Quesería!$B$50*Quesería!$B$51),0)</f>
        <v>0</v>
      </c>
      <c r="L576" s="36" t="n">
        <f aca="false">IF(L$43=1,MIN($N$7*Quesería!$B$35*Quesería!$F$75*$N$11*$N$21,Quesería!$B$50*Quesería!$B$51),0)</f>
        <v>0</v>
      </c>
    </row>
    <row r="577" customFormat="false" ht="15" hidden="false" customHeight="false" outlineLevel="0" collapsed="false">
      <c r="A577" s="9" t="s">
        <v>293</v>
      </c>
      <c r="B577" s="36" t="n">
        <v>0</v>
      </c>
      <c r="C577" s="36" t="n">
        <f aca="false">$N$20*Quesería!$B$52*Quesería!$F$86*$N$11*$B$563/C563</f>
        <v>164.52946042648</v>
      </c>
      <c r="D577" s="36" t="n">
        <v>0</v>
      </c>
      <c r="E577" s="36" t="n">
        <v>0</v>
      </c>
      <c r="F577" s="36" t="n">
        <v>0</v>
      </c>
      <c r="G577" s="36" t="n">
        <v>0</v>
      </c>
      <c r="H577" s="36" t="n">
        <v>0</v>
      </c>
      <c r="I577" s="36" t="n">
        <v>0</v>
      </c>
      <c r="J577" s="36" t="n">
        <v>0</v>
      </c>
      <c r="K577" s="36" t="n">
        <v>0</v>
      </c>
      <c r="L577" s="36" t="n">
        <v>0</v>
      </c>
    </row>
    <row r="578" customFormat="false" ht="15" hidden="false" customHeight="false" outlineLevel="0" collapsed="false">
      <c r="A578" s="9" t="s">
        <v>294</v>
      </c>
      <c r="B578" s="36" t="n">
        <f aca="false">0</f>
        <v>0</v>
      </c>
      <c r="C578" s="36" t="n">
        <f aca="false">B568*B563/C563</f>
        <v>93.2843901296648</v>
      </c>
      <c r="D578" s="36" t="n">
        <f aca="false">C568*C563/D563</f>
        <v>115.118607352055</v>
      </c>
      <c r="E578" s="36" t="n">
        <f aca="false">D568*D563/E563</f>
        <v>0</v>
      </c>
      <c r="F578" s="36" t="n">
        <f aca="false">E568*E563/F563</f>
        <v>0</v>
      </c>
      <c r="G578" s="36" t="n">
        <f aca="false">F568*F563/G563</f>
        <v>0</v>
      </c>
      <c r="H578" s="36" t="n">
        <f aca="false">G568*G563/H563</f>
        <v>4.75743348982786</v>
      </c>
      <c r="I578" s="36" t="n">
        <f aca="false">H568*H563/I563</f>
        <v>6.29846486456964</v>
      </c>
      <c r="J578" s="36" t="n">
        <f aca="false">I568*I563/J563</f>
        <v>0</v>
      </c>
      <c r="K578" s="36" t="n">
        <f aca="false">J568*J563/K563</f>
        <v>0</v>
      </c>
      <c r="L578" s="36" t="n">
        <f aca="false">K568*K563/L563</f>
        <v>0</v>
      </c>
    </row>
    <row r="579" customFormat="false" ht="15" hidden="false" customHeight="false" outlineLevel="0" collapsed="false">
      <c r="A579" s="6" t="s">
        <v>86</v>
      </c>
      <c r="B579" s="35" t="n">
        <f aca="false">$N$17*(B571-B572-B573-0.5*B574-B575)-B576-B577-B578</f>
        <v>-19.3080576189439</v>
      </c>
      <c r="C579" s="35" t="n">
        <f aca="false">$N$17*(C571-C572-C573-0.5*C574-C575)-C576-C577-C578</f>
        <v>-269.46333061765</v>
      </c>
      <c r="D579" s="35" t="n">
        <f aca="false">$N$17*(D571-D572-D573-0.5*D574-D575)-D576-D577-D578</f>
        <v>-52.8585992258518</v>
      </c>
      <c r="E579" s="35" t="n">
        <f aca="false">$N$17*(E571-E572-E573-0.5*E574-E575)-E576-E577-E578</f>
        <v>77.5164751925179</v>
      </c>
      <c r="F579" s="35" t="n">
        <f aca="false">$N$17*(F571-F572-F573-0.5*F574-F575)-F576-F577-F578</f>
        <v>79.9648659896189</v>
      </c>
      <c r="G579" s="35" t="n">
        <f aca="false">$N$17*(G571-G572-G573-0.5*G574-G575)-G576-G577-G578</f>
        <v>82.2530260170471</v>
      </c>
      <c r="H579" s="35" t="n">
        <f aca="false">$N$17*(H571-H572-H573-0.5*H574-H575)-H576-H577-H578</f>
        <v>81.5944548827496</v>
      </c>
      <c r="I579" s="35" t="n">
        <f aca="false">$N$17*(I571-I572-I573-0.5*I574-I575)-I576-I577-I578</f>
        <v>79.7041065818773</v>
      </c>
      <c r="J579" s="35" t="n">
        <f aca="false">$N$17*(J571-J572-J573-0.5*J574-J575)-J576-J577-J578</f>
        <v>87.9790345384786</v>
      </c>
      <c r="K579" s="35" t="n">
        <f aca="false">$N$17*(K571-K572-K573-0.5*K574-K575)-K576-K577-K578</f>
        <v>89.8465133088024</v>
      </c>
      <c r="L579" s="35" t="n">
        <f aca="false">$N$17*(L571-L572-L573-0.5*L574-L575)-L576-L577-L578</f>
        <v>91.6117176070923</v>
      </c>
    </row>
    <row r="580" customFormat="false" ht="15" hidden="false" customHeight="false" outlineLevel="0" collapsed="false">
      <c r="A580" s="9" t="s">
        <v>295</v>
      </c>
      <c r="B580" s="36" t="n">
        <f aca="false">(IF(B$43&gt;=1,Quesería!$G$107*IF(B$43=1,Quesería!$B$12,1),Quesería!$G$107*Quesería!$B$12*Quesería!$B$13/12*$N$23)+IF(B$43&gt;=2,Quesería!$G$108*$N$21*IF(B$43=2,Quesería!$B$12,1),0))*$N$10</f>
        <v>26.8516916045565</v>
      </c>
      <c r="C580" s="36" t="n">
        <f aca="false">(IF(C$43&gt;=1,Quesería!$G$107*IF(C$43=1,Quesería!$B$12,1),Quesería!$G$107*Quesería!$B$12*Quesería!$B$13/12*$N$23)+IF(C$43&gt;=2,Quesería!$G$108*$N$21*IF(C$43=2,Quesería!$B$12,1),0))*$N$10</f>
        <v>80.5550748136695</v>
      </c>
      <c r="D580" s="36" t="n">
        <f aca="false">(IF(D$43&gt;=1,Quesería!$G$107*IF(D$43=1,Quesería!$B$12,1),Quesería!$G$107*Quesería!$B$12*Quesería!$B$13/12*$N$23)+IF(D$43&gt;=2,Quesería!$G$108*$N$21*IF(D$43=2,Quesería!$B$12,1),0))*$N$10</f>
        <v>189.651223070959</v>
      </c>
      <c r="E580" s="36" t="n">
        <f aca="false">(IF(E$43&gt;=1,Quesería!$G$107*IF(E$43=1,Quesería!$B$12,1),Quesería!$G$107*Quesería!$B$12*Quesería!$B$13/12*$N$23)+IF(E$43&gt;=2,Quesería!$G$108*$N$21*IF(E$43=2,Quesería!$B$12,1),0))*$N$10</f>
        <v>217.066041955203</v>
      </c>
      <c r="F580" s="36" t="n">
        <f aca="false">(IF(F$43&gt;=1,Quesería!$G$107*IF(F$43=1,Quesería!$B$12,1),Quesería!$G$107*Quesería!$B$12*Quesería!$B$13/12*$N$23)+IF(F$43&gt;=2,Quesería!$G$108*$N$21*IF(F$43=2,Quesería!$B$12,1),0))*$N$10</f>
        <v>217.066041955203</v>
      </c>
      <c r="G580" s="36" t="n">
        <f aca="false">(IF(G$43&gt;=1,Quesería!$G$107*IF(G$43=1,Quesería!$B$12,1),Quesería!$G$107*Quesería!$B$12*Quesería!$B$13/12*$N$23)+IF(G$43&gt;=2,Quesería!$G$108*$N$21*IF(G$43=2,Quesería!$B$12,1),0))*$N$10</f>
        <v>217.066041955203</v>
      </c>
      <c r="H580" s="36" t="n">
        <f aca="false">(IF(H$43&gt;=1,Quesería!$G$107*IF(H$43=1,Quesería!$B$12,1),Quesería!$G$107*Quesería!$B$12*Quesería!$B$13/12*$N$23)+IF(H$43&gt;=2,Quesería!$G$108*$N$21*IF(H$43=2,Quesería!$B$12,1),0))*$N$10</f>
        <v>217.066041955203</v>
      </c>
      <c r="I580" s="36" t="n">
        <f aca="false">(IF(I$43&gt;=1,Quesería!$G$107*IF(I$43=1,Quesería!$B$12,1),Quesería!$G$107*Quesería!$B$12*Quesería!$B$13/12*$N$23)+IF(I$43&gt;=2,Quesería!$G$108*$N$21*IF(I$43=2,Quesería!$B$12,1),0))*$N$10</f>
        <v>217.066041955203</v>
      </c>
      <c r="J580" s="36" t="n">
        <f aca="false">(IF(J$43&gt;=1,Quesería!$G$107*IF(J$43=1,Quesería!$B$12,1),Quesería!$G$107*Quesería!$B$12*Quesería!$B$13/12*$N$23)+IF(J$43&gt;=2,Quesería!$G$108*$N$21*IF(J$43=2,Quesería!$B$12,1),0))*$N$10</f>
        <v>217.066041955203</v>
      </c>
      <c r="K580" s="36" t="n">
        <f aca="false">(IF(K$43&gt;=1,Quesería!$G$107*IF(K$43=1,Quesería!$B$12,1),Quesería!$G$107*Quesería!$B$12*Quesería!$B$13/12*$N$23)+IF(K$43&gt;=2,Quesería!$G$108*$N$21*IF(K$43=2,Quesería!$B$12,1),0))*$N$10</f>
        <v>217.066041955203</v>
      </c>
      <c r="L580" s="36" t="n">
        <f aca="false">(IF(L$43&gt;=1,Quesería!$G$107*IF(L$43=1,Quesería!$B$12,1),Quesería!$G$107*Quesería!$B$12*Quesería!$B$13/12*$N$23)+IF(L$43&gt;=2,Quesería!$G$108*$N$21*IF(L$43=2,Quesería!$B$12,1),0))*$N$10</f>
        <v>217.066041955203</v>
      </c>
    </row>
    <row r="581" customFormat="false" ht="15" hidden="false" customHeight="false" outlineLevel="0" collapsed="false">
      <c r="A581" s="6" t="s">
        <v>296</v>
      </c>
      <c r="B581" s="35" t="n">
        <f aca="false">(B580*(Quesería!$B$23+Quesería!$B$25*Quesería!$B$24)/365-B572*Quesería!$B$26/365)</f>
        <v>2.50861009237089</v>
      </c>
      <c r="C581" s="35" t="n">
        <f aca="false">(C580*(Quesería!$B$23+Quesería!$B$25*Quesería!$B$24)/365-C572*Quesería!$B$26/365)-(B580*(Quesería!$B$23+Quesería!$B$25*Quesería!$B$24)/365-B572*Quesería!$B$26/365)*B563/C563</f>
        <v>2.94669123201594</v>
      </c>
      <c r="D581" s="35" t="n">
        <f aca="false">(D580*(Quesería!$B$23+Quesería!$B$25*Quesería!$B$24)/365-D572*Quesería!$B$26/365)-(C580*(Quesería!$B$23+Quesería!$B$25*Quesería!$B$24)/365-C572*Quesería!$B$26/365)*C563/D563</f>
        <v>7.38679415330133</v>
      </c>
      <c r="E581" s="35" t="n">
        <f aca="false">(E580*(Quesería!$B$23+Quesería!$B$25*Quesería!$B$24)/365-E572*Quesería!$B$26/365)-(D580*(Quesería!$B$23+Quesería!$B$25*Quesería!$B$24)/365-D572*Quesería!$B$26/365)*D563/E563</f>
        <v>3.315914604682</v>
      </c>
      <c r="F581" s="35" t="n">
        <f aca="false">(F580*(Quesería!$B$23+Quesería!$B$25*Quesería!$B$24)/365-F572*Quesería!$B$26/365)-(E580*(Quesería!$B$23+Quesería!$B$25*Quesería!$B$24)/365-E572*Quesería!$B$26/365)*E563/F563</f>
        <v>0.911013134612585</v>
      </c>
      <c r="G581" s="35" t="n">
        <f aca="false">(G580*(Quesería!$B$23+Quesería!$B$25*Quesería!$B$24)/365-G572*Quesería!$B$26/365)-(F580*(Quesería!$B$23+Quesería!$B$25*Quesería!$B$24)/365-F572*Quesería!$B$26/365)*F563/G563</f>
        <v>0.911013134612585</v>
      </c>
      <c r="H581" s="35" t="n">
        <f aca="false">(H580*(Quesería!$B$23+Quesería!$B$25*Quesería!$B$24)/365-H572*Quesería!$B$26/365)-(G580*(Quesería!$B$23+Quesería!$B$25*Quesería!$B$24)/365-G572*Quesería!$B$26/365)*G563/H563</f>
        <v>0.911013134612583</v>
      </c>
      <c r="I581" s="35" t="n">
        <f aca="false">(I580*(Quesería!$B$23+Quesería!$B$25*Quesería!$B$24)/365-I572*Quesería!$B$26/365)-(H580*(Quesería!$B$23+Quesería!$B$25*Quesería!$B$24)/365-H572*Quesería!$B$26/365)*H563/I563</f>
        <v>0.911013134612581</v>
      </c>
      <c r="J581" s="35" t="n">
        <f aca="false">(J580*(Quesería!$B$23+Quesería!$B$25*Quesería!$B$24)/365-J572*Quesería!$B$26/365)-(I580*(Quesería!$B$23+Quesería!$B$25*Quesería!$B$24)/365-I572*Quesería!$B$26/365)*I563/J563</f>
        <v>0.911013134612583</v>
      </c>
      <c r="K581" s="35" t="n">
        <f aca="false">(K580*(Quesería!$B$23+Quesería!$B$25*Quesería!$B$24)/365-K572*Quesería!$B$26/365)-(J580*(Quesería!$B$23+Quesería!$B$25*Quesería!$B$24)/365-J572*Quesería!$B$26/365)*J563/K563</f>
        <v>0.911013134612583</v>
      </c>
      <c r="L581" s="35" t="n">
        <f aca="false">-(K580*(Quesería!$B$23+Quesería!$B$25*Quesería!$B$24)/365-K572*Quesería!$B$26/365)*K563/L563</f>
        <v>-14.0155866863474</v>
      </c>
    </row>
    <row r="582" customFormat="false" ht="15" hidden="false" customHeight="false" outlineLevel="0" collapsed="false">
      <c r="A582" s="6" t="s">
        <v>297</v>
      </c>
      <c r="B582" s="35" t="n">
        <v>0</v>
      </c>
      <c r="C582" s="35" t="n">
        <v>0</v>
      </c>
      <c r="D582" s="35" t="n">
        <v>0</v>
      </c>
      <c r="E582" s="35" t="n">
        <v>0</v>
      </c>
      <c r="F582" s="35" t="n">
        <v>0</v>
      </c>
      <c r="G582" s="35" t="n">
        <v>0</v>
      </c>
      <c r="H582" s="35" t="n">
        <v>0</v>
      </c>
      <c r="I582" s="35" t="n">
        <v>0</v>
      </c>
      <c r="J582" s="35" t="n">
        <v>0</v>
      </c>
      <c r="K582" s="35" t="n">
        <v>0</v>
      </c>
      <c r="L582" s="35" t="n">
        <f aca="false">$N$8*Quesería!$B$39*(Quesería!$F$82+Quesería!$F$83*$N$21)*$N$11*(1-$N$17)</f>
        <v>56.0502928201667</v>
      </c>
    </row>
    <row r="583" customFormat="false" ht="15" hidden="false" customHeight="false" outlineLevel="0" collapsed="false">
      <c r="A583" s="5" t="s">
        <v>298</v>
      </c>
      <c r="B583" s="37" t="n">
        <f aca="false">B571-B572-B573-B574-B579-B566-B567-B568-B581+B582</f>
        <v>-662.041045072899</v>
      </c>
      <c r="C583" s="37" t="n">
        <f aca="false">C571-C572-C573-C574-C579-C566-C567-C568-C581+C582</f>
        <v>-422.846728699906</v>
      </c>
      <c r="D583" s="37" t="n">
        <f aca="false">D571-D572-D573-D574-D579-D566-D567-D568-D581+D582</f>
        <v>336.628572138475</v>
      </c>
      <c r="E583" s="37" t="n">
        <f aca="false">E571-E572-E573-E574-E579-E566-E567-E568-E581+E582</f>
        <v>246.990187616492</v>
      </c>
      <c r="F583" s="37" t="n">
        <f aca="false">F571-F572-F573-F574-F579-F566-F567-F568-F581+F582</f>
        <v>247.440602392254</v>
      </c>
      <c r="G583" s="37" t="n">
        <f aca="false">G571-G572-G573-G574-G579-G566-G567-G568-G581+G582</f>
        <v>213.788549321466</v>
      </c>
      <c r="H583" s="37" t="n">
        <f aca="false">H571-H572-H573-H574-H579-H566-H567-H568-H581+H582</f>
        <v>204.62577480387</v>
      </c>
      <c r="I583" s="37" t="n">
        <f aca="false">I571-I572-I573-I574-I579-I566-I567-I568-I581+I582</f>
        <v>249.197940683606</v>
      </c>
      <c r="J583" s="37" t="n">
        <f aca="false">J571-J572-J573-J574-J579-J566-J567-J568-J581+J582</f>
        <v>241.42686924473</v>
      </c>
      <c r="K583" s="37" t="n">
        <f aca="false">K571-K572-K573-K574-K579-K566-K567-K568-K581+K582</f>
        <v>240.06576627472</v>
      </c>
      <c r="L583" s="37" t="n">
        <f aca="false">L571-L572-L573-L574-L579-L566-L567-L568-L581+L582</f>
        <v>309.786362296872</v>
      </c>
    </row>
    <row r="584" customFormat="false" ht="15" hidden="false" customHeight="false" outlineLevel="0" collapsed="false">
      <c r="A584" s="9" t="s">
        <v>299</v>
      </c>
      <c r="B584" s="36" t="n">
        <f aca="false">B583*B563</f>
        <v>-705.073713002637</v>
      </c>
      <c r="C584" s="36" t="n">
        <f aca="false">C583*C563</f>
        <v>-479.603330859651</v>
      </c>
      <c r="D584" s="36" t="n">
        <f aca="false">D583*D563</f>
        <v>406.630357478956</v>
      </c>
      <c r="E584" s="36" t="n">
        <f aca="false">E583*E563</f>
        <v>317.744565303173</v>
      </c>
      <c r="F584" s="36" t="n">
        <f aca="false">F583*F563</f>
        <v>339.015069325155</v>
      </c>
      <c r="G584" s="36" t="n">
        <f aca="false">G583*G563</f>
        <v>311.947914830374</v>
      </c>
      <c r="H584" s="36" t="n">
        <f aca="false">H583*H563</f>
        <v>317.985700971691</v>
      </c>
      <c r="I584" s="36" t="n">
        <f aca="false">I583*I563</f>
        <v>412.421513125851</v>
      </c>
      <c r="J584" s="36" t="n">
        <f aca="false">J583*J563</f>
        <v>425.531851062882</v>
      </c>
      <c r="K584" s="36" t="n">
        <f aca="false">K583*K563</f>
        <v>450.636444002874</v>
      </c>
      <c r="L584" s="36" t="n">
        <f aca="false">L583*L563</f>
        <v>619.309840045268</v>
      </c>
    </row>
    <row r="585" customFormat="false" ht="15" hidden="false" customHeight="false" outlineLevel="0" collapsed="false">
      <c r="A585" s="6" t="s">
        <v>300</v>
      </c>
      <c r="B585" s="35" t="n">
        <f aca="false">B583</f>
        <v>-662.041045072899</v>
      </c>
      <c r="C585" s="35" t="n">
        <f aca="false">B585+C583</f>
        <v>-1084.8877737728</v>
      </c>
      <c r="D585" s="35" t="n">
        <f aca="false">C585+D583</f>
        <v>-748.25920163433</v>
      </c>
      <c r="E585" s="35" t="n">
        <f aca="false">D585+E583</f>
        <v>-501.269014017838</v>
      </c>
      <c r="F585" s="35" t="n">
        <f aca="false">E585+F583</f>
        <v>-253.828411625584</v>
      </c>
      <c r="G585" s="35" t="n">
        <f aca="false">F585+G583</f>
        <v>-40.0398623041181</v>
      </c>
      <c r="H585" s="35" t="n">
        <f aca="false">G585+H583</f>
        <v>164.585912499752</v>
      </c>
      <c r="I585" s="35" t="n">
        <f aca="false">H585+I583</f>
        <v>413.783853183358</v>
      </c>
      <c r="J585" s="35" t="n">
        <f aca="false">I585+J583</f>
        <v>655.210722428088</v>
      </c>
      <c r="K585" s="35" t="n">
        <f aca="false">J585+K583</f>
        <v>895.276488702808</v>
      </c>
      <c r="L585" s="35" t="n">
        <f aca="false">K585+L583</f>
        <v>1205.06285099968</v>
      </c>
    </row>
    <row r="586" customFormat="false" ht="15" hidden="false" customHeight="false" outlineLevel="0" collapsed="false">
      <c r="A586" s="9" t="s">
        <v>301</v>
      </c>
      <c r="B586" s="38" t="n">
        <v>0</v>
      </c>
      <c r="C586" s="38" t="n">
        <f aca="false">IF(AND(B585&lt;0,C585&gt;=0),B$43+(-B585)/C583,0)</f>
        <v>0</v>
      </c>
      <c r="D586" s="38" t="n">
        <f aca="false">IF(AND(C585&lt;0,D585&gt;=0),C$43+(-C585)/D583,0)</f>
        <v>0</v>
      </c>
      <c r="E586" s="38" t="n">
        <f aca="false">IF(AND(D585&lt;0,E585&gt;=0),D$43+(-D585)/E583,0)</f>
        <v>0</v>
      </c>
      <c r="F586" s="38" t="n">
        <f aca="false">IF(AND(E585&lt;0,F585&gt;=0),E$43+(-E585)/F583,0)</f>
        <v>0</v>
      </c>
      <c r="G586" s="38" t="n">
        <f aca="false">IF(AND(F585&lt;0,G585&gt;=0),F$43+(-F585)/G583,0)</f>
        <v>0</v>
      </c>
      <c r="H586" s="38" t="n">
        <f aca="false">IF(AND(G585&lt;0,H585&gt;=0),G$43+(-G585)/H583,0)</f>
        <v>5.19567360144388</v>
      </c>
      <c r="I586" s="38" t="n">
        <f aca="false">IF(AND(H585&lt;0,I585&gt;=0),H$43+(-H585)/I583,0)</f>
        <v>0</v>
      </c>
      <c r="J586" s="38" t="n">
        <f aca="false">IF(AND(I585&lt;0,J585&gt;=0),I$43+(-I585)/J583,0)</f>
        <v>0</v>
      </c>
      <c r="K586" s="38" t="n">
        <f aca="false">IF(AND(J585&lt;0,K585&gt;=0),J$43+(-J585)/K583,0)</f>
        <v>0</v>
      </c>
      <c r="L586" s="38" t="n">
        <f aca="false">IF(AND(K585&lt;0,L585&gt;=0),K$43+(-K585)/L583,0)</f>
        <v>0</v>
      </c>
    </row>
    <row r="587" customFormat="false" ht="15" hidden="false" customHeight="false" outlineLevel="0" collapsed="false">
      <c r="A587" s="9" t="s">
        <v>302</v>
      </c>
      <c r="B587" s="34" t="n">
        <f aca="false">(B563/$B$563)/(1+$N$25)^B$43</f>
        <v>1</v>
      </c>
      <c r="C587" s="34" t="n">
        <f aca="false">(C563/$B$563)/(1+$N$25)^C$43</f>
        <v>0.921566285505492</v>
      </c>
      <c r="D587" s="34" t="n">
        <f aca="false">(D563/$B$563)/(1+$N$25)^D$43</f>
        <v>0.849284418580391</v>
      </c>
      <c r="E587" s="34" t="n">
        <f aca="false">(E563/$B$563)/(1+$N$25)^E$43</f>
        <v>0.782671886968822</v>
      </c>
      <c r="F587" s="34" t="n">
        <f aca="false">(F563/$B$563)/(1+$N$25)^F$43</f>
        <v>0.721284023643432</v>
      </c>
      <c r="G587" s="34" t="n">
        <f aca="false">(G563/$B$563)/(1+$N$25)^G$43</f>
        <v>0.664711038463534</v>
      </c>
      <c r="H587" s="34" t="n">
        <f aca="false">(H563/$B$563)/(1+$N$25)^H$43</f>
        <v>0.612575282651337</v>
      </c>
      <c r="I587" s="34" t="n">
        <f aca="false">(I563/$B$563)/(1+$N$25)^I$43</f>
        <v>0.56452872782547</v>
      </c>
      <c r="J587" s="34" t="n">
        <f aca="false">(J563/$B$563)/(1+$N$25)^J$43</f>
        <v>0.520250642763259</v>
      </c>
      <c r="K587" s="34" t="n">
        <f aca="false">(K563/$B$563)/(1+$N$25)^K$43</f>
        <v>0.479445452383182</v>
      </c>
      <c r="L587" s="34" t="n">
        <f aca="false">(L563/$B$563)/(1+$N$25)^L$43</f>
        <v>0.441840764655269</v>
      </c>
    </row>
    <row r="588" customFormat="false" ht="15" hidden="false" customHeight="false" outlineLevel="0" collapsed="false">
      <c r="A588" s="9" t="s">
        <v>303</v>
      </c>
      <c r="B588" s="36" t="n">
        <f aca="false">B583*B587</f>
        <v>-662.041045072899</v>
      </c>
      <c r="C588" s="36" t="n">
        <f aca="false">C583*C587</f>
        <v>-389.681289106121</v>
      </c>
      <c r="D588" s="36" t="n">
        <f aca="false">D583*D587</f>
        <v>285.893401166172</v>
      </c>
      <c r="E588" s="36" t="n">
        <f aca="false">E583*E587</f>
        <v>193.312276204583</v>
      </c>
      <c r="F588" s="36" t="n">
        <f aca="false">F583*F587</f>
        <v>178.474953306239</v>
      </c>
      <c r="G588" s="36" t="n">
        <f aca="false">G583*G587</f>
        <v>142.107608631084</v>
      </c>
      <c r="H588" s="36" t="n">
        <f aca="false">H583*H587</f>
        <v>125.34869183823</v>
      </c>
      <c r="I588" s="36" t="n">
        <f aca="false">I583*I587</f>
        <v>140.679396430843</v>
      </c>
      <c r="J588" s="36" t="n">
        <f aca="false">J583*J587</f>
        <v>125.602483904892</v>
      </c>
      <c r="K588" s="36" t="n">
        <f aca="false">K583*K587</f>
        <v>115.098439913298</v>
      </c>
      <c r="L588" s="36" t="n">
        <f aca="false">L583*L587</f>
        <v>136.876243197024</v>
      </c>
    </row>
    <row r="589" customFormat="false" ht="15" hidden="false" customHeight="false" outlineLevel="0" collapsed="false">
      <c r="A589" s="9" t="s">
        <v>304</v>
      </c>
      <c r="B589" s="36" t="n">
        <f aca="false">B588</f>
        <v>-662.041045072899</v>
      </c>
      <c r="C589" s="36" t="n">
        <f aca="false">B589+C588</f>
        <v>-1051.72233417902</v>
      </c>
      <c r="D589" s="36" t="n">
        <f aca="false">C589+D588</f>
        <v>-765.828933012848</v>
      </c>
      <c r="E589" s="36" t="n">
        <f aca="false">D589+E588</f>
        <v>-572.516656808265</v>
      </c>
      <c r="F589" s="36" t="n">
        <f aca="false">E589+F588</f>
        <v>-394.041703502025</v>
      </c>
      <c r="G589" s="36" t="n">
        <f aca="false">F589+G588</f>
        <v>-251.934094870941</v>
      </c>
      <c r="H589" s="36" t="n">
        <f aca="false">G589+H588</f>
        <v>-126.585403032712</v>
      </c>
      <c r="I589" s="36" t="n">
        <f aca="false">H589+I588</f>
        <v>14.0939933981315</v>
      </c>
      <c r="J589" s="36" t="n">
        <f aca="false">I589+J588</f>
        <v>139.696477303024</v>
      </c>
      <c r="K589" s="36" t="n">
        <f aca="false">J589+K588</f>
        <v>254.794917216322</v>
      </c>
      <c r="L589" s="36" t="n">
        <f aca="false">K589+L588</f>
        <v>391.671160413346</v>
      </c>
    </row>
    <row r="590" customFormat="false" ht="15" hidden="false" customHeight="false" outlineLevel="0" collapsed="false">
      <c r="A590" s="9" t="s">
        <v>305</v>
      </c>
      <c r="B590" s="38" t="n">
        <v>0</v>
      </c>
      <c r="C590" s="38" t="n">
        <f aca="false">IF(AND(B589&lt;0,C589&gt;=0),B$43+(-B589)/C588,0)</f>
        <v>0</v>
      </c>
      <c r="D590" s="38" t="n">
        <f aca="false">IF(AND(C589&lt;0,D589&gt;=0),C$43+(-C589)/D588,0)</f>
        <v>0</v>
      </c>
      <c r="E590" s="38" t="n">
        <f aca="false">IF(AND(D589&lt;0,E589&gt;=0),D$43+(-D589)/E588,0)</f>
        <v>0</v>
      </c>
      <c r="F590" s="38" t="n">
        <f aca="false">IF(AND(E589&lt;0,F589&gt;=0),E$43+(-E589)/F588,0)</f>
        <v>0</v>
      </c>
      <c r="G590" s="38" t="n">
        <f aca="false">IF(AND(F589&lt;0,G589&gt;=0),F$43+(-F589)/G588,0)</f>
        <v>0</v>
      </c>
      <c r="H590" s="38" t="n">
        <f aca="false">IF(AND(G589&lt;0,H589&gt;=0),G$43+(-G589)/H588,0)</f>
        <v>0</v>
      </c>
      <c r="I590" s="38" t="n">
        <f aca="false">IF(AND(H589&lt;0,I589&gt;=0),H$43+(-H589)/I588,0)</f>
        <v>6.8998148004917</v>
      </c>
      <c r="J590" s="38" t="n">
        <f aca="false">IF(AND(I589&lt;0,J589&gt;=0),I$43+(-I589)/J588,0)</f>
        <v>0</v>
      </c>
      <c r="K590" s="38" t="n">
        <f aca="false">IF(AND(J589&lt;0,K589&gt;=0),J$43+(-J589)/K588,0)</f>
        <v>0</v>
      </c>
      <c r="L590" s="38" t="n">
        <f aca="false">IF(AND(K589&lt;0,L589&gt;=0),K$43+(-K589)/L588,0)</f>
        <v>0</v>
      </c>
    </row>
    <row r="591" customFormat="false" ht="15" hidden="false" customHeight="false" outlineLevel="0" collapsed="false">
      <c r="A591" s="9" t="s">
        <v>306</v>
      </c>
      <c r="B591" s="36" t="n">
        <f aca="false">IF(B$43&lt;0,0,(Quesería!$B$40*$B$566*$B$563)*(1-MAX(0,MIN(B$43-0-Quesería!$B$43,(Quesería!$B$42-Quesería!$B$43)))/(Quesería!$B$42-Quesería!$B$43)))+IF(B$43&lt;1,0,(Quesería!$B$40*$C$566*$C$563)*(1-MAX(0,MIN(B$43-1-Quesería!$B$43,(Quesería!$B$42-Quesería!$B$43)))/(Quesería!$B$42-Quesería!$B$43)))</f>
        <v>463.88262193235</v>
      </c>
      <c r="C591" s="36" t="n">
        <f aca="false">IF(C$43&lt;0,0,(Quesería!$B$40*$B$566*$B$563)*(1-MAX(0,MIN(C$43-0-Quesería!$B$43,(Quesería!$B$42-Quesería!$B$43)))/(Quesería!$B$42-Quesería!$B$43)))+IF(C$43&lt;1,0,(Quesería!$B$40*$C$566*$C$563)*(1-MAX(0,MIN(C$43-1-Quesería!$B$43,(Quesería!$B$42-Quesería!$B$43)))/(Quesería!$B$42-Quesería!$B$43)))</f>
        <v>976.19964828501</v>
      </c>
      <c r="D591" s="36" t="n">
        <f aca="false">IF(D$43&lt;0,0,(Quesería!$B$40*$B$566*$B$563)*(1-MAX(0,MIN(D$43-0-Quesería!$B$43,(Quesería!$B$42-Quesería!$B$43)))/(Quesería!$B$42-Quesería!$B$43)))+IF(D$43&lt;1,0,(Quesería!$B$40*$C$566*$C$563)*(1-MAX(0,MIN(D$43-1-Quesería!$B$43,(Quesería!$B$42-Quesería!$B$43)))/(Quesería!$B$42-Quesería!$B$43)))</f>
        <v>898.885877962952</v>
      </c>
      <c r="E591" s="36" t="n">
        <f aca="false">IF(E$43&lt;0,0,(Quesería!$B$40*$B$566*$B$563)*(1-MAX(0,MIN(E$43-0-Quesería!$B$43,(Quesería!$B$42-Quesería!$B$43)))/(Quesería!$B$42-Quesería!$B$43)))+IF(E$43&lt;1,0,(Quesería!$B$40*$C$566*$C$563)*(1-MAX(0,MIN(E$43-1-Quesería!$B$43,(Quesería!$B$42-Quesería!$B$43)))/(Quesería!$B$42-Quesería!$B$43)))</f>
        <v>736.185936582117</v>
      </c>
      <c r="F591" s="36" t="n">
        <f aca="false">IF(F$43&lt;0,0,(Quesería!$B$40*$B$566*$B$563)*(1-MAX(0,MIN(F$43-0-Quesería!$B$43,(Quesería!$B$42-Quesería!$B$43)))/(Quesería!$B$42-Quesería!$B$43)))+IF(F$43&lt;1,0,(Quesería!$B$40*$C$566*$C$563)*(1-MAX(0,MIN(F$43-1-Quesería!$B$43,(Quesería!$B$42-Quesería!$B$43)))/(Quesería!$B$42-Quesería!$B$43)))</f>
        <v>573.485995201282</v>
      </c>
      <c r="G591" s="36" t="n">
        <f aca="false">IF(G$43&lt;0,0,(Quesería!$B$40*$B$566*$B$563)*(1-MAX(0,MIN(G$43-0-Quesería!$B$43,(Quesería!$B$42-Quesería!$B$43)))/(Quesería!$B$42-Quesería!$B$43)))+IF(G$43&lt;1,0,(Quesería!$B$40*$C$566*$C$563)*(1-MAX(0,MIN(G$43-1-Quesería!$B$43,(Quesería!$B$42-Quesería!$B$43)))/(Quesería!$B$42-Quesería!$B$43)))</f>
        <v>410.786053820447</v>
      </c>
      <c r="H591" s="36" t="n">
        <f aca="false">IF(H$43&lt;0,0,(Quesería!$B$40*$B$566*$B$563)*(1-MAX(0,MIN(H$43-0-Quesería!$B$43,(Quesería!$B$42-Quesería!$B$43)))/(Quesería!$B$42-Quesería!$B$43)))+IF(H$43&lt;1,0,(Quesería!$B$40*$C$566*$C$563)*(1-MAX(0,MIN(H$43-1-Quesería!$B$43,(Quesería!$B$42-Quesería!$B$43)))/(Quesería!$B$42-Quesería!$B$43)))</f>
        <v>248.086112439612</v>
      </c>
      <c r="I591" s="36" t="n">
        <f aca="false">IF(I$43&lt;0,0,(Quesería!$B$40*$B$566*$B$563)*(1-MAX(0,MIN(I$43-0-Quesería!$B$43,(Quesería!$B$42-Quesería!$B$43)))/(Quesería!$B$42-Quesería!$B$43)))+IF(I$43&lt;1,0,(Quesería!$B$40*$C$566*$C$563)*(1-MAX(0,MIN(I$43-1-Quesería!$B$43,(Quesería!$B$42-Quesería!$B$43)))/(Quesería!$B$42-Quesería!$B$43)))</f>
        <v>85.3861710587768</v>
      </c>
      <c r="J591" s="36" t="n">
        <f aca="false">IF(J$43&lt;0,0,(Quesería!$B$40*$B$566*$B$563)*(1-MAX(0,MIN(J$43-0-Quesería!$B$43,(Quesería!$B$42-Quesería!$B$43)))/(Quesería!$B$42-Quesería!$B$43)))+IF(J$43&lt;1,0,(Quesería!$B$40*$C$566*$C$563)*(1-MAX(0,MIN(J$43-1-Quesería!$B$43,(Quesería!$B$42-Quesería!$B$43)))/(Quesería!$B$42-Quesería!$B$43)))</f>
        <v>0</v>
      </c>
      <c r="K591" s="36" t="n">
        <f aca="false">IF(K$43&lt;0,0,(Quesería!$B$40*$B$566*$B$563)*(1-MAX(0,MIN(K$43-0-Quesería!$B$43,(Quesería!$B$42-Quesería!$B$43)))/(Quesería!$B$42-Quesería!$B$43)))+IF(K$43&lt;1,0,(Quesería!$B$40*$C$566*$C$563)*(1-MAX(0,MIN(K$43-1-Quesería!$B$43,(Quesería!$B$42-Quesería!$B$43)))/(Quesería!$B$42-Quesería!$B$43)))</f>
        <v>0</v>
      </c>
      <c r="L591" s="36" t="n">
        <f aca="false">IF(L$43&lt;0,0,(Quesería!$B$40*$B$566*$B$563)*(1-MAX(0,MIN(L$43-0-Quesería!$B$43,(Quesería!$B$42-Quesería!$B$43)))/(Quesería!$B$42-Quesería!$B$43)))+IF(L$43&lt;1,0,(Quesería!$B$40*$C$566*$C$563)*(1-MAX(0,MIN(L$43-1-Quesería!$B$43,(Quesería!$B$42-Quesería!$B$43)))/(Quesería!$B$42-Quesería!$B$43)))</f>
        <v>0</v>
      </c>
    </row>
    <row r="592" customFormat="false" ht="15" hidden="false" customHeight="false" outlineLevel="0" collapsed="false">
      <c r="A592" s="6" t="s">
        <v>307</v>
      </c>
      <c r="B592" s="35" t="n">
        <f aca="false">Quesería!$B$40*B566</f>
        <v>435.57053702568</v>
      </c>
      <c r="C592" s="35" t="n">
        <f aca="false">Quesería!$B$40*C566</f>
        <v>451.689062005035</v>
      </c>
      <c r="D592" s="35" t="n">
        <f aca="false">Quesería!$B$40*D566</f>
        <v>0</v>
      </c>
      <c r="E592" s="35" t="n">
        <f aca="false">Quesería!$B$40*E566</f>
        <v>0</v>
      </c>
      <c r="F592" s="35" t="n">
        <f aca="false">Quesería!$B$40*F566</f>
        <v>0</v>
      </c>
      <c r="G592" s="35" t="n">
        <f aca="false">Quesería!$B$40*G566</f>
        <v>0</v>
      </c>
      <c r="H592" s="35" t="n">
        <f aca="false">Quesería!$B$40*H566</f>
        <v>0</v>
      </c>
      <c r="I592" s="35" t="n">
        <f aca="false">Quesería!$B$40*I566</f>
        <v>0</v>
      </c>
      <c r="J592" s="35" t="n">
        <f aca="false">Quesería!$B$40*J566</f>
        <v>0</v>
      </c>
      <c r="K592" s="35" t="n">
        <f aca="false">Quesería!$B$40*K566</f>
        <v>0</v>
      </c>
      <c r="L592" s="35" t="n">
        <f aca="false">Quesería!$B$40*L566</f>
        <v>0</v>
      </c>
    </row>
    <row r="593" customFormat="false" ht="15" hidden="false" customHeight="false" outlineLevel="0" collapsed="false">
      <c r="A593" s="6" t="s">
        <v>308</v>
      </c>
      <c r="B593" s="35" t="n">
        <f aca="false">(IF(AND(B$43&gt;0,B$43&lt;=0+Quesería!$B$42),($N$14+$N$24)*((Quesería!$B$40*$B$566*$B$563)-(Quesería!$B$40*$B$566*$B$563)/(Quesería!$B$42-Quesería!$B$43)*MAX(0,MIN(B$43-1-0-Quesería!$B$43,(Quesería!$B$42-Quesería!$B$43)))),0)+IF(AND(B$43&gt;1,B$43&lt;=1+Quesería!$B$42),($N$14+$N$24)*((Quesería!$B$40*$C$566*$C$563)-(Quesería!$B$40*$C$566*$C$563)/(Quesería!$B$42-Quesería!$B$43)*MAX(0,MIN(B$43-1-1-Quesería!$B$43,(Quesería!$B$42-Quesería!$B$43)))),0))*B565</f>
        <v>0</v>
      </c>
      <c r="C593" s="35" t="n">
        <f aca="false">(IF(AND(C$43&gt;0,C$43&lt;=0+Quesería!$B$42),($N$14+$N$24)*((Quesería!$B$40*$B$566*$B$563)-(Quesería!$B$40*$B$566*$B$563)/(Quesería!$B$42-Quesería!$B$43)*MAX(0,MIN(C$43-1-0-Quesería!$B$43,(Quesería!$B$42-Quesería!$B$43)))),0)+IF(AND(C$43&gt;1,C$43&lt;=1+Quesería!$B$42),($N$14+$N$24)*((Quesería!$B$40*$C$566*$C$563)-(Quesería!$B$40*$C$566*$C$563)/(Quesería!$B$42-Quesería!$B$43)*MAX(0,MIN(C$43-1-1-Quesería!$B$43,(Quesería!$B$42-Quesería!$B$43)))),0))*C565</f>
        <v>66.5977422531838</v>
      </c>
      <c r="D593" s="35" t="n">
        <f aca="false">(IF(AND(D$43&gt;0,D$43&lt;=0+Quesería!$B$42),($N$14+$N$24)*((Quesería!$B$40*$B$566*$B$563)-(Quesería!$B$40*$B$566*$B$563)/(Quesería!$B$42-Quesería!$B$43)*MAX(0,MIN(D$43-1-0-Quesería!$B$43,(Quesería!$B$42-Quesería!$B$43)))),0)+IF(AND(D$43&gt;1,D$43&lt;=1+Quesería!$B$42),($N$14+$N$24)*((Quesería!$B$40*$C$566*$C$563)-(Quesería!$B$40*$C$566*$C$563)/(Quesería!$B$42-Quesería!$B$43)*MAX(0,MIN(D$43-1-1-Quesería!$B$43,(Quesería!$B$42-Quesería!$B$43)))),0))*D565</f>
        <v>131.595319298818</v>
      </c>
      <c r="E593" s="35" t="n">
        <f aca="false">(IF(AND(E$43&gt;0,E$43&lt;=0+Quesería!$B$42),($N$14+$N$24)*((Quesería!$B$40*$B$566*$B$563)-(Quesería!$B$40*$B$566*$B$563)/(Quesería!$B$42-Quesería!$B$43)*MAX(0,MIN(E$43-1-0-Quesería!$B$43,(Quesería!$B$42-Quesería!$B$43)))),0)+IF(AND(E$43&gt;1,E$43&lt;=1+Quesería!$B$42),($N$14+$N$24)*((Quesería!$B$40*$C$566*$C$563)-(Quesería!$B$40*$C$566*$C$563)/(Quesería!$B$42-Quesería!$B$43)*MAX(0,MIN(E$43-1-1-Quesería!$B$43,(Quesería!$B$42-Quesería!$B$43)))),0))*E565</f>
        <v>113.777593814611</v>
      </c>
      <c r="F593" s="35" t="n">
        <f aca="false">(IF(AND(F$43&gt;0,F$43&lt;=0+Quesería!$B$42),($N$14+$N$24)*((Quesería!$B$40*$B$566*$B$563)-(Quesería!$B$40*$B$566*$B$563)/(Quesería!$B$42-Quesería!$B$43)*MAX(0,MIN(F$43-1-0-Quesería!$B$43,(Quesería!$B$42-Quesería!$B$43)))),0)+IF(AND(F$43&gt;1,F$43&lt;=1+Quesería!$B$42),($N$14+$N$24)*((Quesería!$B$40*$C$566*$C$563)-(Quesería!$B$40*$C$566*$C$563)/(Quesería!$B$42-Quesería!$B$43)*MAX(0,MIN(F$43-1-1-Quesería!$B$43,(Quesería!$B$42-Quesería!$B$43)))),0))*F565</f>
        <v>87.4963822840186</v>
      </c>
      <c r="G593" s="35" t="n">
        <f aca="false">(IF(AND(G$43&gt;0,G$43&lt;=0+Quesería!$B$42),($N$14+$N$24)*((Quesería!$B$40*$B$566*$B$563)-(Quesería!$B$40*$B$566*$B$563)/(Quesería!$B$42-Quesería!$B$43)*MAX(0,MIN(G$43-1-0-Quesería!$B$43,(Quesería!$B$42-Quesería!$B$43)))),0)+IF(AND(G$43&gt;1,G$43&lt;=1+Quesería!$B$42),($N$14+$N$24)*((Quesería!$B$40*$C$566*$C$563)-(Quesería!$B$40*$C$566*$C$563)/(Quesería!$B$42-Quesería!$B$43)*MAX(0,MIN(G$43-1-1-Quesería!$B$43,(Quesería!$B$42-Quesería!$B$43)))),0))*G565</f>
        <v>63.9993832355562</v>
      </c>
      <c r="H593" s="35" t="n">
        <f aca="false">(IF(AND(H$43&gt;0,H$43&lt;=0+Quesería!$B$42),($N$14+$N$24)*((Quesería!$B$40*$B$566*$B$563)-(Quesería!$B$40*$B$566*$B$563)/(Quesería!$B$42-Quesería!$B$43)*MAX(0,MIN(H$43-1-0-Quesería!$B$43,(Quesería!$B$42-Quesería!$B$43)))),0)+IF(AND(H$43&gt;1,H$43&lt;=1+Quesería!$B$42),($N$14+$N$24)*((Quesería!$B$40*$C$566*$C$563)-(Quesería!$B$40*$C$566*$C$563)/(Quesería!$B$42-Quesería!$B$43)*MAX(0,MIN(H$43-1-1-Quesería!$B$43,(Quesería!$B$42-Quesería!$B$43)))),0))*H565</f>
        <v>43.0446375346303</v>
      </c>
      <c r="I593" s="35" t="n">
        <f aca="false">(IF(AND(I$43&gt;0,I$43&lt;=0+Quesería!$B$42),($N$14+$N$24)*((Quesería!$B$40*$B$566*$B$563)-(Quesería!$B$40*$B$566*$B$563)/(Quesería!$B$42-Quesería!$B$43)*MAX(0,MIN(I$43-1-0-Quesería!$B$43,(Quesería!$B$42-Quesería!$B$43)))),0)+IF(AND(I$43&gt;1,I$43&lt;=1+Quesería!$B$42),($N$14+$N$24)*((Quesería!$B$40*$C$566*$C$563)-(Quesería!$B$40*$C$566*$C$563)/(Quesería!$B$42-Quesería!$B$43)*MAX(0,MIN(I$43-1-1-Quesería!$B$43,(Quesería!$B$42-Quesería!$B$43)))),0))*I565</f>
        <v>24.4093497438395</v>
      </c>
      <c r="J593" s="35" t="n">
        <f aca="false">(IF(AND(J$43&gt;0,J$43&lt;=0+Quesería!$B$42),($N$14+$N$24)*((Quesería!$B$40*$B$566*$B$563)-(Quesería!$B$40*$B$566*$B$563)/(Quesería!$B$42-Quesería!$B$43)*MAX(0,MIN(J$43-1-0-Quesería!$B$43,(Quesería!$B$42-Quesería!$B$43)))),0)+IF(AND(J$43&gt;1,J$43&lt;=1+Quesería!$B$42),($N$14+$N$24)*((Quesería!$B$40*$C$566*$C$563)-(Quesería!$B$40*$C$566*$C$563)/(Quesería!$B$42-Quesería!$B$43)*MAX(0,MIN(J$43-1-1-Quesería!$B$43,(Quesería!$B$42-Quesería!$B$43)))),0))*J565</f>
        <v>7.8884501926406</v>
      </c>
      <c r="K593" s="35" t="n">
        <f aca="false">(IF(AND(K$43&gt;0,K$43&lt;=0+Quesería!$B$42),($N$14+$N$24)*((Quesería!$B$40*$B$566*$B$563)-(Quesería!$B$40*$B$566*$B$563)/(Quesería!$B$42-Quesería!$B$43)*MAX(0,MIN(K$43-1-0-Quesería!$B$43,(Quesería!$B$42-Quesería!$B$43)))),0)+IF(AND(K$43&gt;1,K$43&lt;=1+Quesería!$B$42),($N$14+$N$24)*((Quesería!$B$40*$C$566*$C$563)-(Quesería!$B$40*$C$566*$C$563)/(Quesería!$B$42-Quesería!$B$43)*MAX(0,MIN(K$43-1-1-Quesería!$B$43,(Quesería!$B$42-Quesería!$B$43)))),0))*K565</f>
        <v>0</v>
      </c>
      <c r="L593" s="35" t="n">
        <f aca="false">(IF(AND(L$43&gt;0,L$43&lt;=0+Quesería!$B$42),($N$14+$N$24)*((Quesería!$B$40*$B$566*$B$563)-(Quesería!$B$40*$B$566*$B$563)/(Quesería!$B$42-Quesería!$B$43)*MAX(0,MIN(L$43-1-0-Quesería!$B$43,(Quesería!$B$42-Quesería!$B$43)))),0)+IF(AND(L$43&gt;1,L$43&lt;=1+Quesería!$B$42),($N$14+$N$24)*((Quesería!$B$40*$C$566*$C$563)-(Quesería!$B$40*$C$566*$C$563)/(Quesería!$B$42-Quesería!$B$43)*MAX(0,MIN(L$43-1-1-Quesería!$B$43,(Quesería!$B$42-Quesería!$B$43)))),0))*L565</f>
        <v>0</v>
      </c>
    </row>
    <row r="594" customFormat="false" ht="15" hidden="false" customHeight="false" outlineLevel="0" collapsed="false">
      <c r="A594" s="6" t="s">
        <v>309</v>
      </c>
      <c r="B594" s="35" t="n">
        <f aca="false">(IF(AND(B$43&gt;0+Quesería!$B$43,B$43&lt;=0+Quesería!$B$42),(Quesería!$B$40*$B$566*$B$563)/(Quesería!$B$42-Quesería!$B$43),0)+IF(AND(B$43&gt;1+Quesería!$B$43,B$43&lt;=1+Quesería!$B$42),(Quesería!$B$40*$C$566*$C$563)/(Quesería!$B$42-Quesería!$B$43),0))*B565</f>
        <v>0</v>
      </c>
      <c r="C594" s="35" t="n">
        <f aca="false">(IF(AND(C$43&gt;0+Quesería!$B$43,C$43&lt;=0+Quesería!$B$42),(Quesería!$B$40*$B$566*$B$563)/(Quesería!$B$42-Quesería!$B$43),0)+IF(AND(C$43&gt;1+Quesería!$B$43,C$43&lt;=1+Quesería!$B$42),(Quesería!$B$40*$C$566*$C$563)/(Quesería!$B$42-Quesería!$B$43),0))*C565</f>
        <v>0</v>
      </c>
      <c r="D594" s="35" t="n">
        <f aca="false">(IF(AND(D$43&gt;0+Quesería!$B$43,D$43&lt;=0+Quesería!$B$42),(Quesería!$B$40*$B$566*$B$563)/(Quesería!$B$42-Quesería!$B$43),0)+IF(AND(D$43&gt;1+Quesería!$B$43,D$43&lt;=1+Quesería!$B$42),(Quesería!$B$40*$C$566*$C$563)/(Quesería!$B$42-Quesería!$B$43),0))*D565</f>
        <v>64.0041345449801</v>
      </c>
      <c r="E594" s="35" t="n">
        <f aca="false">(IF(AND(E$43&gt;0+Quesería!$B$43,E$43&lt;=0+Quesería!$B$42),(Quesería!$B$40*$B$566*$B$563)/(Quesería!$B$42-Quesería!$B$43),0)+IF(AND(E$43&gt;1+Quesería!$B$43,E$43&lt;=1+Quesería!$B$42),(Quesería!$B$40*$C$566*$C$563)/(Quesería!$B$42-Quesería!$B$43),0))*E565</f>
        <v>126.470421322556</v>
      </c>
      <c r="F594" s="35" t="n">
        <f aca="false">(IF(AND(F$43&gt;0+Quesería!$B$43,F$43&lt;=0+Quesería!$B$42),(Quesería!$B$40*$B$566*$B$563)/(Quesería!$B$42-Quesería!$B$43),0)+IF(AND(F$43&gt;1+Quesería!$B$43,F$43&lt;=1+Quesería!$B$42),(Quesería!$B$40*$C$566*$C$563)/(Quesería!$B$42-Quesería!$B$43),0))*F565</f>
        <v>118.751569316954</v>
      </c>
      <c r="G594" s="35" t="n">
        <f aca="false">(IF(AND(G$43&gt;0+Quesería!$B$43,G$43&lt;=0+Quesería!$B$42),(Quesería!$B$40*$B$566*$B$563)/(Quesería!$B$42-Quesería!$B$43),0)+IF(AND(G$43&gt;1+Quesería!$B$43,G$43&lt;=1+Quesería!$B$42),(Quesería!$B$40*$C$566*$C$563)/(Quesería!$B$42-Quesería!$B$43),0))*G565</f>
        <v>111.503820954887</v>
      </c>
      <c r="H594" s="35" t="n">
        <f aca="false">(IF(AND(H$43&gt;0+Quesería!$B$43,H$43&lt;=0+Quesería!$B$42),(Quesería!$B$40*$B$566*$B$563)/(Quesería!$B$42-Quesería!$B$43),0)+IF(AND(H$43&gt;1+Quesería!$B$43,H$43&lt;=1+Quesería!$B$42),(Quesería!$B$40*$C$566*$C$563)/(Quesería!$B$42-Quesería!$B$43),0))*H565</f>
        <v>104.698423431818</v>
      </c>
      <c r="I594" s="35" t="n">
        <f aca="false">(IF(AND(I$43&gt;0+Quesería!$B$43,I$43&lt;=0+Quesería!$B$42),(Quesería!$B$40*$B$566*$B$563)/(Quesería!$B$42-Quesería!$B$43),0)+IF(AND(I$43&gt;1+Quesería!$B$43,I$43&lt;=1+Quesería!$B$42),(Quesería!$B$40*$C$566*$C$563)/(Quesería!$B$42-Quesería!$B$43),0))*I565</f>
        <v>98.3083788092192</v>
      </c>
      <c r="J594" s="35" t="n">
        <f aca="false">(IF(AND(J$43&gt;0+Quesería!$B$43,J$43&lt;=0+Quesería!$B$42),(Quesería!$B$40*$B$566*$B$563)/(Quesería!$B$42-Quesería!$B$43),0)+IF(AND(J$43&gt;1+Quesería!$B$43,J$43&lt;=1+Quesería!$B$42),(Quesería!$B$40*$C$566*$C$563)/(Quesería!$B$42-Quesería!$B$43),0))*J565</f>
        <v>48.4441197621872</v>
      </c>
      <c r="K594" s="35" t="n">
        <f aca="false">(IF(AND(K$43&gt;0+Quesería!$B$43,K$43&lt;=0+Quesería!$B$42),(Quesería!$B$40*$B$566*$B$563)/(Quesería!$B$42-Quesería!$B$43),0)+IF(AND(K$43&gt;1+Quesería!$B$43,K$43&lt;=1+Quesería!$B$42),(Quesería!$B$40*$C$566*$C$563)/(Quesería!$B$42-Quesería!$B$43),0))*K565</f>
        <v>0</v>
      </c>
      <c r="L594" s="35" t="n">
        <f aca="false">(IF(AND(L$43&gt;0+Quesería!$B$43,L$43&lt;=0+Quesería!$B$42),(Quesería!$B$40*$B$566*$B$563)/(Quesería!$B$42-Quesería!$B$43),0)+IF(AND(L$43&gt;1+Quesería!$B$43,L$43&lt;=1+Quesería!$B$42),(Quesería!$B$40*$C$566*$C$563)/(Quesería!$B$42-Quesería!$B$43),0))*L565</f>
        <v>0</v>
      </c>
    </row>
    <row r="595" customFormat="false" ht="15" hidden="false" customHeight="false" outlineLevel="0" collapsed="false">
      <c r="A595" s="6" t="s">
        <v>310</v>
      </c>
      <c r="B595" s="35" t="n">
        <f aca="false">$N$13*Quesería!$B$44*(1+0.19)*B591*B565+(1-$N$13)*IF(B$43=0,Quesería!$B$53,0)</f>
        <v>4</v>
      </c>
      <c r="C595" s="35" t="n">
        <f aca="false">$N$13*Quesería!$B$44*(1+0.19)*C591*C565+(1-$N$13)*IF(C$43=0,Quesería!$B$53,0)</f>
        <v>0</v>
      </c>
      <c r="D595" s="35" t="n">
        <f aca="false">$N$13*Quesería!$B$44*(1+0.19)*D591*D565+(1-$N$13)*IF(D$43=0,Quesería!$B$53,0)</f>
        <v>0</v>
      </c>
      <c r="E595" s="35" t="n">
        <f aca="false">$N$13*Quesería!$B$44*(1+0.19)*E591*E565+(1-$N$13)*IF(E$43=0,Quesería!$B$53,0)</f>
        <v>0</v>
      </c>
      <c r="F595" s="35" t="n">
        <f aca="false">$N$13*Quesería!$B$44*(1+0.19)*F591*F565+(1-$N$13)*IF(F$43=0,Quesería!$B$53,0)</f>
        <v>0</v>
      </c>
      <c r="G595" s="35" t="n">
        <f aca="false">$N$13*Quesería!$B$44*(1+0.19)*G591*G565+(1-$N$13)*IF(G$43=0,Quesería!$B$53,0)</f>
        <v>0</v>
      </c>
      <c r="H595" s="35" t="n">
        <f aca="false">$N$13*Quesería!$B$44*(1+0.19)*H591*H565+(1-$N$13)*IF(H$43=0,Quesería!$B$53,0)</f>
        <v>0</v>
      </c>
      <c r="I595" s="35" t="n">
        <f aca="false">$N$13*Quesería!$B$44*(1+0.19)*I591*I565+(1-$N$13)*IF(I$43=0,Quesería!$B$53,0)</f>
        <v>0</v>
      </c>
      <c r="J595" s="35" t="n">
        <f aca="false">$N$13*Quesería!$B$44*(1+0.19)*J591*J565+(1-$N$13)*IF(J$43=0,Quesería!$B$53,0)</f>
        <v>0</v>
      </c>
      <c r="K595" s="35" t="n">
        <f aca="false">$N$13*Quesería!$B$44*(1+0.19)*K591*K565+(1-$N$13)*IF(K$43=0,Quesería!$B$53,0)</f>
        <v>0</v>
      </c>
      <c r="L595" s="35" t="n">
        <f aca="false">$N$13*Quesería!$B$44*(1+0.19)*L591*L565+(1-$N$13)*IF(L$43=0,Quesería!$B$53,0)</f>
        <v>0</v>
      </c>
    </row>
    <row r="596" customFormat="false" ht="15" hidden="false" customHeight="false" outlineLevel="0" collapsed="false">
      <c r="A596" s="6" t="s">
        <v>311</v>
      </c>
      <c r="B596" s="35" t="n">
        <f aca="false">Quesería!$B$45*(B593+B594+B595)</f>
        <v>0.016</v>
      </c>
      <c r="C596" s="35" t="n">
        <f aca="false">Quesería!$B$45*(C593+C594+C595)</f>
        <v>0.266390969012735</v>
      </c>
      <c r="D596" s="35" t="n">
        <f aca="false">Quesería!$B$45*(D593+D594+D595)</f>
        <v>0.782397815375192</v>
      </c>
      <c r="E596" s="35" t="n">
        <f aca="false">Quesería!$B$45*(E593+E594+E595)</f>
        <v>0.960992060548669</v>
      </c>
      <c r="F596" s="35" t="n">
        <f aca="false">Quesería!$B$45*(F593+F594+F595)</f>
        <v>0.824991806403891</v>
      </c>
      <c r="G596" s="35" t="n">
        <f aca="false">Quesería!$B$45*(G593+G594+G595)</f>
        <v>0.702012816761771</v>
      </c>
      <c r="H596" s="35" t="n">
        <f aca="false">Quesería!$B$45*(H593+H594+H595)</f>
        <v>0.590972243865795</v>
      </c>
      <c r="I596" s="35" t="n">
        <f aca="false">Quesería!$B$45*(I593+I594+I595)</f>
        <v>0.490870914212235</v>
      </c>
      <c r="J596" s="35" t="n">
        <f aca="false">Quesería!$B$45*(J593+J594+J595)</f>
        <v>0.225330279819311</v>
      </c>
      <c r="K596" s="35" t="n">
        <f aca="false">Quesería!$B$45*(K593+K594+K595)</f>
        <v>0</v>
      </c>
      <c r="L596" s="35" t="n">
        <f aca="false">Quesería!$B$45*(L593+L594+L595)</f>
        <v>0</v>
      </c>
    </row>
    <row r="597" customFormat="false" ht="15" hidden="false" customHeight="false" outlineLevel="0" collapsed="false">
      <c r="A597" s="6" t="s">
        <v>312</v>
      </c>
      <c r="B597" s="35" t="n">
        <f aca="false">$N$17*(B593+B595+0.5*B596)</f>
        <v>1.4028</v>
      </c>
      <c r="C597" s="35" t="n">
        <f aca="false">$N$17*(C593+C595+0.5*C596)</f>
        <v>23.3558282081916</v>
      </c>
      <c r="D597" s="35" t="n">
        <f aca="false">$N$17*(D593+D595+0.5*D596)</f>
        <v>46.1952813722769</v>
      </c>
      <c r="E597" s="35" t="n">
        <f aca="false">$N$17*(E593+E595+0.5*E596)</f>
        <v>39.9903314457099</v>
      </c>
      <c r="F597" s="35" t="n">
        <f aca="false">$N$17*(F593+F595+0.5*F596)</f>
        <v>30.7681073655272</v>
      </c>
      <c r="G597" s="35" t="n">
        <f aca="false">$N$17*(G593+G595+0.5*G596)</f>
        <v>22.522636375378</v>
      </c>
      <c r="H597" s="35" t="n">
        <f aca="false">$N$17*(H593+H595+0.5*H596)</f>
        <v>15.1690432797971</v>
      </c>
      <c r="I597" s="35" t="n">
        <f aca="false">$N$17*(I593+I595+0.5*I596)</f>
        <v>8.62917482033096</v>
      </c>
      <c r="J597" s="35" t="n">
        <f aca="false">$N$17*(J593+J595+0.5*J596)</f>
        <v>2.80039036639259</v>
      </c>
      <c r="K597" s="35" t="n">
        <f aca="false">$N$17*(K593+K595+0.5*K596)</f>
        <v>0</v>
      </c>
      <c r="L597" s="35" t="n">
        <f aca="false">$N$17*(L593+L595+0.5*L596)</f>
        <v>0</v>
      </c>
    </row>
    <row r="598" customFormat="false" ht="15" hidden="false" customHeight="false" outlineLevel="0" collapsed="false">
      <c r="A598" s="5" t="s">
        <v>313</v>
      </c>
      <c r="B598" s="37" t="n">
        <f aca="false">B583+B592-B593-B594-B595-B596+B597</f>
        <v>-229.083708047218</v>
      </c>
      <c r="C598" s="37" t="n">
        <f aca="false">C583+C592-C593-C594-C595-C596+C597</f>
        <v>-14.6659717088759</v>
      </c>
      <c r="D598" s="37" t="n">
        <f aca="false">D583+D592-D593-D594-D595-D596+D597</f>
        <v>186.442001851579</v>
      </c>
      <c r="E598" s="37" t="n">
        <f aca="false">E583+E592-E593-E594-E595-E596+E597</f>
        <v>45.7715118644863</v>
      </c>
      <c r="F598" s="37" t="n">
        <f aca="false">F583+F592-F593-F594-F595-F596+F597</f>
        <v>71.1357663504042</v>
      </c>
      <c r="G598" s="37" t="n">
        <f aca="false">G583+G592-G593-G594-G595-G596+G597</f>
        <v>60.1059686896392</v>
      </c>
      <c r="H598" s="37" t="n">
        <f aca="false">H583+H592-H593-H594-H595-H596+H597</f>
        <v>71.4607848733529</v>
      </c>
      <c r="I598" s="37" t="n">
        <f aca="false">I583+I592-I593-I594-I595-I596+I597</f>
        <v>134.618516036666</v>
      </c>
      <c r="J598" s="37" t="n">
        <f aca="false">J583+J592-J593-J594-J595-J596+J597</f>
        <v>187.669359376475</v>
      </c>
      <c r="K598" s="37" t="n">
        <f aca="false">K583+K592-K593-K594-K595-K596+K597</f>
        <v>240.06576627472</v>
      </c>
      <c r="L598" s="37" t="n">
        <f aca="false">L583+L592-L593-L594-L595-L596+L597</f>
        <v>309.786362296872</v>
      </c>
    </row>
    <row r="599" customFormat="false" ht="15" hidden="false" customHeight="false" outlineLevel="0" collapsed="false">
      <c r="A599" s="9" t="s">
        <v>314</v>
      </c>
      <c r="B599" s="36" t="n">
        <f aca="false">B598*B563</f>
        <v>-243.974149070287</v>
      </c>
      <c r="C599" s="36" t="n">
        <f aca="false">C598*C563</f>
        <v>-16.6345117614998</v>
      </c>
      <c r="D599" s="36" t="n">
        <f aca="false">D598*D563</f>
        <v>225.212546220864</v>
      </c>
      <c r="E599" s="36" t="n">
        <f aca="false">E598*E563</f>
        <v>58.8835098308945</v>
      </c>
      <c r="F599" s="36" t="n">
        <f aca="false">F598*F563</f>
        <v>97.4621647685387</v>
      </c>
      <c r="G599" s="36" t="n">
        <f aca="false">G598*G563</f>
        <v>87.7031611894196</v>
      </c>
      <c r="H599" s="36" t="n">
        <f aca="false">H598*H563</f>
        <v>111.049098246398</v>
      </c>
      <c r="I599" s="36" t="n">
        <f aca="false">I598*I563</f>
        <v>222.793061316221</v>
      </c>
      <c r="J599" s="36" t="n">
        <f aca="false">J598*J563</f>
        <v>330.780455933034</v>
      </c>
      <c r="K599" s="36" t="n">
        <f aca="false">K598*K563</f>
        <v>450.636444002874</v>
      </c>
      <c r="L599" s="36" t="n">
        <f aca="false">L598*L563</f>
        <v>619.309840045268</v>
      </c>
    </row>
    <row r="600" customFormat="false" ht="15" hidden="false" customHeight="false" outlineLevel="0" collapsed="false">
      <c r="A600" s="9" t="s">
        <v>315</v>
      </c>
      <c r="B600" s="34" t="n">
        <f aca="false">(B563/$B$563)/(1+Quesería!$B$46+$N$24)^B$43</f>
        <v>1</v>
      </c>
      <c r="C600" s="34" t="n">
        <f aca="false">(C563/$B$563)/(1+Quesería!$B$46+$N$24)^C$43</f>
        <v>0.837372066351013</v>
      </c>
      <c r="D600" s="34" t="n">
        <f aca="false">(D563/$B$563)/(1+Quesería!$B$46+$N$24)^D$43</f>
        <v>0.701191977504965</v>
      </c>
      <c r="E600" s="34" t="n">
        <f aca="false">(E563/$B$563)/(1+Quesería!$B$46+$N$24)^E$43</f>
        <v>0.587158575112085</v>
      </c>
      <c r="F600" s="34" t="n">
        <f aca="false">(F563/$B$563)/(1+Quesería!$B$46+$N$24)^F$43</f>
        <v>0.491670189317323</v>
      </c>
      <c r="G600" s="34" t="n">
        <f aca="false">(G563/$B$563)/(1+Quesería!$B$46+$N$24)^G$43</f>
        <v>0.41171088239184</v>
      </c>
      <c r="H600" s="34" t="n">
        <f aca="false">(H563/$B$563)/(1+Quesería!$B$46+$N$24)^H$43</f>
        <v>0.344755192327654</v>
      </c>
      <c r="I600" s="34" t="n">
        <f aca="false">(I563/$B$563)/(1+Quesería!$B$46+$N$24)^I$43</f>
        <v>0.288688367784648</v>
      </c>
      <c r="J600" s="34" t="n">
        <f aca="false">(J563/$B$563)/(1+Quesería!$B$46+$N$24)^J$43</f>
        <v>0.241739575063332</v>
      </c>
      <c r="K600" s="34" t="n">
        <f aca="false">(K563/$B$563)/(1+Quesería!$B$46+$N$24)^K$43</f>
        <v>0.202425967489598</v>
      </c>
      <c r="L600" s="34" t="n">
        <f aca="false">(L563/$B$563)/(1+Quesería!$B$46+$N$24)^L$43</f>
        <v>0.169505850679868</v>
      </c>
    </row>
    <row r="601" customFormat="false" ht="15" hidden="false" customHeight="false" outlineLevel="0" collapsed="false">
      <c r="A601" s="9" t="s">
        <v>316</v>
      </c>
      <c r="B601" s="36" t="n">
        <f aca="false">B583+B566+B568+B597</f>
        <v>60.9532547375949</v>
      </c>
      <c r="C601" s="36" t="n">
        <f aca="false">C583+C566+C568+C597</f>
        <v>368.380504916845</v>
      </c>
      <c r="D601" s="36" t="n">
        <f aca="false">D583+D566+D568+D597</f>
        <v>382.823853510752</v>
      </c>
      <c r="E601" s="36" t="n">
        <f aca="false">E583+E566+E568+E597</f>
        <v>286.980519062202</v>
      </c>
      <c r="F601" s="36" t="n">
        <f aca="false">F583+F566+F568+F597</f>
        <v>278.208709757781</v>
      </c>
      <c r="G601" s="36" t="n">
        <f aca="false">G583+G566+G568+G597</f>
        <v>241.37785236351</v>
      </c>
      <c r="H601" s="36" t="n">
        <f aca="false">H583+H566+H568+H597</f>
        <v>226.502683164434</v>
      </c>
      <c r="I601" s="36" t="n">
        <f aca="false">I583+I566+I568+I597</f>
        <v>257.827115503937</v>
      </c>
      <c r="J601" s="36" t="n">
        <f aca="false">J583+J566+J568+J597</f>
        <v>244.227259611122</v>
      </c>
      <c r="K601" s="36" t="n">
        <f aca="false">K583+K566+K568+K597</f>
        <v>240.06576627472</v>
      </c>
      <c r="L601" s="36" t="n">
        <f aca="false">L583+L566+L568+L597</f>
        <v>309.786362296872</v>
      </c>
    </row>
    <row r="602" customFormat="false" ht="15" hidden="false" customHeight="false" outlineLevel="0" collapsed="false">
      <c r="A602" s="5" t="s">
        <v>317</v>
      </c>
      <c r="B602" s="12" t="str">
        <f aca="false">IF(AND(B$43&gt;=1,(B593+B594+B595)&gt;0.001),B601/(B593+B594+B595),"")</f>
        <v/>
      </c>
      <c r="C602" s="12" t="n">
        <f aca="false">IF(AND(C$43&gt;=1,(C593+C594+C595)&gt;0.001),C601/(C593+C594+C595),"")</f>
        <v>5.5314263284839</v>
      </c>
      <c r="D602" s="12" t="n">
        <f aca="false">IF(AND(D$43&gt;=1,(D593+D594+D595)&gt;0.001),D601/(D593+D594+D595),"")</f>
        <v>1.95718263005206</v>
      </c>
      <c r="E602" s="12" t="n">
        <f aca="false">IF(AND(E$43&gt;=1,(E593+E594+E595)&gt;0.001),E601/(E593+E594+E595),"")</f>
        <v>1.19451775240829</v>
      </c>
      <c r="F602" s="12" t="n">
        <f aca="false">IF(AND(F$43&gt;=1,(F593+F594+F595)&gt;0.001),F601/(F593+F594+F595),"")</f>
        <v>1.34890411079588</v>
      </c>
      <c r="G602" s="12" t="n">
        <f aca="false">IF(AND(G$43&gt;=1,(G593+G594+G595)&gt;0.001),G601/(G593+G594+G595),"")</f>
        <v>1.37534726774325</v>
      </c>
      <c r="H602" s="12" t="n">
        <f aca="false">IF(AND(H$43&gt;=1,(H593+H594+H595)&gt;0.001),H601/(H593+H594+H595),"")</f>
        <v>1.53308508489526</v>
      </c>
      <c r="I602" s="12" t="n">
        <f aca="false">IF(AND(I$43&gt;=1,(I593+I594+I595)&gt;0.001),I601/(I593+I594+I595),"")</f>
        <v>2.10097692113379</v>
      </c>
      <c r="J602" s="12" t="n">
        <f aca="false">IF(AND(J$43&gt;=1,(J593+J594+J595)&gt;0.001),J601/(J593+J594+J595),"")</f>
        <v>4.33545389118523</v>
      </c>
      <c r="K602" s="12" t="str">
        <f aca="false">IF(AND(K$43&gt;=1,(K593+K594+K595)&gt;0.001),K601/(K593+K594+K595),"")</f>
        <v/>
      </c>
      <c r="L602" s="12" t="str">
        <f aca="false">IF(AND(L$43&gt;=1,(L593+L594+L595)&gt;0.001),L601/(L593+L594+L595),"")</f>
        <v/>
      </c>
    </row>
    <row r="604" customFormat="false" ht="15" hidden="false" customHeight="false" outlineLevel="0" collapsed="false">
      <c r="A604" s="66" t="s">
        <v>639</v>
      </c>
      <c r="B604" s="67"/>
      <c r="C604" s="67"/>
      <c r="D604" s="67"/>
      <c r="E604" s="67"/>
      <c r="F604" s="67"/>
      <c r="G604" s="67"/>
      <c r="H604" s="67"/>
      <c r="I604" s="67"/>
      <c r="J604" s="67"/>
      <c r="K604" s="67"/>
      <c r="L604" s="67"/>
    </row>
    <row r="605" customFormat="false" ht="15" hidden="false" customHeight="false" outlineLevel="0" collapsed="false">
      <c r="A605" s="9" t="s">
        <v>281</v>
      </c>
      <c r="B605" s="33" t="n">
        <f aca="false">CHOOSE($O$15,Entorno!B$7,Entorno!B$8,Entorno!B$9)</f>
        <v>0.06</v>
      </c>
      <c r="C605" s="33" t="n">
        <f aca="false">CHOOSE($O$15,Entorno!C$7,Entorno!C$8,Entorno!C$9)</f>
        <v>0.05</v>
      </c>
      <c r="D605" s="33" t="n">
        <f aca="false">CHOOSE($O$15,Entorno!D$7,Entorno!D$8,Entorno!D$9)</f>
        <v>0.045</v>
      </c>
      <c r="E605" s="33" t="n">
        <f aca="false">CHOOSE($O$15,Entorno!E$7,Entorno!E$8,Entorno!E$9)</f>
        <v>0.04</v>
      </c>
      <c r="F605" s="33" t="n">
        <f aca="false">CHOOSE($O$15,Entorno!F$7,Entorno!F$8,Entorno!F$9)</f>
        <v>0.04</v>
      </c>
      <c r="G605" s="33" t="n">
        <f aca="false">CHOOSE($O$15,Entorno!G$7,Entorno!G$8,Entorno!G$9)</f>
        <v>0.04</v>
      </c>
      <c r="H605" s="33" t="n">
        <f aca="false">CHOOSE($O$15,Entorno!H$7,Entorno!H$8,Entorno!H$9)</f>
        <v>0.04</v>
      </c>
      <c r="I605" s="33" t="n">
        <f aca="false">CHOOSE($O$15,Entorno!I$7,Entorno!I$8,Entorno!I$9)</f>
        <v>0.04</v>
      </c>
      <c r="J605" s="33" t="n">
        <f aca="false">CHOOSE($O$15,Entorno!J$7,Entorno!J$8,Entorno!J$9)</f>
        <v>0.04</v>
      </c>
      <c r="K605" s="33" t="n">
        <f aca="false">CHOOSE($O$15,Entorno!K$7,Entorno!K$8,Entorno!K$9)</f>
        <v>0.04</v>
      </c>
      <c r="L605" s="33" t="n">
        <f aca="false">CHOOSE($O$15,Entorno!L$7,Entorno!L$8,Entorno!L$9)</f>
        <v>0.04</v>
      </c>
    </row>
    <row r="606" customFormat="false" ht="15" hidden="false" customHeight="false" outlineLevel="0" collapsed="false">
      <c r="A606" s="9" t="s">
        <v>282</v>
      </c>
      <c r="B606" s="34" t="n">
        <f aca="false">1+B605</f>
        <v>1.06</v>
      </c>
      <c r="C606" s="34" t="n">
        <f aca="false">B606*(1+C605)</f>
        <v>1.113</v>
      </c>
      <c r="D606" s="34" t="n">
        <f aca="false">C606*(1+D605)</f>
        <v>1.163085</v>
      </c>
      <c r="E606" s="34" t="n">
        <f aca="false">D606*(1+E605)</f>
        <v>1.2096084</v>
      </c>
      <c r="F606" s="34" t="n">
        <f aca="false">E606*(1+F605)</f>
        <v>1.257992736</v>
      </c>
      <c r="G606" s="34" t="n">
        <f aca="false">F606*(1+G605)</f>
        <v>1.30831244544</v>
      </c>
      <c r="H606" s="34" t="n">
        <f aca="false">G606*(1+H605)</f>
        <v>1.3606449432576</v>
      </c>
      <c r="I606" s="34" t="n">
        <f aca="false">H606*(1+I605)</f>
        <v>1.4150707409879</v>
      </c>
      <c r="J606" s="34" t="n">
        <f aca="false">I606*(1+J605)</f>
        <v>1.47167357062742</v>
      </c>
      <c r="K606" s="34" t="n">
        <f aca="false">J606*(1+K605)</f>
        <v>1.53054051345252</v>
      </c>
      <c r="L606" s="34" t="n">
        <f aca="false">K606*(1+L605)</f>
        <v>1.59176213399062</v>
      </c>
    </row>
    <row r="607" customFormat="false" ht="15" hidden="false" customHeight="false" outlineLevel="0" collapsed="false">
      <c r="A607" s="9" t="s">
        <v>283</v>
      </c>
      <c r="B607" s="34" t="n">
        <f aca="false">(1+$O$16)/(1+B605)</f>
        <v>1.00943396226415</v>
      </c>
      <c r="C607" s="34" t="n">
        <f aca="false">B607*(1+Entorno!$B$13)</f>
        <v>1.01448113207547</v>
      </c>
      <c r="D607" s="34" t="n">
        <f aca="false">C607*(1+Entorno!$B$13)</f>
        <v>1.01955353773585</v>
      </c>
      <c r="E607" s="34" t="n">
        <f aca="false">D607*(1+Entorno!$B$13)</f>
        <v>1.02465130542453</v>
      </c>
      <c r="F607" s="34" t="n">
        <f aca="false">E607*(1+Entorno!$B$13)</f>
        <v>1.02977456195165</v>
      </c>
      <c r="G607" s="34" t="n">
        <f aca="false">F607*(1+Entorno!$B$13)</f>
        <v>1.03492343476141</v>
      </c>
      <c r="H607" s="34" t="n">
        <f aca="false">G607*(1+Entorno!$B$13)</f>
        <v>1.04009805193522</v>
      </c>
      <c r="I607" s="34" t="n">
        <f aca="false">H607*(1+Entorno!$B$13)</f>
        <v>1.04529854219489</v>
      </c>
      <c r="J607" s="34" t="n">
        <f aca="false">I607*(1+Entorno!$B$13)</f>
        <v>1.05052503490587</v>
      </c>
      <c r="K607" s="34" t="n">
        <f aca="false">J607*(1+Entorno!$B$13)</f>
        <v>1.0557776600804</v>
      </c>
      <c r="L607" s="34" t="n">
        <f aca="false">K607*(1+Entorno!$B$13)</f>
        <v>1.0610565483808</v>
      </c>
    </row>
    <row r="608" customFormat="false" ht="15" hidden="false" customHeight="false" outlineLevel="0" collapsed="false">
      <c r="A608" s="9" t="s">
        <v>284</v>
      </c>
      <c r="B608" s="34" t="n">
        <f aca="false">1/B606</f>
        <v>0.943396226415094</v>
      </c>
      <c r="C608" s="34" t="n">
        <f aca="false">1/C606</f>
        <v>0.898472596585804</v>
      </c>
      <c r="D608" s="34" t="n">
        <f aca="false">1/D606</f>
        <v>0.859782389077324</v>
      </c>
      <c r="E608" s="34" t="n">
        <f aca="false">1/E606</f>
        <v>0.826713835651273</v>
      </c>
      <c r="F608" s="34" t="n">
        <f aca="false">1/F606</f>
        <v>0.794917149664686</v>
      </c>
      <c r="G608" s="34" t="n">
        <f aca="false">1/G606</f>
        <v>0.764343413139121</v>
      </c>
      <c r="H608" s="34" t="n">
        <f aca="false">1/H606</f>
        <v>0.734945589556847</v>
      </c>
      <c r="I608" s="34" t="n">
        <f aca="false">1/I606</f>
        <v>0.706678451496968</v>
      </c>
      <c r="J608" s="34" t="n">
        <f aca="false">1/J606</f>
        <v>0.679498511054777</v>
      </c>
      <c r="K608" s="34" t="n">
        <f aca="false">1/K606</f>
        <v>0.653363952937286</v>
      </c>
      <c r="L608" s="34" t="n">
        <f aca="false">1/L606</f>
        <v>0.628234570132006</v>
      </c>
    </row>
    <row r="609" customFormat="false" ht="15" hidden="false" customHeight="false" outlineLevel="0" collapsed="false">
      <c r="A609" s="6" t="s">
        <v>202</v>
      </c>
      <c r="B609" s="35" t="n">
        <f aca="false">IF(B$43=0,Quesería!$F$80,IF(B$43=1,Quesería!$F$81*$O$21,0))*$O$11</f>
        <v>622.243624322401</v>
      </c>
      <c r="C609" s="35" t="n">
        <f aca="false">IF(C$43=0,Quesería!$F$80,IF(C$43=1,Quesería!$F$81*$O$21,0))*$O$11</f>
        <v>645.270088578622</v>
      </c>
      <c r="D609" s="35" t="n">
        <f aca="false">IF(D$43=0,Quesería!$F$80,IF(D$43=1,Quesería!$F$81*$O$21,0))*$O$11</f>
        <v>0</v>
      </c>
      <c r="E609" s="35" t="n">
        <f aca="false">IF(E$43=0,Quesería!$F$80,IF(E$43=1,Quesería!$F$81*$O$21,0))*$O$11</f>
        <v>0</v>
      </c>
      <c r="F609" s="35" t="n">
        <f aca="false">IF(F$43=0,Quesería!$F$80,IF(F$43=1,Quesería!$F$81*$O$21,0))*$O$11</f>
        <v>0</v>
      </c>
      <c r="G609" s="35" t="n">
        <f aca="false">IF(G$43=0,Quesería!$F$80,IF(G$43=1,Quesería!$F$81*$O$21,0))*$O$11</f>
        <v>0</v>
      </c>
      <c r="H609" s="35" t="n">
        <f aca="false">IF(H$43=0,Quesería!$F$80,IF(H$43=1,Quesería!$F$81*$O$21,0))*$O$11</f>
        <v>0</v>
      </c>
      <c r="I609" s="35" t="n">
        <f aca="false">IF(I$43=0,Quesería!$F$80,IF(I$43=1,Quesería!$F$81*$O$21,0))*$O$11</f>
        <v>0</v>
      </c>
      <c r="J609" s="35" t="n">
        <f aca="false">IF(J$43=0,Quesería!$F$80,IF(J$43=1,Quesería!$F$81*$O$21,0))*$O$11</f>
        <v>0</v>
      </c>
      <c r="K609" s="35" t="n">
        <f aca="false">IF(K$43=0,Quesería!$F$80,IF(K$43=1,Quesería!$F$81*$O$21,0))*$O$11</f>
        <v>0</v>
      </c>
      <c r="L609" s="35" t="n">
        <f aca="false">IF(L$43=0,Quesería!$F$80,IF(L$43=1,Quesería!$F$81*$O$21,0))*$O$11</f>
        <v>0</v>
      </c>
    </row>
    <row r="610" customFormat="false" ht="15" hidden="false" customHeight="false" outlineLevel="0" collapsed="false">
      <c r="A610" s="6" t="s">
        <v>285</v>
      </c>
      <c r="B610" s="35" t="n">
        <f aca="false">IF(B$43=5,Quesería!$F$87,IF(B$43=6,Quesería!$F$88,0))*$O$11</f>
        <v>0</v>
      </c>
      <c r="C610" s="35" t="n">
        <f aca="false">IF(C$43=5,Quesería!$F$87,IF(C$43=6,Quesería!$F$88,0))*$O$11</f>
        <v>0</v>
      </c>
      <c r="D610" s="35" t="n">
        <f aca="false">IF(D$43=5,Quesería!$F$87,IF(D$43=6,Quesería!$F$88,0))*$O$11</f>
        <v>0</v>
      </c>
      <c r="E610" s="35" t="n">
        <f aca="false">IF(E$43=5,Quesería!$F$87,IF(E$43=6,Quesería!$F$88,0))*$O$11</f>
        <v>0</v>
      </c>
      <c r="F610" s="35" t="n">
        <f aca="false">IF(F$43=5,Quesería!$F$87,IF(F$43=6,Quesería!$F$88,0))*$O$11</f>
        <v>0</v>
      </c>
      <c r="G610" s="35" t="n">
        <f aca="false">IF(G$43=5,Quesería!$F$87,IF(G$43=6,Quesería!$F$88,0))*$O$11</f>
        <v>26.6666666666667</v>
      </c>
      <c r="H610" s="35" t="n">
        <f aca="false">IF(H$43=5,Quesería!$F$87,IF(H$43=6,Quesería!$F$88,0))*$O$11</f>
        <v>35.3045530566667</v>
      </c>
      <c r="I610" s="35" t="n">
        <f aca="false">IF(I$43=5,Quesería!$F$87,IF(I$43=6,Quesería!$F$88,0))*$O$11</f>
        <v>0</v>
      </c>
      <c r="J610" s="35" t="n">
        <f aca="false">IF(J$43=5,Quesería!$F$87,IF(J$43=6,Quesería!$F$88,0))*$O$11</f>
        <v>0</v>
      </c>
      <c r="K610" s="35" t="n">
        <f aca="false">IF(K$43=5,Quesería!$F$87,IF(K$43=6,Quesería!$F$88,0))*$O$11</f>
        <v>0</v>
      </c>
      <c r="L610" s="35" t="n">
        <f aca="false">IF(L$43=5,Quesería!$F$87,IF(L$43=6,Quesería!$F$88,0))*$O$11</f>
        <v>0</v>
      </c>
    </row>
    <row r="611" customFormat="false" ht="15" hidden="false" customHeight="false" outlineLevel="0" collapsed="false">
      <c r="A611" s="6" t="s">
        <v>286</v>
      </c>
      <c r="B611" s="35" t="n">
        <f aca="false">Quesería!$B$36*(IF(B$43=0,SUMPRODUCT((Quesería!$C$62:$C$77=0)*(Quesería!$H$62:$H$77&gt;0)*(Quesería!$J$62:$J$77&gt;0)*Quesería!$F$62:$F$77*(1+Quesería!$I$62:$I$77)),IF(B$43=1,SUMPRODUCT((Quesería!$C$62:$C$77=1)*(Quesería!$H$62:$H$77&gt;0)*(Quesería!$J$62:$J$77&gt;0)*Quesería!$F$62:$F$77*(1+Quesería!$I$62:$I$77))*$O$21,0))*$O$11+B610)</f>
        <v>99.347875488093</v>
      </c>
      <c r="C611" s="35" t="n">
        <f aca="false">Quesería!$B$36*(IF(C$43=0,SUMPRODUCT((Quesería!$C$62:$C$77=0)*(Quesería!$H$62:$H$77&gt;0)*(Quesería!$J$62:$J$77&gt;0)*Quesería!$F$62:$F$77*(1+Quesería!$I$62:$I$77)),IF(C$43=1,SUMPRODUCT((Quesería!$C$62:$C$77=1)*(Quesería!$H$62:$H$77&gt;0)*(Quesería!$J$62:$J$77&gt;0)*Quesería!$F$62:$F$77*(1+Quesería!$I$62:$I$77))*$O$21,0))*$O$11+C610)</f>
        <v>122.601316829938</v>
      </c>
      <c r="D611" s="35" t="n">
        <f aca="false">Quesería!$B$36*(IF(D$43=0,SUMPRODUCT((Quesería!$C$62:$C$77=0)*(Quesería!$H$62:$H$77&gt;0)*(Quesería!$J$62:$J$77&gt;0)*Quesería!$F$62:$F$77*(1+Quesería!$I$62:$I$77)),IF(D$43=1,SUMPRODUCT((Quesería!$C$62:$C$77=1)*(Quesería!$H$62:$H$77&gt;0)*(Quesería!$J$62:$J$77&gt;0)*Quesería!$F$62:$F$77*(1+Quesería!$I$62:$I$77))*$O$21,0))*$O$11+D610)</f>
        <v>0</v>
      </c>
      <c r="E611" s="35" t="n">
        <f aca="false">Quesería!$B$36*(IF(E$43=0,SUMPRODUCT((Quesería!$C$62:$C$77=0)*(Quesería!$H$62:$H$77&gt;0)*(Quesería!$J$62:$J$77&gt;0)*Quesería!$F$62:$F$77*(1+Quesería!$I$62:$I$77)),IF(E$43=1,SUMPRODUCT((Quesería!$C$62:$C$77=1)*(Quesería!$H$62:$H$77&gt;0)*(Quesería!$J$62:$J$77&gt;0)*Quesería!$F$62:$F$77*(1+Quesería!$I$62:$I$77))*$O$21,0))*$O$11+E610)</f>
        <v>0</v>
      </c>
      <c r="F611" s="35" t="n">
        <f aca="false">Quesería!$B$36*(IF(F$43=0,SUMPRODUCT((Quesería!$C$62:$C$77=0)*(Quesería!$H$62:$H$77&gt;0)*(Quesería!$J$62:$J$77&gt;0)*Quesería!$F$62:$F$77*(1+Quesería!$I$62:$I$77)),IF(F$43=1,SUMPRODUCT((Quesería!$C$62:$C$77=1)*(Quesería!$H$62:$H$77&gt;0)*(Quesería!$J$62:$J$77&gt;0)*Quesería!$F$62:$F$77*(1+Quesería!$I$62:$I$77))*$O$21,0))*$O$11+F610)</f>
        <v>0</v>
      </c>
      <c r="G611" s="35" t="n">
        <f aca="false">Quesería!$B$36*(IF(G$43=0,SUMPRODUCT((Quesería!$C$62:$C$77=0)*(Quesería!$H$62:$H$77&gt;0)*(Quesería!$J$62:$J$77&gt;0)*Quesería!$F$62:$F$77*(1+Quesería!$I$62:$I$77)),IF(G$43=1,SUMPRODUCT((Quesería!$C$62:$C$77=1)*(Quesería!$H$62:$H$77&gt;0)*(Quesería!$J$62:$J$77&gt;0)*Quesería!$F$62:$F$77*(1+Quesería!$I$62:$I$77))*$O$21,0))*$O$11+G610)</f>
        <v>5.06666666666667</v>
      </c>
      <c r="H611" s="35" t="n">
        <f aca="false">Quesería!$B$36*(IF(H$43=0,SUMPRODUCT((Quesería!$C$62:$C$77=0)*(Quesería!$H$62:$H$77&gt;0)*(Quesería!$J$62:$J$77&gt;0)*Quesería!$F$62:$F$77*(1+Quesería!$I$62:$I$77)),IF(H$43=1,SUMPRODUCT((Quesería!$C$62:$C$77=1)*(Quesería!$H$62:$H$77&gt;0)*(Quesería!$J$62:$J$77&gt;0)*Quesería!$F$62:$F$77*(1+Quesería!$I$62:$I$77))*$O$21,0))*$O$11+H610)</f>
        <v>6.70786508076667</v>
      </c>
      <c r="I611" s="35" t="n">
        <f aca="false">Quesería!$B$36*(IF(I$43=0,SUMPRODUCT((Quesería!$C$62:$C$77=0)*(Quesería!$H$62:$H$77&gt;0)*(Quesería!$J$62:$J$77&gt;0)*Quesería!$F$62:$F$77*(1+Quesería!$I$62:$I$77)),IF(I$43=1,SUMPRODUCT((Quesería!$C$62:$C$77=1)*(Quesería!$H$62:$H$77&gt;0)*(Quesería!$J$62:$J$77&gt;0)*Quesería!$F$62:$F$77*(1+Quesería!$I$62:$I$77))*$O$21,0))*$O$11+I610)</f>
        <v>0</v>
      </c>
      <c r="J611" s="35" t="n">
        <f aca="false">Quesería!$B$36*(IF(J$43=0,SUMPRODUCT((Quesería!$C$62:$C$77=0)*(Quesería!$H$62:$H$77&gt;0)*(Quesería!$J$62:$J$77&gt;0)*Quesería!$F$62:$F$77*(1+Quesería!$I$62:$I$77)),IF(J$43=1,SUMPRODUCT((Quesería!$C$62:$C$77=1)*(Quesería!$H$62:$H$77&gt;0)*(Quesería!$J$62:$J$77&gt;0)*Quesería!$F$62:$F$77*(1+Quesería!$I$62:$I$77))*$O$21,0))*$O$11+J610)</f>
        <v>0</v>
      </c>
      <c r="K611" s="35" t="n">
        <f aca="false">Quesería!$B$36*(IF(K$43=0,SUMPRODUCT((Quesería!$C$62:$C$77=0)*(Quesería!$H$62:$H$77&gt;0)*(Quesería!$J$62:$J$77&gt;0)*Quesería!$F$62:$F$77*(1+Quesería!$I$62:$I$77)),IF(K$43=1,SUMPRODUCT((Quesería!$C$62:$C$77=1)*(Quesería!$H$62:$H$77&gt;0)*(Quesería!$J$62:$J$77&gt;0)*Quesería!$F$62:$F$77*(1+Quesería!$I$62:$I$77))*$O$21,0))*$O$11+K610)</f>
        <v>0</v>
      </c>
      <c r="L611" s="35" t="n">
        <f aca="false">Quesería!$B$36*(IF(L$43=0,SUMPRODUCT((Quesería!$C$62:$C$77=0)*(Quesería!$H$62:$H$77&gt;0)*(Quesería!$J$62:$J$77&gt;0)*Quesería!$F$62:$F$77*(1+Quesería!$I$62:$I$77)),IF(L$43=1,SUMPRODUCT((Quesería!$C$62:$C$77=1)*(Quesería!$H$62:$H$77&gt;0)*(Quesería!$J$62:$J$77&gt;0)*Quesería!$F$62:$F$77*(1+Quesería!$I$62:$I$77))*$O$21,0))*$O$11+L610)</f>
        <v>0</v>
      </c>
    </row>
    <row r="612" customFormat="false" ht="15" hidden="false" customHeight="false" outlineLevel="0" collapsed="false">
      <c r="A612" s="6" t="s">
        <v>260</v>
      </c>
      <c r="B612" s="35" t="n">
        <f aca="false">IF(B$43=0,($O$22*Quesería!$J$109+(1-$O$22)*Quesería!$E$105)*Quesería!$B$12*Quesería!$B$13/12*$O$23,(($O$22*Quesería!$J$109+(1-$O$22)*Quesería!$E$105)+($O$22*Quesería!$J$92+(1-$O$22)*Quesería!$E$92)*(B607-1))*IF(B$43=1,Quesería!$B$12,1))*$O$10</f>
        <v>45.6373732102639</v>
      </c>
      <c r="C612" s="35" t="n">
        <f aca="false">IF(C$43=0,($O$22*Quesería!$J$109+(1-$O$22)*Quesería!$E$105)*Quesería!$B$12*Quesería!$B$13/12*$O$23,(($O$22*Quesería!$J$109+(1-$O$22)*Quesería!$E$105)+($O$22*Quesería!$J$92+(1-$O$22)*Quesería!$E$92)*(C607-1))*IF(C$43=1,Quesería!$B$12,1))*$O$10</f>
        <v>137.039843215697</v>
      </c>
      <c r="D612" s="35" t="n">
        <f aca="false">IF(D$43=0,($O$22*Quesería!$J$109+(1-$O$22)*Quesería!$E$105)*Quesería!$B$12*Quesería!$B$13/12*$O$23,(($O$22*Quesería!$J$109+(1-$O$22)*Quesería!$E$105)+($O$22*Quesería!$J$92+(1-$O$22)*Quesería!$E$92)*(D607-1))*IF(D$43=1,Quesería!$B$12,1))*$O$10</f>
        <v>182.779442444829</v>
      </c>
      <c r="E612" s="35" t="n">
        <f aca="false">IF(E$43=0,($O$22*Quesería!$J$109+(1-$O$22)*Quesería!$E$105)*Quesería!$B$12*Quesería!$B$13/12*$O$23,(($O$22*Quesería!$J$109+(1-$O$22)*Quesería!$E$105)+($O$22*Quesería!$J$92+(1-$O$22)*Quesería!$E$92)*(E607-1))*IF(E$43=1,Quesería!$B$12,1))*$O$10</f>
        <v>182.839392192848</v>
      </c>
      <c r="F612" s="35" t="n">
        <f aca="false">IF(F$43=0,($O$22*Quesería!$J$109+(1-$O$22)*Quesería!$E$105)*Quesería!$B$12*Quesería!$B$13/12*$O$23,(($O$22*Quesería!$J$109+(1-$O$22)*Quesería!$E$105)+($O$22*Quesería!$J$92+(1-$O$22)*Quesería!$E$92)*(F607-1))*IF(F$43=1,Quesería!$B$12,1))*$O$10</f>
        <v>182.899641689607</v>
      </c>
      <c r="G612" s="35" t="n">
        <f aca="false">IF(G$43=0,($O$22*Quesería!$J$109+(1-$O$22)*Quesería!$E$105)*Quesería!$B$12*Quesería!$B$13/12*$O$23,(($O$22*Quesería!$J$109+(1-$O$22)*Quesería!$E$105)+($O$22*Quesería!$J$92+(1-$O$22)*Quesería!$E$92)*(G607-1))*IF(G$43=1,Quesería!$B$12,1))*$O$10</f>
        <v>182.96019243385</v>
      </c>
      <c r="H612" s="35" t="n">
        <f aca="false">IF(H$43=0,($O$22*Quesería!$J$109+(1-$O$22)*Quesería!$E$105)*Quesería!$B$12*Quesería!$B$13/12*$O$23,(($O$22*Quesería!$J$109+(1-$O$22)*Quesería!$E$105)+($O$22*Quesería!$J$92+(1-$O$22)*Quesería!$E$92)*(H607-1))*IF(H$43=1,Quesería!$B$12,1))*$O$10</f>
        <v>183.021045931814</v>
      </c>
      <c r="I612" s="35" t="n">
        <f aca="false">IF(I$43=0,($O$22*Quesería!$J$109+(1-$O$22)*Quesería!$E$105)*Quesería!$B$12*Quesería!$B$13/12*$O$23,(($O$22*Quesería!$J$109+(1-$O$22)*Quesería!$E$105)+($O$22*Quesería!$J$92+(1-$O$22)*Quesería!$E$92)*(I607-1))*IF(I$43=1,Quesería!$B$12,1))*$O$10</f>
        <v>183.082203697267</v>
      </c>
      <c r="J612" s="35" t="n">
        <f aca="false">IF(J$43=0,($O$22*Quesería!$J$109+(1-$O$22)*Quesería!$E$105)*Quesería!$B$12*Quesería!$B$13/12*$O$23,(($O$22*Quesería!$J$109+(1-$O$22)*Quesería!$E$105)+($O$22*Quesería!$J$92+(1-$O$22)*Quesería!$E$92)*(J607-1))*IF(J$43=1,Quesería!$B$12,1))*$O$10</f>
        <v>183.143667251549</v>
      </c>
      <c r="K612" s="35" t="n">
        <f aca="false">IF(K$43=0,($O$22*Quesería!$J$109+(1-$O$22)*Quesería!$E$105)*Quesería!$B$12*Quesería!$B$13/12*$O$23,(($O$22*Quesería!$J$109+(1-$O$22)*Quesería!$E$105)+($O$22*Quesería!$J$92+(1-$O$22)*Quesería!$E$92)*(K607-1))*IF(K$43=1,Quesería!$B$12,1))*$O$10</f>
        <v>183.205438123601</v>
      </c>
      <c r="L612" s="35" t="n">
        <f aca="false">IF(L$43=0,($O$22*Quesería!$J$109+(1-$O$22)*Quesería!$E$105)*Quesería!$B$12*Quesería!$B$13/12*$O$23,(($O$22*Quesería!$J$109+(1-$O$22)*Quesería!$E$105)+($O$22*Quesería!$J$92+(1-$O$22)*Quesería!$E$92)*(L607-1))*IF(L$43=1,Quesería!$B$12,1))*$O$10</f>
        <v>183.267517850014</v>
      </c>
    </row>
    <row r="613" customFormat="false" ht="15" hidden="false" customHeight="false" outlineLevel="0" collapsed="false">
      <c r="A613" s="6" t="s">
        <v>261</v>
      </c>
      <c r="B613" s="35" t="n">
        <f aca="false">IF(B$43&lt;=1,0,((($O$22*Quesería!$J$110+(1-$O$22)*Quesería!$E$106)-($O$22*Quesería!$J$99+(1-$O$22)*Quesería!$E$99)+$O$6*($O$22*Quesería!$J$99+(1-$O$22)*Quesería!$E$99)-(1-$O$9)*($O$22*Quesería!$J$102+(1-$O$22)*Quesería!$E$102))+($O$6*($O$22*Quesería!$J$99+(1-$O$22)*Quesería!$E$99)+$O$9*($O$22*Quesería!$J$102+(1-$O$22)*Quesería!$E$102))*(B607-1))*IF(B$43=2,Quesería!$B$12,1)+IF(B$43=2,Quesería!$B$14*$O$9*($O$22*Quesería!$J$102+(1-$O$22)*Quesería!$E$102)*B607,0))*$O$10*$O$21</f>
        <v>0</v>
      </c>
      <c r="C613" s="35" t="n">
        <f aca="false">IF(C$43&lt;=1,0,((($O$22*Quesería!$J$110+(1-$O$22)*Quesería!$E$106)-($O$22*Quesería!$J$99+(1-$O$22)*Quesería!$E$99)+$O$6*($O$22*Quesería!$J$99+(1-$O$22)*Quesería!$E$99)-(1-$O$9)*($O$22*Quesería!$J$102+(1-$O$22)*Quesería!$E$102))+($O$6*($O$22*Quesería!$J$99+(1-$O$22)*Quesería!$E$99)+$O$9*($O$22*Quesería!$J$102+(1-$O$22)*Quesería!$E$102))*(C607-1))*IF(C$43=2,Quesería!$B$12,1)+IF(C$43=2,Quesería!$B$14*$O$9*($O$22*Quesería!$J$102+(1-$O$22)*Quesería!$E$102)*C607,0))*$O$10*$O$21</f>
        <v>0</v>
      </c>
      <c r="D613" s="35" t="n">
        <f aca="false">IF(D$43&lt;=1,0,((($O$22*Quesería!$J$110+(1-$O$22)*Quesería!$E$106)-($O$22*Quesería!$J$99+(1-$O$22)*Quesería!$E$99)+$O$6*($O$22*Quesería!$J$99+(1-$O$22)*Quesería!$E$99)-(1-$O$9)*($O$22*Quesería!$J$102+(1-$O$22)*Quesería!$E$102))+($O$6*($O$22*Quesería!$J$99+(1-$O$22)*Quesería!$E$99)+$O$9*($O$22*Quesería!$J$102+(1-$O$22)*Quesería!$E$102))*(D607-1))*IF(D$43=2,Quesería!$B$12,1)+IF(D$43=2,Quesería!$B$14*$O$9*($O$22*Quesería!$J$102+(1-$O$22)*Quesería!$E$102)*D607,0))*$O$10*$O$21</f>
        <v>196.631205452766</v>
      </c>
      <c r="E613" s="35" t="n">
        <f aca="false">IF(E$43&lt;=1,0,((($O$22*Quesería!$J$110+(1-$O$22)*Quesería!$E$106)-($O$22*Quesería!$J$99+(1-$O$22)*Quesería!$E$99)+$O$6*($O$22*Quesería!$J$99+(1-$O$22)*Quesería!$E$99)-(1-$O$9)*($O$22*Quesería!$J$102+(1-$O$22)*Quesería!$E$102))+($O$6*($O$22*Quesería!$J$99+(1-$O$22)*Quesería!$E$99)+$O$9*($O$22*Quesería!$J$102+(1-$O$22)*Quesería!$E$102))*(E607-1))*IF(E$43=2,Quesería!$B$12,1)+IF(E$43=2,Quesería!$B$14*$O$9*($O$22*Quesería!$J$102+(1-$O$22)*Quesería!$E$102)*E607,0))*$O$10*$O$21</f>
        <v>233.2387877385</v>
      </c>
      <c r="F613" s="35" t="n">
        <f aca="false">IF(F$43&lt;=1,0,((($O$22*Quesería!$J$110+(1-$O$22)*Quesería!$E$106)-($O$22*Quesería!$J$99+(1-$O$22)*Quesería!$E$99)+$O$6*($O$22*Quesería!$J$99+(1-$O$22)*Quesería!$E$99)-(1-$O$9)*($O$22*Quesería!$J$102+(1-$O$22)*Quesería!$E$102))+($O$6*($O$22*Quesería!$J$99+(1-$O$22)*Quesería!$E$99)+$O$9*($O$22*Quesería!$J$102+(1-$O$22)*Quesería!$E$102))*(F607-1))*IF(F$43=2,Quesería!$B$12,1)+IF(F$43=2,Quesería!$B$14*$O$9*($O$22*Quesería!$J$102+(1-$O$22)*Quesería!$E$102)*F607,0))*$O$10*$O$21</f>
        <v>233.667911705212</v>
      </c>
      <c r="G613" s="35" t="n">
        <f aca="false">IF(G$43&lt;=1,0,((($O$22*Quesería!$J$110+(1-$O$22)*Quesería!$E$106)-($O$22*Quesería!$J$99+(1-$O$22)*Quesería!$E$99)+$O$6*($O$22*Quesería!$J$99+(1-$O$22)*Quesería!$E$99)-(1-$O$9)*($O$22*Quesería!$J$102+(1-$O$22)*Quesería!$E$102))+($O$6*($O$22*Quesería!$J$99+(1-$O$22)*Quesería!$E$99)+$O$9*($O$22*Quesería!$J$102+(1-$O$22)*Quesería!$E$102))*(G607-1))*IF(G$43=2,Quesería!$B$12,1)+IF(G$43=2,Quesería!$B$14*$O$9*($O$22*Quesería!$J$102+(1-$O$22)*Quesería!$E$102)*G607,0))*$O$10*$O$21</f>
        <v>234.099181291757</v>
      </c>
      <c r="H613" s="35" t="n">
        <f aca="false">IF(H$43&lt;=1,0,((($O$22*Quesería!$J$110+(1-$O$22)*Quesería!$E$106)-($O$22*Quesería!$J$99+(1-$O$22)*Quesería!$E$99)+$O$6*($O$22*Quesería!$J$99+(1-$O$22)*Quesería!$E$99)-(1-$O$9)*($O$22*Quesería!$J$102+(1-$O$22)*Quesería!$E$102))+($O$6*($O$22*Quesería!$J$99+(1-$O$22)*Quesería!$E$99)+$O$9*($O$22*Quesería!$J$102+(1-$O$22)*Quesería!$E$102))*(H607-1))*IF(H$43=2,Quesería!$B$12,1)+IF(H$43=2,Quesería!$B$14*$O$9*($O$22*Quesería!$J$102+(1-$O$22)*Quesería!$E$102)*H607,0))*$O$10*$O$21</f>
        <v>234.532607226235</v>
      </c>
      <c r="I613" s="35" t="n">
        <f aca="false">IF(I$43&lt;=1,0,((($O$22*Quesería!$J$110+(1-$O$22)*Quesería!$E$106)-($O$22*Quesería!$J$99+(1-$O$22)*Quesería!$E$99)+$O$6*($O$22*Quesería!$J$99+(1-$O$22)*Quesería!$E$99)-(1-$O$9)*($O$22*Quesería!$J$102+(1-$O$22)*Quesería!$E$102))+($O$6*($O$22*Quesería!$J$99+(1-$O$22)*Quesería!$E$99)+$O$9*($O$22*Quesería!$J$102+(1-$O$22)*Quesería!$E$102))*(I607-1))*IF(I$43=2,Quesería!$B$12,1)+IF(I$43=2,Quesería!$B$14*$O$9*($O$22*Quesería!$J$102+(1-$O$22)*Quesería!$E$102)*I607,0))*$O$10*$O$21</f>
        <v>234.968200290386</v>
      </c>
      <c r="J613" s="35" t="n">
        <f aca="false">IF(J$43&lt;=1,0,((($O$22*Quesería!$J$110+(1-$O$22)*Quesería!$E$106)-($O$22*Quesería!$J$99+(1-$O$22)*Quesería!$E$99)+$O$6*($O$22*Quesería!$J$99+(1-$O$22)*Quesería!$E$99)-(1-$O$9)*($O$22*Quesería!$J$102+(1-$O$22)*Quesería!$E$102))+($O$6*($O$22*Quesería!$J$99+(1-$O$22)*Quesería!$E$99)+$O$9*($O$22*Quesería!$J$102+(1-$O$22)*Quesería!$E$102))*(J607-1))*IF(J$43=2,Quesería!$B$12,1)+IF(J$43=2,Quesería!$B$14*$O$9*($O$22*Quesería!$J$102+(1-$O$22)*Quesería!$E$102)*J607,0))*$O$10*$O$21</f>
        <v>235.405971319857</v>
      </c>
      <c r="K613" s="35" t="n">
        <f aca="false">IF(K$43&lt;=1,0,((($O$22*Quesería!$J$110+(1-$O$22)*Quesería!$E$106)-($O$22*Quesería!$J$99+(1-$O$22)*Quesería!$E$99)+$O$6*($O$22*Quesería!$J$99+(1-$O$22)*Quesería!$E$99)-(1-$O$9)*($O$22*Quesería!$J$102+(1-$O$22)*Quesería!$E$102))+($O$6*($O$22*Quesería!$J$99+(1-$O$22)*Quesería!$E$99)+$O$9*($O$22*Quesería!$J$102+(1-$O$22)*Quesería!$E$102))*(K607-1))*IF(K$43=2,Quesería!$B$12,1)+IF(K$43=2,Quesería!$B$14*$O$9*($O$22*Quesería!$J$102+(1-$O$22)*Quesería!$E$102)*K607,0))*$O$10*$O$21</f>
        <v>235.845931204475</v>
      </c>
      <c r="L613" s="35" t="n">
        <f aca="false">IF(L$43&lt;=1,0,((($O$22*Quesería!$J$110+(1-$O$22)*Quesería!$E$106)-($O$22*Quesería!$J$99+(1-$O$22)*Quesería!$E$99)+$O$6*($O$22*Quesería!$J$99+(1-$O$22)*Quesería!$E$99)-(1-$O$9)*($O$22*Quesería!$J$102+(1-$O$22)*Quesería!$E$102))+($O$6*($O$22*Quesería!$J$99+(1-$O$22)*Quesería!$E$99)+$O$9*($O$22*Quesería!$J$102+(1-$O$22)*Quesería!$E$102))*(L607-1))*IF(L$43=2,Quesería!$B$12,1)+IF(L$43=2,Quesería!$B$14*$O$9*($O$22*Quesería!$J$102+(1-$O$22)*Quesería!$E$102)*L607,0))*$O$10*$O$21</f>
        <v>236.288090888517</v>
      </c>
    </row>
    <row r="614" customFormat="false" ht="15" hidden="false" customHeight="false" outlineLevel="0" collapsed="false">
      <c r="A614" s="5" t="s">
        <v>287</v>
      </c>
      <c r="B614" s="10" t="n">
        <f aca="false">B612+B613</f>
        <v>45.6373732102639</v>
      </c>
      <c r="C614" s="10" t="n">
        <f aca="false">C612+C613</f>
        <v>137.039843215697</v>
      </c>
      <c r="D614" s="10" t="n">
        <f aca="false">D612+D613</f>
        <v>379.410647897596</v>
      </c>
      <c r="E614" s="10" t="n">
        <f aca="false">E612+E613</f>
        <v>416.078179931348</v>
      </c>
      <c r="F614" s="10" t="n">
        <f aca="false">F612+F613</f>
        <v>416.567553394819</v>
      </c>
      <c r="G614" s="10" t="n">
        <f aca="false">G612+G613</f>
        <v>417.059373725607</v>
      </c>
      <c r="H614" s="10" t="n">
        <f aca="false">H612+H613</f>
        <v>417.553653158049</v>
      </c>
      <c r="I614" s="10" t="n">
        <f aca="false">I612+I613</f>
        <v>418.050403987653</v>
      </c>
      <c r="J614" s="10" t="n">
        <f aca="false">J612+J613</f>
        <v>418.549638571405</v>
      </c>
      <c r="K614" s="10" t="n">
        <f aca="false">K612+K613</f>
        <v>419.051369328076</v>
      </c>
      <c r="L614" s="10" t="n">
        <f aca="false">L612+L613</f>
        <v>419.555608738531</v>
      </c>
    </row>
    <row r="615" customFormat="false" ht="15" hidden="false" customHeight="false" outlineLevel="0" collapsed="false">
      <c r="A615" s="6" t="s">
        <v>288</v>
      </c>
      <c r="B615" s="35" t="n">
        <f aca="false">(IF(B$43&gt;=1,(Quesería!$B$21+Quesería!$B$54)*Quesería!$F$82*$O$11+Quesería!$B$22+'Beneficios y costos'!$B$118,0)+IF(B$43&gt;=2,((Quesería!$B$21+Quesería!$B$54)*Quesería!$F$83*$O$11+'Beneficios y costos'!$C$118)*$O$21,0))*$O$12</f>
        <v>0</v>
      </c>
      <c r="C615" s="35" t="n">
        <f aca="false">(IF(C$43&gt;=1,(Quesería!$B$21+Quesería!$B$54)*Quesería!$F$82*$O$11+Quesería!$B$22+'Beneficios y costos'!$B$118,0)+IF(C$43&gt;=2,((Quesería!$B$21+Quesería!$B$54)*Quesería!$F$83*$O$11+'Beneficios y costos'!$C$118)*$O$21,0))*$O$12</f>
        <v>36.8921528634167</v>
      </c>
      <c r="D615" s="35" t="n">
        <f aca="false">(IF(D$43&gt;=1,(Quesería!$B$21+Quesería!$B$54)*Quesería!$F$82*$O$11+Quesería!$B$22+'Beneficios y costos'!$B$118,0)+IF(D$43&gt;=2,((Quesería!$B$21+Quesería!$B$54)*Quesería!$F$83*$O$11+'Beneficios y costos'!$C$118)*$O$21,0))*$O$12</f>
        <v>88.8065043646377</v>
      </c>
      <c r="E615" s="35" t="n">
        <f aca="false">(IF(E$43&gt;=1,(Quesería!$B$21+Quesería!$B$54)*Quesería!$F$82*$O$11+Quesería!$B$22+'Beneficios y costos'!$B$118,0)+IF(E$43&gt;=2,((Quesería!$B$21+Quesería!$B$54)*Quesería!$F$83*$O$11+'Beneficios y costos'!$C$118)*$O$21,0))*$O$12</f>
        <v>88.8065043646377</v>
      </c>
      <c r="F615" s="35" t="n">
        <f aca="false">(IF(F$43&gt;=1,(Quesería!$B$21+Quesería!$B$54)*Quesería!$F$82*$O$11+Quesería!$B$22+'Beneficios y costos'!$B$118,0)+IF(F$43&gt;=2,((Quesería!$B$21+Quesería!$B$54)*Quesería!$F$83*$O$11+'Beneficios y costos'!$C$118)*$O$21,0))*$O$12</f>
        <v>88.8065043646377</v>
      </c>
      <c r="G615" s="35" t="n">
        <f aca="false">(IF(G$43&gt;=1,(Quesería!$B$21+Quesería!$B$54)*Quesería!$F$82*$O$11+Quesería!$B$22+'Beneficios y costos'!$B$118,0)+IF(G$43&gt;=2,((Quesería!$B$21+Quesería!$B$54)*Quesería!$F$83*$O$11+'Beneficios y costos'!$C$118)*$O$21,0))*$O$12</f>
        <v>88.8065043646377</v>
      </c>
      <c r="H615" s="35" t="n">
        <f aca="false">(IF(H$43&gt;=1,(Quesería!$B$21+Quesería!$B$54)*Quesería!$F$82*$O$11+Quesería!$B$22+'Beneficios y costos'!$B$118,0)+IF(H$43&gt;=2,((Quesería!$B$21+Quesería!$B$54)*Quesería!$F$83*$O$11+'Beneficios y costos'!$C$118)*$O$21,0))*$O$12</f>
        <v>88.8065043646377</v>
      </c>
      <c r="I615" s="35" t="n">
        <f aca="false">(IF(I$43&gt;=1,(Quesería!$B$21+Quesería!$B$54)*Quesería!$F$82*$O$11+Quesería!$B$22+'Beneficios y costos'!$B$118,0)+IF(I$43&gt;=2,((Quesería!$B$21+Quesería!$B$54)*Quesería!$F$83*$O$11+'Beneficios y costos'!$C$118)*$O$21,0))*$O$12</f>
        <v>88.8065043646377</v>
      </c>
      <c r="J615" s="35" t="n">
        <f aca="false">(IF(J$43&gt;=1,(Quesería!$B$21+Quesería!$B$54)*Quesería!$F$82*$O$11+Quesería!$B$22+'Beneficios y costos'!$B$118,0)+IF(J$43&gt;=2,((Quesería!$B$21+Quesería!$B$54)*Quesería!$F$83*$O$11+'Beneficios y costos'!$C$118)*$O$21,0))*$O$12</f>
        <v>88.8065043646377</v>
      </c>
      <c r="K615" s="35" t="n">
        <f aca="false">(IF(K$43&gt;=1,(Quesería!$B$21+Quesería!$B$54)*Quesería!$F$82*$O$11+Quesería!$B$22+'Beneficios y costos'!$B$118,0)+IF(K$43&gt;=2,((Quesería!$B$21+Quesería!$B$54)*Quesería!$F$83*$O$11+'Beneficios y costos'!$C$118)*$O$21,0))*$O$12</f>
        <v>88.8065043646377</v>
      </c>
      <c r="L615" s="35" t="n">
        <f aca="false">(IF(L$43&gt;=1,(Quesería!$B$21+Quesería!$B$54)*Quesería!$F$82*$O$11+Quesería!$B$22+'Beneficios y costos'!$B$118,0)+IF(L$43&gt;=2,((Quesería!$B$21+Quesería!$B$54)*Quesería!$F$83*$O$11+'Beneficios y costos'!$C$118)*$O$21,0))*$O$12</f>
        <v>88.8065043646377</v>
      </c>
    </row>
    <row r="616" customFormat="false" ht="15" hidden="false" customHeight="false" outlineLevel="0" collapsed="false">
      <c r="A616" s="6" t="s">
        <v>289</v>
      </c>
      <c r="B616" s="35" t="n">
        <f aca="false">IF(B$43=1,2*Quesería!$B$33*Quesería!$B$34/12*B607,0)*$O$21</f>
        <v>0</v>
      </c>
      <c r="C616" s="35" t="n">
        <f aca="false">IF(C$43=1,2*Quesería!$B$33*Quesería!$B$34/12*C607,0)*$O$21</f>
        <v>18.2606603773585</v>
      </c>
      <c r="D616" s="35" t="n">
        <f aca="false">IF(D$43=1,2*Quesería!$B$33*Quesería!$B$34/12*D607,0)*$O$21</f>
        <v>0</v>
      </c>
      <c r="E616" s="35" t="n">
        <f aca="false">IF(E$43=1,2*Quesería!$B$33*Quesería!$B$34/12*E607,0)*$O$21</f>
        <v>0</v>
      </c>
      <c r="F616" s="35" t="n">
        <f aca="false">IF(F$43=1,2*Quesería!$B$33*Quesería!$B$34/12*F607,0)*$O$21</f>
        <v>0</v>
      </c>
      <c r="G616" s="35" t="n">
        <f aca="false">IF(G$43=1,2*Quesería!$B$33*Quesería!$B$34/12*G607,0)*$O$21</f>
        <v>0</v>
      </c>
      <c r="H616" s="35" t="n">
        <f aca="false">IF(H$43=1,2*Quesería!$B$33*Quesería!$B$34/12*H607,0)*$O$21</f>
        <v>0</v>
      </c>
      <c r="I616" s="35" t="n">
        <f aca="false">IF(I$43=1,2*Quesería!$B$33*Quesería!$B$34/12*I607,0)*$O$21</f>
        <v>0</v>
      </c>
      <c r="J616" s="35" t="n">
        <f aca="false">IF(J$43=1,2*Quesería!$B$33*Quesería!$B$34/12*J607,0)*$O$21</f>
        <v>0</v>
      </c>
      <c r="K616" s="35" t="n">
        <f aca="false">IF(K$43=1,2*Quesería!$B$33*Quesería!$B$34/12*K607,0)*$O$21</f>
        <v>0</v>
      </c>
      <c r="L616" s="35" t="n">
        <f aca="false">IF(L$43=1,2*Quesería!$B$33*Quesería!$B$34/12*L607,0)*$O$21</f>
        <v>0</v>
      </c>
    </row>
    <row r="617" customFormat="false" ht="15" hidden="false" customHeight="false" outlineLevel="0" collapsed="false">
      <c r="A617" s="6" t="s">
        <v>290</v>
      </c>
      <c r="B617" s="35" t="n">
        <f aca="false">Quesería!$B$45*(B609+B610+B611+B615+B616)</f>
        <v>2.88636599924197</v>
      </c>
      <c r="C617" s="35" t="n">
        <f aca="false">Quesería!$B$45*(C609+C610+C611+C615+C616)</f>
        <v>3.29209687459734</v>
      </c>
      <c r="D617" s="35" t="n">
        <f aca="false">Quesería!$B$45*(D609+D610+D611+D615+D616)</f>
        <v>0.355226017458551</v>
      </c>
      <c r="E617" s="35" t="n">
        <f aca="false">Quesería!$B$45*(E609+E610+E611+E615+E616)</f>
        <v>0.355226017458551</v>
      </c>
      <c r="F617" s="35" t="n">
        <f aca="false">Quesería!$B$45*(F609+F610+F611+F615+F616)</f>
        <v>0.355226017458551</v>
      </c>
      <c r="G617" s="35" t="n">
        <f aca="false">Quesería!$B$45*(G609+G610+G611+G615+G616)</f>
        <v>0.482159350791884</v>
      </c>
      <c r="H617" s="35" t="n">
        <f aca="false">Quesería!$B$45*(H609+H610+H611+H615+H616)</f>
        <v>0.523275690008284</v>
      </c>
      <c r="I617" s="35" t="n">
        <f aca="false">Quesería!$B$45*(I609+I610+I611+I615+I616)</f>
        <v>0.355226017458551</v>
      </c>
      <c r="J617" s="35" t="n">
        <f aca="false">Quesería!$B$45*(J609+J610+J611+J615+J616)</f>
        <v>0.355226017458551</v>
      </c>
      <c r="K617" s="35" t="n">
        <f aca="false">Quesería!$B$45*(K609+K610+K611+K615+K616)</f>
        <v>0.355226017458551</v>
      </c>
      <c r="L617" s="35" t="n">
        <f aca="false">Quesería!$B$45*(L609+L610+L611+L615+L616)</f>
        <v>0.355226017458551</v>
      </c>
    </row>
    <row r="618" customFormat="false" ht="15" hidden="false" customHeight="false" outlineLevel="0" collapsed="false">
      <c r="A618" s="6" t="s">
        <v>291</v>
      </c>
      <c r="B618" s="35" t="n">
        <f aca="false">(IF($O$19=1,(SUMPRODUCT((Quesería!$C$62:$C$77=0)*(Quesería!$J$62:$J$77&gt;0)*(B$43&gt;=1)*(B$43&lt;=Quesería!$J$62:$J$77)*(Quesería!$H$62:$H$77&gt;0)*Quesería!$F$62:$F$77*(1+Quesería!$I$62:$I$77)/(Quesería!$J$62:$J$77+(Quesería!$J$62:$J$77=0)))+SUMPRODUCT((Quesería!$C$62:$C$77=0)*(Quesería!$J$62:$J$77=0)*(B$43=0)*(Quesería!$H$62:$H$77&gt;0)*Quesería!$F$62:$F$77*(1+Quesería!$I$62:$I$77)))*$B$606+(SUMPRODUCT((Quesería!$C$62:$C$77=1)*(Quesería!$J$62:$J$77&gt;0)*(B$43&gt;=2)*(B$43&lt;=Quesería!$J$62:$J$77+1)*(Quesería!$H$62:$H$77&gt;0)*Quesería!$F$62:$F$77*(1+Quesería!$I$62:$I$77)/(Quesería!$J$62:$J$77+(Quesería!$J$62:$J$77=0)))+SUMPRODUCT((Quesería!$C$62:$C$77=1)*(Quesería!$J$62:$J$77=0)*(B$43=1)*(Quesería!$H$62:$H$77&gt;0)*Quesería!$F$62:$F$77*(1+Quesería!$I$62:$I$77)))*$C$606*$O$21,IF(AND(B$43&gt;=1,B$43&lt;=Quesería!$B$11),Quesería!$F$80/Quesería!$B$11,0)*$B$606+IF(AND(B$43&gt;=2,B$43&lt;=Quesería!$B$11+1),Quesería!$F$81/Quesería!$B$11,0)*$C$606*$O$21)*$O$11+IF(AND(B$43&gt;=6,B$43&lt;=10),$G610*$G606/5,0)+IF(AND(B$43&gt;=7,B$43&lt;=11),$H610*$H606/5,0))*B608</f>
        <v>99.3600691219113</v>
      </c>
      <c r="C618" s="35" t="n">
        <f aca="false">(IF($O$19=1,(SUMPRODUCT((Quesería!$C$62:$C$77=0)*(Quesería!$J$62:$J$77&gt;0)*(C$43&gt;=1)*(C$43&lt;=Quesería!$J$62:$J$77)*(Quesería!$H$62:$H$77&gt;0)*Quesería!$F$62:$F$77*(1+Quesería!$I$62:$I$77)/(Quesería!$J$62:$J$77+(Quesería!$J$62:$J$77=0)))+SUMPRODUCT((Quesería!$C$62:$C$77=0)*(Quesería!$J$62:$J$77=0)*(C$43=0)*(Quesería!$H$62:$H$77&gt;0)*Quesería!$F$62:$F$77*(1+Quesería!$I$62:$I$77)))*$B$606+(SUMPRODUCT((Quesería!$C$62:$C$77=1)*(Quesería!$J$62:$J$77&gt;0)*(C$43&gt;=2)*(C$43&lt;=Quesería!$J$62:$J$77+1)*(Quesería!$H$62:$H$77&gt;0)*Quesería!$F$62:$F$77*(1+Quesería!$I$62:$I$77)/(Quesería!$J$62:$J$77+(Quesería!$J$62:$J$77=0)))+SUMPRODUCT((Quesería!$C$62:$C$77=1)*(Quesería!$J$62:$J$77=0)*(C$43=1)*(Quesería!$H$62:$H$77&gt;0)*Quesería!$F$62:$F$77*(1+Quesería!$I$62:$I$77)))*$C$606*$O$21,IF(AND(C$43&gt;=1,C$43&lt;=Quesería!$B$11),Quesería!$F$80/Quesería!$B$11,0)*$B$606+IF(AND(C$43&gt;=2,C$43&lt;=Quesería!$B$11+1),Quesería!$F$81/Quesería!$B$11,0)*$C$606*$O$21)*$O$11+IF(AND(C$43&gt;=6,C$43&lt;=10),$G610*$G606/5,0)+IF(AND(C$43&gt;=7,C$43&lt;=11),$H610*$H606/5,0))*C608</f>
        <v>57.1000211302053</v>
      </c>
      <c r="D618" s="35" t="n">
        <f aca="false">(IF($O$19=1,(SUMPRODUCT((Quesería!$C$62:$C$77=0)*(Quesería!$J$62:$J$77&gt;0)*(D$43&gt;=1)*(D$43&lt;=Quesería!$J$62:$J$77)*(Quesería!$H$62:$H$77&gt;0)*Quesería!$F$62:$F$77*(1+Quesería!$I$62:$I$77)/(Quesería!$J$62:$J$77+(Quesería!$J$62:$J$77=0)))+SUMPRODUCT((Quesería!$C$62:$C$77=0)*(Quesería!$J$62:$J$77=0)*(D$43=0)*(Quesería!$H$62:$H$77&gt;0)*Quesería!$F$62:$F$77*(1+Quesería!$I$62:$I$77)))*$B$606+(SUMPRODUCT((Quesería!$C$62:$C$77=1)*(Quesería!$J$62:$J$77&gt;0)*(D$43&gt;=2)*(D$43&lt;=Quesería!$J$62:$J$77+1)*(Quesería!$H$62:$H$77&gt;0)*Quesería!$F$62:$F$77*(1+Quesería!$I$62:$I$77)/(Quesería!$J$62:$J$77+(Quesería!$J$62:$J$77=0)))+SUMPRODUCT((Quesería!$C$62:$C$77=1)*(Quesería!$J$62:$J$77=0)*(D$43=1)*(Quesería!$H$62:$H$77&gt;0)*Quesería!$F$62:$F$77*(1+Quesería!$I$62:$I$77)))*$C$606*$O$21,IF(AND(D$43&gt;=1,D$43&lt;=Quesería!$B$11),Quesería!$F$80/Quesería!$B$11,0)*$B$606+IF(AND(D$43&gt;=2,D$43&lt;=Quesería!$B$11+1),Quesería!$F$81/Quesería!$B$11,0)*$C$606*$O$21)*$O$11+IF(AND(D$43&gt;=6,D$43&lt;=10),$G610*$G606/5,0)+IF(AND(D$43&gt;=7,D$43&lt;=11),$H610*$H606/5,0))*D608</f>
        <v>116.389502380926</v>
      </c>
      <c r="E618" s="35" t="n">
        <f aca="false">(IF($O$19=1,(SUMPRODUCT((Quesería!$C$62:$C$77=0)*(Quesería!$J$62:$J$77&gt;0)*(E$43&gt;=1)*(E$43&lt;=Quesería!$J$62:$J$77)*(Quesería!$H$62:$H$77&gt;0)*Quesería!$F$62:$F$77*(1+Quesería!$I$62:$I$77)/(Quesería!$J$62:$J$77+(Quesería!$J$62:$J$77=0)))+SUMPRODUCT((Quesería!$C$62:$C$77=0)*(Quesería!$J$62:$J$77=0)*(E$43=0)*(Quesería!$H$62:$H$77&gt;0)*Quesería!$F$62:$F$77*(1+Quesería!$I$62:$I$77)))*$B$606+(SUMPRODUCT((Quesería!$C$62:$C$77=1)*(Quesería!$J$62:$J$77&gt;0)*(E$43&gt;=2)*(E$43&lt;=Quesería!$J$62:$J$77+1)*(Quesería!$H$62:$H$77&gt;0)*Quesería!$F$62:$F$77*(1+Quesería!$I$62:$I$77)/(Quesería!$J$62:$J$77+(Quesería!$J$62:$J$77=0)))+SUMPRODUCT((Quesería!$C$62:$C$77=1)*(Quesería!$J$62:$J$77=0)*(E$43=1)*(Quesería!$H$62:$H$77&gt;0)*Quesería!$F$62:$F$77*(1+Quesería!$I$62:$I$77)))*$C$606*$O$21,IF(AND(E$43&gt;=1,E$43&lt;=Quesería!$B$11),Quesería!$F$80/Quesería!$B$11,0)*$B$606+IF(AND(E$43&gt;=2,E$43&lt;=Quesería!$B$11+1),Quesería!$F$81/Quesería!$B$11,0)*$C$606*$O$21)*$O$11+IF(AND(E$43&gt;=6,E$43&lt;=10),$G610*$G606/5,0)+IF(AND(E$43&gt;=7,E$43&lt;=11),$H610*$H606/5,0))*E608</f>
        <v>111.912983058583</v>
      </c>
      <c r="F618" s="35" t="n">
        <f aca="false">(IF($O$19=1,(SUMPRODUCT((Quesería!$C$62:$C$77=0)*(Quesería!$J$62:$J$77&gt;0)*(F$43&gt;=1)*(F$43&lt;=Quesería!$J$62:$J$77)*(Quesería!$H$62:$H$77&gt;0)*Quesería!$F$62:$F$77*(1+Quesería!$I$62:$I$77)/(Quesería!$J$62:$J$77+(Quesería!$J$62:$J$77=0)))+SUMPRODUCT((Quesería!$C$62:$C$77=0)*(Quesería!$J$62:$J$77=0)*(F$43=0)*(Quesería!$H$62:$H$77&gt;0)*Quesería!$F$62:$F$77*(1+Quesería!$I$62:$I$77)))*$B$606+(SUMPRODUCT((Quesería!$C$62:$C$77=1)*(Quesería!$J$62:$J$77&gt;0)*(F$43&gt;=2)*(F$43&lt;=Quesería!$J$62:$J$77+1)*(Quesería!$H$62:$H$77&gt;0)*Quesería!$F$62:$F$77*(1+Quesería!$I$62:$I$77)/(Quesería!$J$62:$J$77+(Quesería!$J$62:$J$77=0)))+SUMPRODUCT((Quesería!$C$62:$C$77=1)*(Quesería!$J$62:$J$77=0)*(F$43=1)*(Quesería!$H$62:$H$77&gt;0)*Quesería!$F$62:$F$77*(1+Quesería!$I$62:$I$77)))*$C$606*$O$21,IF(AND(F$43&gt;=1,F$43&lt;=Quesería!$B$11),Quesería!$F$80/Quesería!$B$11,0)*$B$606+IF(AND(F$43&gt;=2,F$43&lt;=Quesería!$B$11+1),Quesería!$F$81/Quesería!$B$11,0)*$C$606*$O$21)*$O$11+IF(AND(F$43&gt;=6,F$43&lt;=10),$G610*$G606/5,0)+IF(AND(F$43&gt;=7,F$43&lt;=11),$H610*$H606/5,0))*F608</f>
        <v>107.608637556329</v>
      </c>
      <c r="G618" s="35" t="n">
        <f aca="false">(IF($O$19=1,(SUMPRODUCT((Quesería!$C$62:$C$77=0)*(Quesería!$J$62:$J$77&gt;0)*(G$43&gt;=1)*(G$43&lt;=Quesería!$J$62:$J$77)*(Quesería!$H$62:$H$77&gt;0)*Quesería!$F$62:$F$77*(1+Quesería!$I$62:$I$77)/(Quesería!$J$62:$J$77+(Quesería!$J$62:$J$77=0)))+SUMPRODUCT((Quesería!$C$62:$C$77=0)*(Quesería!$J$62:$J$77=0)*(G$43=0)*(Quesería!$H$62:$H$77&gt;0)*Quesería!$F$62:$F$77*(1+Quesería!$I$62:$I$77)))*$B$606+(SUMPRODUCT((Quesería!$C$62:$C$77=1)*(Quesería!$J$62:$J$77&gt;0)*(G$43&gt;=2)*(G$43&lt;=Quesería!$J$62:$J$77+1)*(Quesería!$H$62:$H$77&gt;0)*Quesería!$F$62:$F$77*(1+Quesería!$I$62:$I$77)/(Quesería!$J$62:$J$77+(Quesería!$J$62:$J$77=0)))+SUMPRODUCT((Quesería!$C$62:$C$77=1)*(Quesería!$J$62:$J$77=0)*(G$43=1)*(Quesería!$H$62:$H$77&gt;0)*Quesería!$F$62:$F$77*(1+Quesería!$I$62:$I$77)))*$C$606*$O$21,IF(AND(G$43&gt;=1,G$43&lt;=Quesería!$B$11),Quesería!$F$80/Quesería!$B$11,0)*$B$606+IF(AND(G$43&gt;=2,G$43&lt;=Quesería!$B$11+1),Quesería!$F$81/Quesería!$B$11,0)*$C$606*$O$21)*$O$11+IF(AND(G$43&gt;=6,G$43&lt;=10),$G610*$G606/5,0)+IF(AND(G$43&gt;=7,G$43&lt;=11),$H610*$H606/5,0))*G608</f>
        <v>103.469843804163</v>
      </c>
      <c r="H618" s="35" t="n">
        <f aca="false">(IF($O$19=1,(SUMPRODUCT((Quesería!$C$62:$C$77=0)*(Quesería!$J$62:$J$77&gt;0)*(H$43&gt;=1)*(H$43&lt;=Quesería!$J$62:$J$77)*(Quesería!$H$62:$H$77&gt;0)*Quesería!$F$62:$F$77*(1+Quesería!$I$62:$I$77)/(Quesería!$J$62:$J$77+(Quesería!$J$62:$J$77=0)))+SUMPRODUCT((Quesería!$C$62:$C$77=0)*(Quesería!$J$62:$J$77=0)*(H$43=0)*(Quesería!$H$62:$H$77&gt;0)*Quesería!$F$62:$F$77*(1+Quesería!$I$62:$I$77)))*$B$606+(SUMPRODUCT((Quesería!$C$62:$C$77=1)*(Quesería!$J$62:$J$77&gt;0)*(H$43&gt;=2)*(H$43&lt;=Quesería!$J$62:$J$77+1)*(Quesería!$H$62:$H$77&gt;0)*Quesería!$F$62:$F$77*(1+Quesería!$I$62:$I$77)/(Quesería!$J$62:$J$77+(Quesería!$J$62:$J$77=0)))+SUMPRODUCT((Quesería!$C$62:$C$77=1)*(Quesería!$J$62:$J$77=0)*(H$43=1)*(Quesería!$H$62:$H$77&gt;0)*Quesería!$F$62:$F$77*(1+Quesería!$I$62:$I$77)))*$C$606*$O$21,IF(AND(H$43&gt;=1,H$43&lt;=Quesería!$B$11),Quesería!$F$80/Quesería!$B$11,0)*$B$606+IF(AND(H$43&gt;=2,H$43&lt;=Quesería!$B$11+1),Quesería!$F$81/Quesería!$B$11,0)*$C$606*$O$21)*$O$11+IF(AND(H$43&gt;=6,H$43&lt;=10),$G610*$G606/5,0)+IF(AND(H$43&gt;=7,H$43&lt;=11),$H610*$H606/5,0))*H608</f>
        <v>92.6731239063542</v>
      </c>
      <c r="I618" s="35" t="n">
        <f aca="false">(IF($O$19=1,(SUMPRODUCT((Quesería!$C$62:$C$77=0)*(Quesería!$J$62:$J$77&gt;0)*(I$43&gt;=1)*(I$43&lt;=Quesería!$J$62:$J$77)*(Quesería!$H$62:$H$77&gt;0)*Quesería!$F$62:$F$77*(1+Quesería!$I$62:$I$77)/(Quesería!$J$62:$J$77+(Quesería!$J$62:$J$77=0)))+SUMPRODUCT((Quesería!$C$62:$C$77=0)*(Quesería!$J$62:$J$77=0)*(I$43=0)*(Quesería!$H$62:$H$77&gt;0)*Quesería!$F$62:$F$77*(1+Quesería!$I$62:$I$77)))*$B$606+(SUMPRODUCT((Quesería!$C$62:$C$77=1)*(Quesería!$J$62:$J$77&gt;0)*(I$43&gt;=2)*(I$43&lt;=Quesería!$J$62:$J$77+1)*(Quesería!$H$62:$H$77&gt;0)*Quesería!$F$62:$F$77*(1+Quesería!$I$62:$I$77)/(Quesería!$J$62:$J$77+(Quesería!$J$62:$J$77=0)))+SUMPRODUCT((Quesería!$C$62:$C$77=1)*(Quesería!$J$62:$J$77=0)*(I$43=1)*(Quesería!$H$62:$H$77&gt;0)*Quesería!$F$62:$F$77*(1+Quesería!$I$62:$I$77)))*$C$606*$O$21,IF(AND(I$43&gt;=1,I$43&lt;=Quesería!$B$11),Quesería!$F$80/Quesería!$B$11,0)*$B$606+IF(AND(I$43&gt;=2,I$43&lt;=Quesería!$B$11+1),Quesería!$F$81/Quesería!$B$11,0)*$C$606*$O$21)*$O$11+IF(AND(I$43&gt;=6,I$43&lt;=10),$G610*$G606/5,0)+IF(AND(I$43&gt;=7,I$43&lt;=11),$H610*$H606/5,0))*I608</f>
        <v>95.8981101131611</v>
      </c>
      <c r="J618" s="35" t="n">
        <f aca="false">(IF($O$19=1,(SUMPRODUCT((Quesería!$C$62:$C$77=0)*(Quesería!$J$62:$J$77&gt;0)*(J$43&gt;=1)*(J$43&lt;=Quesería!$J$62:$J$77)*(Quesería!$H$62:$H$77&gt;0)*Quesería!$F$62:$F$77*(1+Quesería!$I$62:$I$77)/(Quesería!$J$62:$J$77+(Quesería!$J$62:$J$77=0)))+SUMPRODUCT((Quesería!$C$62:$C$77=0)*(Quesería!$J$62:$J$77=0)*(J$43=0)*(Quesería!$H$62:$H$77&gt;0)*Quesería!$F$62:$F$77*(1+Quesería!$I$62:$I$77)))*$B$606+(SUMPRODUCT((Quesería!$C$62:$C$77=1)*(Quesería!$J$62:$J$77&gt;0)*(J$43&gt;=2)*(J$43&lt;=Quesería!$J$62:$J$77+1)*(Quesería!$H$62:$H$77&gt;0)*Quesería!$F$62:$F$77*(1+Quesería!$I$62:$I$77)/(Quesería!$J$62:$J$77+(Quesería!$J$62:$J$77=0)))+SUMPRODUCT((Quesería!$C$62:$C$77=1)*(Quesería!$J$62:$J$77=0)*(J$43=1)*(Quesería!$H$62:$H$77&gt;0)*Quesería!$F$62:$F$77*(1+Quesería!$I$62:$I$77)))*$C$606*$O$21,IF(AND(J$43&gt;=1,J$43&lt;=Quesería!$B$11),Quesería!$F$80/Quesería!$B$11,0)*$B$606+IF(AND(J$43&gt;=2,J$43&lt;=Quesería!$B$11+1),Quesería!$F$81/Quesería!$B$11,0)*$C$606*$O$21)*$O$11+IF(AND(J$43&gt;=6,J$43&lt;=10),$G610*$G606/5,0)+IF(AND(J$43&gt;=7,J$43&lt;=11),$H610*$H606/5,0))*J608</f>
        <v>92.2097212626549</v>
      </c>
      <c r="K618" s="35" t="n">
        <f aca="false">(IF($O$19=1,(SUMPRODUCT((Quesería!$C$62:$C$77=0)*(Quesería!$J$62:$J$77&gt;0)*(K$43&gt;=1)*(K$43&lt;=Quesería!$J$62:$J$77)*(Quesería!$H$62:$H$77&gt;0)*Quesería!$F$62:$F$77*(1+Quesería!$I$62:$I$77)/(Quesería!$J$62:$J$77+(Quesería!$J$62:$J$77=0)))+SUMPRODUCT((Quesería!$C$62:$C$77=0)*(Quesería!$J$62:$J$77=0)*(K$43=0)*(Quesería!$H$62:$H$77&gt;0)*Quesería!$F$62:$F$77*(1+Quesería!$I$62:$I$77)))*$B$606+(SUMPRODUCT((Quesería!$C$62:$C$77=1)*(Quesería!$J$62:$J$77&gt;0)*(K$43&gt;=2)*(K$43&lt;=Quesería!$J$62:$J$77+1)*(Quesería!$H$62:$H$77&gt;0)*Quesería!$F$62:$F$77*(1+Quesería!$I$62:$I$77)/(Quesería!$J$62:$J$77+(Quesería!$J$62:$J$77=0)))+SUMPRODUCT((Quesería!$C$62:$C$77=1)*(Quesería!$J$62:$J$77=0)*(K$43=1)*(Quesería!$H$62:$H$77&gt;0)*Quesería!$F$62:$F$77*(1+Quesería!$I$62:$I$77)))*$C$606*$O$21,IF(AND(K$43&gt;=1,K$43&lt;=Quesería!$B$11),Quesería!$F$80/Quesería!$B$11,0)*$B$606+IF(AND(K$43&gt;=2,K$43&lt;=Quesería!$B$11+1),Quesería!$F$81/Quesería!$B$11,0)*$C$606*$O$21)*$O$11+IF(AND(K$43&gt;=6,K$43&lt;=10),$G610*$G606/5,0)+IF(AND(K$43&gt;=7,K$43&lt;=11),$H610*$H606/5,0))*K608</f>
        <v>88.6631935217835</v>
      </c>
      <c r="L618" s="35" t="n">
        <f aca="false">(IF($O$19=1,(SUMPRODUCT((Quesería!$C$62:$C$77=0)*(Quesería!$J$62:$J$77&gt;0)*(L$43&gt;=1)*(L$43&lt;=Quesería!$J$62:$J$77)*(Quesería!$H$62:$H$77&gt;0)*Quesería!$F$62:$F$77*(1+Quesería!$I$62:$I$77)/(Quesería!$J$62:$J$77+(Quesería!$J$62:$J$77=0)))+SUMPRODUCT((Quesería!$C$62:$C$77=0)*(Quesería!$J$62:$J$77=0)*(L$43=0)*(Quesería!$H$62:$H$77&gt;0)*Quesería!$F$62:$F$77*(1+Quesería!$I$62:$I$77)))*$B$606+(SUMPRODUCT((Quesería!$C$62:$C$77=1)*(Quesería!$J$62:$J$77&gt;0)*(L$43&gt;=2)*(L$43&lt;=Quesería!$J$62:$J$77+1)*(Quesería!$H$62:$H$77&gt;0)*Quesería!$F$62:$F$77*(1+Quesería!$I$62:$I$77)/(Quesería!$J$62:$J$77+(Quesería!$J$62:$J$77=0)))+SUMPRODUCT((Quesería!$C$62:$C$77=1)*(Quesería!$J$62:$J$77=0)*(L$43=1)*(Quesería!$H$62:$H$77&gt;0)*Quesería!$F$62:$F$77*(1+Quesería!$I$62:$I$77)))*$C$606*$O$21,IF(AND(L$43&gt;=1,L$43&lt;=Quesería!$B$11),Quesería!$F$80/Quesería!$B$11,0)*$B$606+IF(AND(L$43&gt;=2,L$43&lt;=Quesería!$B$11+1),Quesería!$F$81/Quesería!$B$11,0)*$C$606*$O$21)*$O$11+IF(AND(L$43&gt;=6,L$43&lt;=10),$G610*$G606/5,0)+IF(AND(L$43&gt;=7,L$43&lt;=11),$H610*$H606/5,0))*L608</f>
        <v>85.2530706940226</v>
      </c>
    </row>
    <row r="619" customFormat="false" ht="15" hidden="false" customHeight="false" outlineLevel="0" collapsed="false">
      <c r="A619" s="9" t="s">
        <v>292</v>
      </c>
      <c r="B619" s="36" t="n">
        <f aca="false">IF(B$43=1,MIN($O$7*Quesería!$B$35*Quesería!$F$75*$O$11*$O$21,Quesería!$B$50*Quesería!$B$51),0)</f>
        <v>0</v>
      </c>
      <c r="C619" s="36" t="n">
        <f aca="false">IF(C$43=1,MIN($O$7*Quesería!$B$35*Quesería!$F$75*$O$11*$O$21,Quesería!$B$50*Quesería!$B$51),0)</f>
        <v>20</v>
      </c>
      <c r="D619" s="36" t="n">
        <f aca="false">IF(D$43=1,MIN($O$7*Quesería!$B$35*Quesería!$F$75*$O$11*$O$21,Quesería!$B$50*Quesería!$B$51),0)</f>
        <v>0</v>
      </c>
      <c r="E619" s="36" t="n">
        <f aca="false">IF(E$43=1,MIN($O$7*Quesería!$B$35*Quesería!$F$75*$O$11*$O$21,Quesería!$B$50*Quesería!$B$51),0)</f>
        <v>0</v>
      </c>
      <c r="F619" s="36" t="n">
        <f aca="false">IF(F$43=1,MIN($O$7*Quesería!$B$35*Quesería!$F$75*$O$11*$O$21,Quesería!$B$50*Quesería!$B$51),0)</f>
        <v>0</v>
      </c>
      <c r="G619" s="36" t="n">
        <f aca="false">IF(G$43=1,MIN($O$7*Quesería!$B$35*Quesería!$F$75*$O$11*$O$21,Quesería!$B$50*Quesería!$B$51),0)</f>
        <v>0</v>
      </c>
      <c r="H619" s="36" t="n">
        <f aca="false">IF(H$43=1,MIN($O$7*Quesería!$B$35*Quesería!$F$75*$O$11*$O$21,Quesería!$B$50*Quesería!$B$51),0)</f>
        <v>0</v>
      </c>
      <c r="I619" s="36" t="n">
        <f aca="false">IF(I$43=1,MIN($O$7*Quesería!$B$35*Quesería!$F$75*$O$11*$O$21,Quesería!$B$50*Quesería!$B$51),0)</f>
        <v>0</v>
      </c>
      <c r="J619" s="36" t="n">
        <f aca="false">IF(J$43=1,MIN($O$7*Quesería!$B$35*Quesería!$F$75*$O$11*$O$21,Quesería!$B$50*Quesería!$B$51),0)</f>
        <v>0</v>
      </c>
      <c r="K619" s="36" t="n">
        <f aca="false">IF(K$43=1,MIN($O$7*Quesería!$B$35*Quesería!$F$75*$O$11*$O$21,Quesería!$B$50*Quesería!$B$51),0)</f>
        <v>0</v>
      </c>
      <c r="L619" s="36" t="n">
        <f aca="false">IF(L$43=1,MIN($O$7*Quesería!$B$35*Quesería!$F$75*$O$11*$O$21,Quesería!$B$50*Quesería!$B$51),0)</f>
        <v>0</v>
      </c>
    </row>
    <row r="620" customFormat="false" ht="15" hidden="false" customHeight="false" outlineLevel="0" collapsed="false">
      <c r="A620" s="9" t="s">
        <v>293</v>
      </c>
      <c r="B620" s="36" t="n">
        <v>0</v>
      </c>
      <c r="C620" s="36" t="n">
        <f aca="false">$O$20*Quesería!$B$52*Quesería!$F$86*$O$11*$B$606/C606</f>
        <v>166.879881289715</v>
      </c>
      <c r="D620" s="36" t="n">
        <v>0</v>
      </c>
      <c r="E620" s="36" t="n">
        <v>0</v>
      </c>
      <c r="F620" s="36" t="n">
        <v>0</v>
      </c>
      <c r="G620" s="36" t="n">
        <v>0</v>
      </c>
      <c r="H620" s="36" t="n">
        <v>0</v>
      </c>
      <c r="I620" s="36" t="n">
        <v>0</v>
      </c>
      <c r="J620" s="36" t="n">
        <v>0</v>
      </c>
      <c r="K620" s="36" t="n">
        <v>0</v>
      </c>
      <c r="L620" s="36" t="n">
        <v>0</v>
      </c>
    </row>
    <row r="621" customFormat="false" ht="15" hidden="false" customHeight="false" outlineLevel="0" collapsed="false">
      <c r="A621" s="9" t="s">
        <v>294</v>
      </c>
      <c r="B621" s="36" t="n">
        <f aca="false">0</f>
        <v>0</v>
      </c>
      <c r="C621" s="36" t="n">
        <f aca="false">B611*B606/C606</f>
        <v>94.6170242743742</v>
      </c>
      <c r="D621" s="36" t="n">
        <f aca="false">C611*C606/D606</f>
        <v>117.321834287022</v>
      </c>
      <c r="E621" s="36" t="n">
        <f aca="false">D611*D606/E606</f>
        <v>0</v>
      </c>
      <c r="F621" s="36" t="n">
        <f aca="false">E611*E606/F606</f>
        <v>0</v>
      </c>
      <c r="G621" s="36" t="n">
        <f aca="false">F611*F606/G606</f>
        <v>0</v>
      </c>
      <c r="H621" s="36" t="n">
        <f aca="false">G611*G606/H606</f>
        <v>4.87179487179487</v>
      </c>
      <c r="I621" s="36" t="n">
        <f aca="false">H611*H606/I606</f>
        <v>6.44987026996795</v>
      </c>
      <c r="J621" s="36" t="n">
        <f aca="false">I611*I606/J606</f>
        <v>0</v>
      </c>
      <c r="K621" s="36" t="n">
        <f aca="false">J611*J606/K606</f>
        <v>0</v>
      </c>
      <c r="L621" s="36" t="n">
        <f aca="false">K611*K606/L606</f>
        <v>0</v>
      </c>
    </row>
    <row r="622" customFormat="false" ht="15" hidden="false" customHeight="false" outlineLevel="0" collapsed="false">
      <c r="A622" s="6" t="s">
        <v>86</v>
      </c>
      <c r="B622" s="35" t="n">
        <f aca="false">$O$17*(B614-B615-B616-0.5*B617-B618)-B619-B620-B621</f>
        <v>-19.3080576189439</v>
      </c>
      <c r="C622" s="35" t="n">
        <f aca="false">$O$17*(C614-C615-C616-0.5*C617-C618)-C619-C620-C621</f>
        <v>-273.397569421493</v>
      </c>
      <c r="D622" s="35" t="n">
        <f aca="false">$O$17*(D614-D615-D616-0.5*D617-D618)-D619-D620-D621</f>
        <v>-56.4088744368662</v>
      </c>
      <c r="E622" s="35" t="n">
        <f aca="false">$O$17*(E614-E615-E616-0.5*E617-E618)-E619-E620-E621</f>
        <v>75.3133778247894</v>
      </c>
      <c r="F622" s="35" t="n">
        <f aca="false">$O$17*(F614-F615-F616-0.5*F617-F618)-F619-F620-F621</f>
        <v>76.9911794627928</v>
      </c>
      <c r="G622" s="35" t="n">
        <f aca="false">$O$17*(G614-G615-G616-0.5*G617-G618)-G619-G620-G621</f>
        <v>78.5896810584936</v>
      </c>
      <c r="H622" s="35" t="n">
        <f aca="false">$O$17*(H614-H615-H616-0.5*H617-H618)-H619-H620-H621</f>
        <v>77.6625405929236</v>
      </c>
      <c r="I622" s="35" t="n">
        <f aca="false">$O$17*(I614-I615-I616-0.5*I617-I618)-I619-I620-I621</f>
        <v>75.1589915054258</v>
      </c>
      <c r="J622" s="35" t="n">
        <f aca="false">$O$17*(J614-J615-J616-0.5*J617-J618)-J619-J620-J621</f>
        <v>83.0745299773842</v>
      </c>
      <c r="K622" s="35" t="n">
        <f aca="false">$O$17*(K614-K615-K616-0.5*K617-K618)-K619-K620-K621</f>
        <v>84.4914204515241</v>
      </c>
      <c r="L622" s="35" t="n">
        <f aca="false">$O$17*(L614-L615-L616-0.5*L617-L618)-L619-L620-L621</f>
        <v>85.8614472348994</v>
      </c>
    </row>
    <row r="623" customFormat="false" ht="15" hidden="false" customHeight="false" outlineLevel="0" collapsed="false">
      <c r="A623" s="9" t="s">
        <v>295</v>
      </c>
      <c r="B623" s="36" t="n">
        <f aca="false">(IF(B$43&gt;=1,Quesería!$G$107*IF(B$43=1,Quesería!$B$12,1),Quesería!$G$107*Quesería!$B$12*Quesería!$B$13/12*$O$23)+IF(B$43&gt;=2,Quesería!$G$108*$O$21*IF(B$43=2,Quesería!$B$12,1),0))*$O$10</f>
        <v>26.8516916045565</v>
      </c>
      <c r="C623" s="36" t="n">
        <f aca="false">(IF(C$43&gt;=1,Quesería!$G$107*IF(C$43=1,Quesería!$B$12,1),Quesería!$G$107*Quesería!$B$12*Quesería!$B$13/12*$O$23)+IF(C$43&gt;=2,Quesería!$G$108*$O$21*IF(C$43=2,Quesería!$B$12,1),0))*$O$10</f>
        <v>80.5550748136695</v>
      </c>
      <c r="D623" s="36" t="n">
        <f aca="false">(IF(D$43&gt;=1,Quesería!$G$107*IF(D$43=1,Quesería!$B$12,1),Quesería!$G$107*Quesería!$B$12*Quesería!$B$13/12*$O$23)+IF(D$43&gt;=2,Quesería!$G$108*$O$21*IF(D$43=2,Quesería!$B$12,1),0))*$O$10</f>
        <v>189.651223070959</v>
      </c>
      <c r="E623" s="36" t="n">
        <f aca="false">(IF(E$43&gt;=1,Quesería!$G$107*IF(E$43=1,Quesería!$B$12,1),Quesería!$G$107*Quesería!$B$12*Quesería!$B$13/12*$O$23)+IF(E$43&gt;=2,Quesería!$G$108*$O$21*IF(E$43=2,Quesería!$B$12,1),0))*$O$10</f>
        <v>217.066041955203</v>
      </c>
      <c r="F623" s="36" t="n">
        <f aca="false">(IF(F$43&gt;=1,Quesería!$G$107*IF(F$43=1,Quesería!$B$12,1),Quesería!$G$107*Quesería!$B$12*Quesería!$B$13/12*$O$23)+IF(F$43&gt;=2,Quesería!$G$108*$O$21*IF(F$43=2,Quesería!$B$12,1),0))*$O$10</f>
        <v>217.066041955203</v>
      </c>
      <c r="G623" s="36" t="n">
        <f aca="false">(IF(G$43&gt;=1,Quesería!$G$107*IF(G$43=1,Quesería!$B$12,1),Quesería!$G$107*Quesería!$B$12*Quesería!$B$13/12*$O$23)+IF(G$43&gt;=2,Quesería!$G$108*$O$21*IF(G$43=2,Quesería!$B$12,1),0))*$O$10</f>
        <v>217.066041955203</v>
      </c>
      <c r="H623" s="36" t="n">
        <f aca="false">(IF(H$43&gt;=1,Quesería!$G$107*IF(H$43=1,Quesería!$B$12,1),Quesería!$G$107*Quesería!$B$12*Quesería!$B$13/12*$O$23)+IF(H$43&gt;=2,Quesería!$G$108*$O$21*IF(H$43=2,Quesería!$B$12,1),0))*$O$10</f>
        <v>217.066041955203</v>
      </c>
      <c r="I623" s="36" t="n">
        <f aca="false">(IF(I$43&gt;=1,Quesería!$G$107*IF(I$43=1,Quesería!$B$12,1),Quesería!$G$107*Quesería!$B$12*Quesería!$B$13/12*$O$23)+IF(I$43&gt;=2,Quesería!$G$108*$O$21*IF(I$43=2,Quesería!$B$12,1),0))*$O$10</f>
        <v>217.066041955203</v>
      </c>
      <c r="J623" s="36" t="n">
        <f aca="false">(IF(J$43&gt;=1,Quesería!$G$107*IF(J$43=1,Quesería!$B$12,1),Quesería!$G$107*Quesería!$B$12*Quesería!$B$13/12*$O$23)+IF(J$43&gt;=2,Quesería!$G$108*$O$21*IF(J$43=2,Quesería!$B$12,1),0))*$O$10</f>
        <v>217.066041955203</v>
      </c>
      <c r="K623" s="36" t="n">
        <f aca="false">(IF(K$43&gt;=1,Quesería!$G$107*IF(K$43=1,Quesería!$B$12,1),Quesería!$G$107*Quesería!$B$12*Quesería!$B$13/12*$O$23)+IF(K$43&gt;=2,Quesería!$G$108*$O$21*IF(K$43=2,Quesería!$B$12,1),0))*$O$10</f>
        <v>217.066041955203</v>
      </c>
      <c r="L623" s="36" t="n">
        <f aca="false">(IF(L$43&gt;=1,Quesería!$G$107*IF(L$43=1,Quesería!$B$12,1),Quesería!$G$107*Quesería!$B$12*Quesería!$B$13/12*$O$23)+IF(L$43&gt;=2,Quesería!$G$108*$O$21*IF(L$43=2,Quesería!$B$12,1),0))*$O$10</f>
        <v>217.066041955203</v>
      </c>
    </row>
    <row r="624" customFormat="false" ht="15" hidden="false" customHeight="false" outlineLevel="0" collapsed="false">
      <c r="A624" s="6" t="s">
        <v>296</v>
      </c>
      <c r="B624" s="35" t="n">
        <f aca="false">(B623*(Quesería!$B$23+Quesería!$B$25*Quesería!$B$24)/365-B615*Quesería!$B$26/365)</f>
        <v>2.50861009237089</v>
      </c>
      <c r="C624" s="35" t="n">
        <f aca="false">(C623*(Quesería!$B$23+Quesería!$B$25*Quesería!$B$24)/365-C615*Quesería!$B$26/365)-(B623*(Quesería!$B$23+Quesería!$B$25*Quesería!$B$24)/365-B615*Quesería!$B$26/365)*B606/C606</f>
        <v>2.91304119724236</v>
      </c>
      <c r="D624" s="35" t="n">
        <f aca="false">(D623*(Quesería!$B$23+Quesería!$B$25*Quesería!$B$24)/365-D615*Quesería!$B$26/365)-(C623*(Quesería!$B$23+Quesería!$B$25*Quesería!$B$24)/365-C615*Quesería!$B$26/365)*C606/D606</f>
        <v>7.29151021833416</v>
      </c>
      <c r="E624" s="35" t="n">
        <f aca="false">(E623*(Quesería!$B$23+Quesería!$B$25*Quesería!$B$24)/365-E615*Quesería!$B$26/365)-(D623*(Quesería!$B$23+Quesería!$B$25*Quesería!$B$24)/365-D615*Quesería!$B$26/365)*D606/E606</f>
        <v>3.03681159467532</v>
      </c>
      <c r="F624" s="35" t="n">
        <f aca="false">(F623*(Quesería!$B$23+Quesería!$B$25*Quesería!$B$24)/365-F615*Quesería!$B$26/365)-(E623*(Quesería!$B$23+Quesería!$B$25*Quesería!$B$24)/365-E615*Quesería!$B$26/365)*E606/F606</f>
        <v>0.574099993113848</v>
      </c>
      <c r="G624" s="35" t="n">
        <f aca="false">(G623*(Quesería!$B$23+Quesería!$B$25*Quesería!$B$24)/365-G615*Quesería!$B$26/365)-(F623*(Quesería!$B$23+Quesería!$B$25*Quesería!$B$24)/365-F615*Quesería!$B$26/365)*F606/G606</f>
        <v>0.574099993113849</v>
      </c>
      <c r="H624" s="35" t="n">
        <f aca="false">(H623*(Quesería!$B$23+Quesería!$B$25*Quesería!$B$24)/365-H615*Quesería!$B$26/365)-(G623*(Quesería!$B$23+Quesería!$B$25*Quesería!$B$24)/365-G615*Quesería!$B$26/365)*G606/H606</f>
        <v>0.574099993113848</v>
      </c>
      <c r="I624" s="35" t="n">
        <f aca="false">(I623*(Quesería!$B$23+Quesería!$B$25*Quesería!$B$24)/365-I615*Quesería!$B$26/365)-(H623*(Quesería!$B$23+Quesería!$B$25*Quesería!$B$24)/365-H615*Quesería!$B$26/365)*H606/I606</f>
        <v>0.574099993113846</v>
      </c>
      <c r="J624" s="35" t="n">
        <f aca="false">(J623*(Quesería!$B$23+Quesería!$B$25*Quesería!$B$24)/365-J615*Quesería!$B$26/365)-(I623*(Quesería!$B$23+Quesería!$B$25*Quesería!$B$24)/365-I615*Quesería!$B$26/365)*I606/J606</f>
        <v>0.574099993113849</v>
      </c>
      <c r="K624" s="35" t="n">
        <f aca="false">(K623*(Quesería!$B$23+Quesería!$B$25*Quesería!$B$24)/365-K615*Quesería!$B$26/365)-(J623*(Quesería!$B$23+Quesería!$B$25*Quesería!$B$24)/365-J615*Quesería!$B$26/365)*J606/K606</f>
        <v>0.574099993113848</v>
      </c>
      <c r="L624" s="35" t="n">
        <f aca="false">-(K623*(Quesería!$B$23+Quesería!$B$25*Quesería!$B$24)/365-K615*Quesería!$B$26/365)*K606/L606</f>
        <v>-14.3524998278462</v>
      </c>
    </row>
    <row r="625" customFormat="false" ht="15" hidden="false" customHeight="false" outlineLevel="0" collapsed="false">
      <c r="A625" s="6" t="s">
        <v>297</v>
      </c>
      <c r="B625" s="35" t="n">
        <v>0</v>
      </c>
      <c r="C625" s="35" t="n">
        <v>0</v>
      </c>
      <c r="D625" s="35" t="n">
        <v>0</v>
      </c>
      <c r="E625" s="35" t="n">
        <v>0</v>
      </c>
      <c r="F625" s="35" t="n">
        <v>0</v>
      </c>
      <c r="G625" s="35" t="n">
        <v>0</v>
      </c>
      <c r="H625" s="35" t="n">
        <v>0</v>
      </c>
      <c r="I625" s="35" t="n">
        <v>0</v>
      </c>
      <c r="J625" s="35" t="n">
        <v>0</v>
      </c>
      <c r="K625" s="35" t="n">
        <v>0</v>
      </c>
      <c r="L625" s="35" t="n">
        <f aca="false">$O$8*Quesería!$B$39*(Quesería!$F$82+Quesería!$F$83*$O$21)*$O$11*(1-$O$17)</f>
        <v>56.0502928201667</v>
      </c>
    </row>
    <row r="626" customFormat="false" ht="15" hidden="false" customHeight="false" outlineLevel="0" collapsed="false">
      <c r="A626" s="5" t="s">
        <v>298</v>
      </c>
      <c r="B626" s="37" t="n">
        <f aca="false">B614-B615-B616-B617-B622-B609-B610-B611-B624+B625</f>
        <v>-662.041045072899</v>
      </c>
      <c r="C626" s="37" t="n">
        <f aca="false">C614-C615-C616-C617-C622-C609-C610-C611-C624+C625</f>
        <v>-418.791944083984</v>
      </c>
      <c r="D626" s="37" t="n">
        <f aca="false">D614-D615-D616-D617-D622-D609-D610-D611-D624+D625</f>
        <v>339.366281734031</v>
      </c>
      <c r="E626" s="37" t="n">
        <f aca="false">E614-E615-E616-E617-E622-E609-E610-E611-E624+E625</f>
        <v>248.566260129787</v>
      </c>
      <c r="F626" s="37" t="n">
        <f aca="false">F614-F615-F616-F617-F622-F609-F610-F611-F624+F625</f>
        <v>249.840543556816</v>
      </c>
      <c r="G626" s="37" t="n">
        <f aca="false">G614-G615-G616-G617-G622-G609-G610-G611-G624+G625</f>
        <v>216.873595625236</v>
      </c>
      <c r="H626" s="37" t="n">
        <f aca="false">H614-H615-H616-H617-H622-H609-H610-H611-H624+H625</f>
        <v>207.974814379932</v>
      </c>
      <c r="I626" s="37" t="n">
        <f aca="false">I614-I615-I616-I617-I622-I609-I610-I611-I624+I625</f>
        <v>253.155582107017</v>
      </c>
      <c r="J626" s="37" t="n">
        <f aca="false">J614-J615-J616-J617-J622-J609-J610-J611-J624+J625</f>
        <v>245.739278218811</v>
      </c>
      <c r="K626" s="37" t="n">
        <f aca="false">K614-K615-K616-K617-K622-K609-K610-K611-K624+K625</f>
        <v>244.824118501342</v>
      </c>
      <c r="L626" s="37" t="n">
        <f aca="false">L614-L615-L616-L617-L622-L609-L610-L611-L624+L625</f>
        <v>314.935223769548</v>
      </c>
    </row>
    <row r="627" customFormat="false" ht="15" hidden="false" customHeight="false" outlineLevel="0" collapsed="false">
      <c r="A627" s="9" t="s">
        <v>299</v>
      </c>
      <c r="B627" s="36" t="n">
        <f aca="false">B626*B606</f>
        <v>-701.763507777273</v>
      </c>
      <c r="C627" s="36" t="n">
        <f aca="false">C626*C606</f>
        <v>-466.115433765474</v>
      </c>
      <c r="D627" s="36" t="n">
        <f aca="false">D626*D606</f>
        <v>394.711831790626</v>
      </c>
      <c r="E627" s="36" t="n">
        <f aca="false">E626*E606</f>
        <v>300.667836209575</v>
      </c>
      <c r="F627" s="36" t="n">
        <f aca="false">F626*F606</f>
        <v>314.297588952766</v>
      </c>
      <c r="G627" s="36" t="n">
        <f aca="false">G626*G606</f>
        <v>283.738424243819</v>
      </c>
      <c r="H627" s="36" t="n">
        <f aca="false">H626*H606</f>
        <v>282.979879510993</v>
      </c>
      <c r="I627" s="36" t="n">
        <f aca="false">I626*I606</f>
        <v>358.233057157401</v>
      </c>
      <c r="J627" s="36" t="n">
        <f aca="false">J626*J606</f>
        <v>361.648001019683</v>
      </c>
      <c r="K627" s="36" t="n">
        <f aca="false">K626*K606</f>
        <v>374.713232036604</v>
      </c>
      <c r="L627" s="36" t="n">
        <f aca="false">L626*L606</f>
        <v>501.301963856229</v>
      </c>
    </row>
    <row r="628" customFormat="false" ht="15" hidden="false" customHeight="false" outlineLevel="0" collapsed="false">
      <c r="A628" s="6" t="s">
        <v>300</v>
      </c>
      <c r="B628" s="35" t="n">
        <f aca="false">B626</f>
        <v>-662.041045072899</v>
      </c>
      <c r="C628" s="35" t="n">
        <f aca="false">B628+C626</f>
        <v>-1080.83298915688</v>
      </c>
      <c r="D628" s="35" t="n">
        <f aca="false">C628+D626</f>
        <v>-741.466707422851</v>
      </c>
      <c r="E628" s="35" t="n">
        <f aca="false">D628+E626</f>
        <v>-492.900447293065</v>
      </c>
      <c r="F628" s="35" t="n">
        <f aca="false">E628+F626</f>
        <v>-243.059903736249</v>
      </c>
      <c r="G628" s="35" t="n">
        <f aca="false">F628+G626</f>
        <v>-26.1863081110124</v>
      </c>
      <c r="H628" s="35" t="n">
        <f aca="false">G628+H626</f>
        <v>181.78850626892</v>
      </c>
      <c r="I628" s="35" t="n">
        <f aca="false">H628+I626</f>
        <v>434.944088375937</v>
      </c>
      <c r="J628" s="35" t="n">
        <f aca="false">I628+J626</f>
        <v>680.683366594748</v>
      </c>
      <c r="K628" s="35" t="n">
        <f aca="false">J628+K626</f>
        <v>925.50748509609</v>
      </c>
      <c r="L628" s="35" t="n">
        <f aca="false">K628+L626</f>
        <v>1240.44270886564</v>
      </c>
    </row>
    <row r="629" customFormat="false" ht="15" hidden="false" customHeight="false" outlineLevel="0" collapsed="false">
      <c r="A629" s="9" t="s">
        <v>301</v>
      </c>
      <c r="B629" s="38" t="n">
        <v>0</v>
      </c>
      <c r="C629" s="38" t="n">
        <f aca="false">IF(AND(B628&lt;0,C628&gt;=0),B$43+(-B628)/C626,0)</f>
        <v>0</v>
      </c>
      <c r="D629" s="38" t="n">
        <f aca="false">IF(AND(C628&lt;0,D628&gt;=0),C$43+(-C628)/D626,0)</f>
        <v>0</v>
      </c>
      <c r="E629" s="38" t="n">
        <f aca="false">IF(AND(D628&lt;0,E628&gt;=0),D$43+(-D628)/E626,0)</f>
        <v>0</v>
      </c>
      <c r="F629" s="38" t="n">
        <f aca="false">IF(AND(E628&lt;0,F628&gt;=0),E$43+(-E628)/F626,0)</f>
        <v>0</v>
      </c>
      <c r="G629" s="38" t="n">
        <f aca="false">IF(AND(F628&lt;0,G628&gt;=0),F$43+(-F628)/G626,0)</f>
        <v>0</v>
      </c>
      <c r="H629" s="38" t="n">
        <f aca="false">IF(AND(G628&lt;0,H628&gt;=0),G$43+(-G628)/H626,0)</f>
        <v>5.12591095796424</v>
      </c>
      <c r="I629" s="38" t="n">
        <f aca="false">IF(AND(H628&lt;0,I628&gt;=0),H$43+(-H628)/I626,0)</f>
        <v>0</v>
      </c>
      <c r="J629" s="38" t="n">
        <f aca="false">IF(AND(I628&lt;0,J628&gt;=0),I$43+(-I628)/J626,0)</f>
        <v>0</v>
      </c>
      <c r="K629" s="38" t="n">
        <f aca="false">IF(AND(J628&lt;0,K628&gt;=0),J$43+(-J628)/K626,0)</f>
        <v>0</v>
      </c>
      <c r="L629" s="38" t="n">
        <f aca="false">IF(AND(K628&lt;0,L628&gt;=0),K$43+(-K628)/L626,0)</f>
        <v>0</v>
      </c>
    </row>
    <row r="630" customFormat="false" ht="15" hidden="false" customHeight="false" outlineLevel="0" collapsed="false">
      <c r="A630" s="9" t="s">
        <v>302</v>
      </c>
      <c r="B630" s="34" t="n">
        <f aca="false">(B606/$B$606)/(1+$O$25)^B$43</f>
        <v>1</v>
      </c>
      <c r="C630" s="34" t="n">
        <f aca="false">(C606/$B$606)/(1+$O$25)^C$43</f>
        <v>0.921735848062819</v>
      </c>
      <c r="D630" s="34" t="n">
        <f aca="false">(D606/$B$606)/(1+$O$25)^D$43</f>
        <v>0.845551273729778</v>
      </c>
      <c r="E630" s="34" t="n">
        <f aca="false">(E606/$B$606)/(1+$O$25)^E$43</f>
        <v>0.771952302082657</v>
      </c>
      <c r="F630" s="34" t="n">
        <f aca="false">(F606/$B$606)/(1+$O$25)^F$43</f>
        <v>0.704759575444925</v>
      </c>
      <c r="G630" s="34" t="n">
        <f aca="false">(G606/$B$606)/(1+$O$25)^G$43</f>
        <v>0.643415477667852</v>
      </c>
      <c r="H630" s="34" t="n">
        <f aca="false">(H606/$B$606)/(1+$O$25)^H$43</f>
        <v>0.587410928955732</v>
      </c>
      <c r="I630" s="34" t="n">
        <f aca="false">(I606/$B$606)/(1+$O$25)^I$43</f>
        <v>0.536281161136071</v>
      </c>
      <c r="J630" s="34" t="n">
        <f aca="false">(J606/$B$606)/(1+$O$25)^J$43</f>
        <v>0.489601860661204</v>
      </c>
      <c r="K630" s="34" t="n">
        <f aca="false">(K606/$B$606)/(1+$O$25)^K$43</f>
        <v>0.446985647333025</v>
      </c>
      <c r="L630" s="34" t="n">
        <f aca="false">(L606/$B$606)/(1+$O$25)^L$43</f>
        <v>0.408078859528639</v>
      </c>
    </row>
    <row r="631" customFormat="false" ht="15" hidden="false" customHeight="false" outlineLevel="0" collapsed="false">
      <c r="A631" s="9" t="s">
        <v>303</v>
      </c>
      <c r="B631" s="36" t="n">
        <f aca="false">B626*B630</f>
        <v>-662.041045072899</v>
      </c>
      <c r="C631" s="36" t="n">
        <f aca="false">C626*C630</f>
        <v>-386.015547742127</v>
      </c>
      <c r="D631" s="36" t="n">
        <f aca="false">D626*D630</f>
        <v>286.951591781149</v>
      </c>
      <c r="E631" s="36" t="n">
        <f aca="false">E626*E630</f>
        <v>191.881296727266</v>
      </c>
      <c r="F631" s="36" t="n">
        <f aca="false">F626*F630</f>
        <v>176.077515406031</v>
      </c>
      <c r="G631" s="36" t="n">
        <f aca="false">G626*G630</f>
        <v>139.539828122756</v>
      </c>
      <c r="H631" s="36" t="n">
        <f aca="false">H626*H630</f>
        <v>122.166678914312</v>
      </c>
      <c r="I631" s="36" t="n">
        <f aca="false">I626*I630</f>
        <v>135.762569520429</v>
      </c>
      <c r="J631" s="36" t="n">
        <f aca="false">J626*J630</f>
        <v>120.314407853471</v>
      </c>
      <c r="K631" s="36" t="n">
        <f aca="false">K626*K630</f>
        <v>109.43286709106</v>
      </c>
      <c r="L631" s="36" t="n">
        <f aca="false">L626*L630</f>
        <v>128.518406941274</v>
      </c>
    </row>
    <row r="632" customFormat="false" ht="15" hidden="false" customHeight="false" outlineLevel="0" collapsed="false">
      <c r="A632" s="9" t="s">
        <v>304</v>
      </c>
      <c r="B632" s="36" t="n">
        <f aca="false">B631</f>
        <v>-662.041045072899</v>
      </c>
      <c r="C632" s="36" t="n">
        <f aca="false">B632+C631</f>
        <v>-1048.05659281503</v>
      </c>
      <c r="D632" s="36" t="n">
        <f aca="false">C632+D631</f>
        <v>-761.105001033877</v>
      </c>
      <c r="E632" s="36" t="n">
        <f aca="false">D632+E631</f>
        <v>-569.223704306612</v>
      </c>
      <c r="F632" s="36" t="n">
        <f aca="false">E632+F631</f>
        <v>-393.146188900581</v>
      </c>
      <c r="G632" s="36" t="n">
        <f aca="false">F632+G631</f>
        <v>-253.606360777825</v>
      </c>
      <c r="H632" s="36" t="n">
        <f aca="false">G632+H631</f>
        <v>-131.439681863513</v>
      </c>
      <c r="I632" s="36" t="n">
        <f aca="false">H632+I631</f>
        <v>4.32288765691607</v>
      </c>
      <c r="J632" s="36" t="n">
        <f aca="false">I632+J631</f>
        <v>124.637295510387</v>
      </c>
      <c r="K632" s="36" t="n">
        <f aca="false">J632+K631</f>
        <v>234.070162601447</v>
      </c>
      <c r="L632" s="36" t="n">
        <f aca="false">K632+L631</f>
        <v>362.588569542721</v>
      </c>
    </row>
    <row r="633" customFormat="false" ht="15" hidden="false" customHeight="false" outlineLevel="0" collapsed="false">
      <c r="A633" s="9" t="s">
        <v>305</v>
      </c>
      <c r="B633" s="38" t="n">
        <v>0</v>
      </c>
      <c r="C633" s="38" t="n">
        <f aca="false">IF(AND(B632&lt;0,C632&gt;=0),B$43+(-B632)/C631,0)</f>
        <v>0</v>
      </c>
      <c r="D633" s="38" t="n">
        <f aca="false">IF(AND(C632&lt;0,D632&gt;=0),C$43+(-C632)/D631,0)</f>
        <v>0</v>
      </c>
      <c r="E633" s="38" t="n">
        <f aca="false">IF(AND(D632&lt;0,E632&gt;=0),D$43+(-D632)/E631,0)</f>
        <v>0</v>
      </c>
      <c r="F633" s="38" t="n">
        <f aca="false">IF(AND(E632&lt;0,F632&gt;=0),E$43+(-E632)/F631,0)</f>
        <v>0</v>
      </c>
      <c r="G633" s="38" t="n">
        <f aca="false">IF(AND(F632&lt;0,G632&gt;=0),F$43+(-F632)/G631,0)</f>
        <v>0</v>
      </c>
      <c r="H633" s="38" t="n">
        <f aca="false">IF(AND(G632&lt;0,H632&gt;=0),G$43+(-G632)/H631,0)</f>
        <v>0</v>
      </c>
      <c r="I633" s="38" t="n">
        <f aca="false">IF(AND(H632&lt;0,I632&gt;=0),H$43+(-H632)/I631,0)</f>
        <v>6.96815847201341</v>
      </c>
      <c r="J633" s="38" t="n">
        <f aca="false">IF(AND(I632&lt;0,J632&gt;=0),I$43+(-I632)/J631,0)</f>
        <v>0</v>
      </c>
      <c r="K633" s="38" t="n">
        <f aca="false">IF(AND(J632&lt;0,K632&gt;=0),J$43+(-J632)/K631,0)</f>
        <v>0</v>
      </c>
      <c r="L633" s="38" t="n">
        <f aca="false">IF(AND(K632&lt;0,L632&gt;=0),K$43+(-K632)/L631,0)</f>
        <v>0</v>
      </c>
    </row>
    <row r="634" customFormat="false" ht="15" hidden="false" customHeight="false" outlineLevel="0" collapsed="false">
      <c r="A634" s="9" t="s">
        <v>306</v>
      </c>
      <c r="B634" s="36" t="n">
        <f aca="false">IF(B$43&lt;0,0,(Quesería!$B$40*$B$609*$B$606)*(1-MAX(0,MIN(B$43-0-Quesería!$B$43,(Quesería!$B$42-Quesería!$B$43)))/(Quesería!$B$42-Quesería!$B$43)))+IF(B$43&lt;1,0,(Quesería!$B$40*$C$609*$C$606)*(1-MAX(0,MIN(B$43-1-Quesería!$B$43,(Quesería!$B$42-Quesería!$B$43)))/(Quesería!$B$42-Quesería!$B$43)))</f>
        <v>461.704769247221</v>
      </c>
      <c r="C634" s="36" t="n">
        <f aca="false">IF(C$43&lt;0,0,(Quesería!$B$40*$B$609*$B$606)*(1-MAX(0,MIN(C$43-0-Quesería!$B$43,(Quesería!$B$42-Quesería!$B$43)))/(Quesería!$B$42-Quesería!$B$43)))+IF(C$43&lt;1,0,(Quesería!$B$40*$C$609*$C$606)*(1-MAX(0,MIN(C$43-1-Quesería!$B$43,(Quesería!$B$42-Quesería!$B$43)))/(Quesería!$B$42-Quesería!$B$43)))</f>
        <v>964.434695258825</v>
      </c>
      <c r="D634" s="36" t="n">
        <f aca="false">IF(D$43&lt;0,0,(Quesería!$B$40*$B$609*$B$606)*(1-MAX(0,MIN(D$43-0-Quesería!$B$43,(Quesería!$B$42-Quesería!$B$43)))/(Quesería!$B$42-Quesería!$B$43)))+IF(D$43&lt;1,0,(Quesería!$B$40*$C$609*$C$606)*(1-MAX(0,MIN(D$43-1-Quesería!$B$43,(Quesería!$B$42-Quesería!$B$43)))/(Quesería!$B$42-Quesería!$B$43)))</f>
        <v>887.483900384289</v>
      </c>
      <c r="E634" s="36" t="n">
        <f aca="false">IF(E$43&lt;0,0,(Quesería!$B$40*$B$609*$B$606)*(1-MAX(0,MIN(E$43-0-Quesería!$B$43,(Quesería!$B$42-Quesería!$B$43)))/(Quesería!$B$42-Quesería!$B$43)))+IF(E$43&lt;1,0,(Quesería!$B$40*$C$609*$C$606)*(1-MAX(0,MIN(E$43-1-Quesería!$B$43,(Quesería!$B$42-Quesería!$B$43)))/(Quesería!$B$42-Quesería!$B$43)))</f>
        <v>726.744784507818</v>
      </c>
      <c r="F634" s="36" t="n">
        <f aca="false">IF(F$43&lt;0,0,(Quesería!$B$40*$B$609*$B$606)*(1-MAX(0,MIN(F$43-0-Quesería!$B$43,(Quesería!$B$42-Quesería!$B$43)))/(Quesería!$B$42-Quesería!$B$43)))+IF(F$43&lt;1,0,(Quesería!$B$40*$C$609*$C$606)*(1-MAX(0,MIN(F$43-1-Quesería!$B$43,(Quesería!$B$42-Quesería!$B$43)))/(Quesería!$B$42-Quesería!$B$43)))</f>
        <v>566.005668631347</v>
      </c>
      <c r="G634" s="36" t="n">
        <f aca="false">IF(G$43&lt;0,0,(Quesería!$B$40*$B$609*$B$606)*(1-MAX(0,MIN(G$43-0-Quesería!$B$43,(Quesería!$B$42-Quesería!$B$43)))/(Quesería!$B$42-Quesería!$B$43)))+IF(G$43&lt;1,0,(Quesería!$B$40*$C$609*$C$606)*(1-MAX(0,MIN(G$43-1-Quesería!$B$43,(Quesería!$B$42-Quesería!$B$43)))/(Quesería!$B$42-Quesería!$B$43)))</f>
        <v>405.266552754876</v>
      </c>
      <c r="H634" s="36" t="n">
        <f aca="false">IF(H$43&lt;0,0,(Quesería!$B$40*$B$609*$B$606)*(1-MAX(0,MIN(H$43-0-Quesería!$B$43,(Quesería!$B$42-Quesería!$B$43)))/(Quesería!$B$42-Quesería!$B$43)))+IF(H$43&lt;1,0,(Quesería!$B$40*$C$609*$C$606)*(1-MAX(0,MIN(H$43-1-Quesería!$B$43,(Quesería!$B$42-Quesería!$B$43)))/(Quesería!$B$42-Quesería!$B$43)))</f>
        <v>244.527436878405</v>
      </c>
      <c r="I634" s="36" t="n">
        <f aca="false">IF(I$43&lt;0,0,(Quesería!$B$40*$B$609*$B$606)*(1-MAX(0,MIN(I$43-0-Quesería!$B$43,(Quesería!$B$42-Quesería!$B$43)))/(Quesería!$B$42-Quesería!$B$43)))+IF(I$43&lt;1,0,(Quesería!$B$40*$C$609*$C$606)*(1-MAX(0,MIN(I$43-1-Quesería!$B$43,(Quesería!$B$42-Quesería!$B$43)))/(Quesería!$B$42-Quesería!$B$43)))</f>
        <v>83.788321001934</v>
      </c>
      <c r="J634" s="36" t="n">
        <f aca="false">IF(J$43&lt;0,0,(Quesería!$B$40*$B$609*$B$606)*(1-MAX(0,MIN(J$43-0-Quesería!$B$43,(Quesería!$B$42-Quesería!$B$43)))/(Quesería!$B$42-Quesería!$B$43)))+IF(J$43&lt;1,0,(Quesería!$B$40*$C$609*$C$606)*(1-MAX(0,MIN(J$43-1-Quesería!$B$43,(Quesería!$B$42-Quesería!$B$43)))/(Quesería!$B$42-Quesería!$B$43)))</f>
        <v>0</v>
      </c>
      <c r="K634" s="36" t="n">
        <f aca="false">IF(K$43&lt;0,0,(Quesería!$B$40*$B$609*$B$606)*(1-MAX(0,MIN(K$43-0-Quesería!$B$43,(Quesería!$B$42-Quesería!$B$43)))/(Quesería!$B$42-Quesería!$B$43)))+IF(K$43&lt;1,0,(Quesería!$B$40*$C$609*$C$606)*(1-MAX(0,MIN(K$43-1-Quesería!$B$43,(Quesería!$B$42-Quesería!$B$43)))/(Quesería!$B$42-Quesería!$B$43)))</f>
        <v>0</v>
      </c>
      <c r="L634" s="36" t="n">
        <f aca="false">IF(L$43&lt;0,0,(Quesería!$B$40*$B$609*$B$606)*(1-MAX(0,MIN(L$43-0-Quesería!$B$43,(Quesería!$B$42-Quesería!$B$43)))/(Quesería!$B$42-Quesería!$B$43)))+IF(L$43&lt;1,0,(Quesería!$B$40*$C$609*$C$606)*(1-MAX(0,MIN(L$43-1-Quesería!$B$43,(Quesería!$B$42-Quesería!$B$43)))/(Quesería!$B$42-Quesería!$B$43)))</f>
        <v>0</v>
      </c>
    </row>
    <row r="635" customFormat="false" ht="15" hidden="false" customHeight="false" outlineLevel="0" collapsed="false">
      <c r="A635" s="6" t="s">
        <v>307</v>
      </c>
      <c r="B635" s="35" t="n">
        <f aca="false">Quesería!$B$40*B609</f>
        <v>435.57053702568</v>
      </c>
      <c r="C635" s="35" t="n">
        <f aca="false">Quesería!$B$40*C609</f>
        <v>451.689062005035</v>
      </c>
      <c r="D635" s="35" t="n">
        <f aca="false">Quesería!$B$40*D609</f>
        <v>0</v>
      </c>
      <c r="E635" s="35" t="n">
        <f aca="false">Quesería!$B$40*E609</f>
        <v>0</v>
      </c>
      <c r="F635" s="35" t="n">
        <f aca="false">Quesería!$B$40*F609</f>
        <v>0</v>
      </c>
      <c r="G635" s="35" t="n">
        <f aca="false">Quesería!$B$40*G609</f>
        <v>0</v>
      </c>
      <c r="H635" s="35" t="n">
        <f aca="false">Quesería!$B$40*H609</f>
        <v>0</v>
      </c>
      <c r="I635" s="35" t="n">
        <f aca="false">Quesería!$B$40*I609</f>
        <v>0</v>
      </c>
      <c r="J635" s="35" t="n">
        <f aca="false">Quesería!$B$40*J609</f>
        <v>0</v>
      </c>
      <c r="K635" s="35" t="n">
        <f aca="false">Quesería!$B$40*K609</f>
        <v>0</v>
      </c>
      <c r="L635" s="35" t="n">
        <f aca="false">Quesería!$B$40*L609</f>
        <v>0</v>
      </c>
    </row>
    <row r="636" customFormat="false" ht="15" hidden="false" customHeight="false" outlineLevel="0" collapsed="false">
      <c r="A636" s="6" t="s">
        <v>308</v>
      </c>
      <c r="B636" s="35" t="n">
        <f aca="false">(IF(AND(B$43&gt;0,B$43&lt;=0+Quesería!$B$42),($O$14+$O$24)*((Quesería!$B$40*$B$609*$B$606)-(Quesería!$B$40*$B$609*$B$606)/(Quesería!$B$42-Quesería!$B$43)*MAX(0,MIN(B$43-1-0-Quesería!$B$43,(Quesería!$B$42-Quesería!$B$43)))),0)+IF(AND(B$43&gt;1,B$43&lt;=1+Quesería!$B$42),($O$14+$O$24)*((Quesería!$B$40*$C$609*$C$606)-(Quesería!$B$40*$C$609*$C$606)/(Quesería!$B$42-Quesería!$B$43)*MAX(0,MIN(B$43-1-1-Quesería!$B$43,(Quesería!$B$42-Quesería!$B$43)))),0))*B608</f>
        <v>0</v>
      </c>
      <c r="C636" s="35" t="n">
        <f aca="false">(IF(AND(C$43&gt;0,C$43&lt;=0+Quesería!$B$42),($O$14+$O$24)*((Quesería!$B$40*$B$609*$B$606)-(Quesería!$B$40*$B$609*$B$606)/(Quesería!$B$42-Quesería!$B$43)*MAX(0,MIN(C$43-1-0-Quesería!$B$43,(Quesería!$B$42-Quesería!$B$43)))),0)+IF(AND(C$43&gt;1,C$43&lt;=1+Quesería!$B$42),($O$14+$O$24)*((Quesería!$B$40*$C$609*$C$606)-(Quesería!$B$40*$C$609*$C$606)/(Quesería!$B$42-Quesería!$B$43)*MAX(0,MIN(C$43-1-1-Quesería!$B$43,(Quesería!$B$42-Quesería!$B$43)))),0))*C608</f>
        <v>58.4909006863056</v>
      </c>
      <c r="D636" s="35" t="n">
        <f aca="false">(IF(AND(D$43&gt;0,D$43&lt;=0+Quesería!$B$42),($O$14+$O$24)*((Quesería!$B$40*$B$609*$B$606)-(Quesería!$B$40*$B$609*$B$606)/(Quesería!$B$42-Quesería!$B$43)*MAX(0,MIN(D$43-1-0-Quesería!$B$43,(Quesería!$B$42-Quesería!$B$43)))),0)+IF(AND(D$43&gt;1,D$43&lt;=1+Quesería!$B$42),($O$14+$O$24)*((Quesería!$B$40*$C$609*$C$606)-(Quesería!$B$40*$C$609*$C$606)/(Quesería!$B$42-Quesería!$B$43)*MAX(0,MIN(D$43-1-1-Quesería!$B$43,(Quesería!$B$42-Quesería!$B$43)))),0))*D608</f>
        <v>116.917759262216</v>
      </c>
      <c r="E636" s="35" t="n">
        <f aca="false">(IF(AND(E$43&gt;0,E$43&lt;=0+Quesería!$B$42),($O$14+$O$24)*((Quesería!$B$40*$B$609*$B$606)-(Quesería!$B$40*$B$609*$B$606)/(Quesería!$B$42-Quesería!$B$43)*MAX(0,MIN(E$43-1-0-Quesería!$B$43,(Quesería!$B$42-Quesería!$B$43)))),0)+IF(AND(E$43&gt;1,E$43&lt;=1+Quesería!$B$42),($O$14+$O$24)*((Quesería!$B$40*$C$609*$C$606)-(Quesería!$B$40*$C$609*$C$606)/(Quesería!$B$42-Quesería!$B$43)*MAX(0,MIN(E$43-1-1-Quesería!$B$43,(Quesería!$B$42-Quesería!$B$43)))),0))*E608</f>
        <v>103.451025930528</v>
      </c>
      <c r="F636" s="35" t="n">
        <f aca="false">(IF(AND(F$43&gt;0,F$43&lt;=0+Quesería!$B$42),($O$14+$O$24)*((Quesería!$B$40*$B$609*$B$606)-(Quesería!$B$40*$B$609*$B$606)/(Quesería!$B$42-Quesería!$B$43)*MAX(0,MIN(F$43-1-0-Quesería!$B$43,(Quesería!$B$42-Quesería!$B$43)))),0)+IF(AND(F$43&gt;1,F$43&lt;=1+Quesería!$B$42),($O$14+$O$24)*((Quesería!$B$40*$C$609*$C$606)-(Quesería!$B$40*$C$609*$C$606)/(Quesería!$B$42-Quesería!$B$43)*MAX(0,MIN(F$43-1-1-Quesería!$B$43,(Quesería!$B$42-Quesería!$B$43)))),0))*F608</f>
        <v>81.455966861483</v>
      </c>
      <c r="G636" s="35" t="n">
        <f aca="false">(IF(AND(G$43&gt;0,G$43&lt;=0+Quesería!$B$42),($O$14+$O$24)*((Quesería!$B$40*$B$609*$B$606)-(Quesería!$B$40*$B$609*$B$606)/(Quesería!$B$42-Quesería!$B$43)*MAX(0,MIN(G$43-1-0-Quesería!$B$43,(Quesería!$B$42-Quesería!$B$43)))),0)+IF(AND(G$43&gt;1,G$43&lt;=1+Quesería!$B$42),($O$14+$O$24)*((Quesería!$B$40*$C$609*$C$606)-(Quesería!$B$40*$C$609*$C$606)/(Quesería!$B$42-Quesería!$B$43)*MAX(0,MIN(G$43-1-1-Quesería!$B$43,(Quesería!$B$42-Quesería!$B$43)))),0))*G608</f>
        <v>60.9998013511061</v>
      </c>
      <c r="H636" s="35" t="n">
        <f aca="false">(IF(AND(H$43&gt;0,H$43&lt;=0+Quesería!$B$42),($O$14+$O$24)*((Quesería!$B$40*$B$609*$B$606)-(Quesería!$B$40*$B$609*$B$606)/(Quesería!$B$42-Quesería!$B$43)*MAX(0,MIN(H$43-1-0-Quesería!$B$43,(Quesería!$B$42-Quesería!$B$43)))),0)+IF(AND(H$43&gt;1,H$43&lt;=1+Quesería!$B$42),($O$14+$O$24)*((Quesería!$B$40*$C$609*$C$606)-(Quesería!$B$40*$C$609*$C$606)/(Quesería!$B$42-Quesería!$B$43)*MAX(0,MIN(H$43-1-1-Quesería!$B$43,(Quesería!$B$42-Quesería!$B$43)))),0))*H608</f>
        <v>41.9966900414366</v>
      </c>
      <c r="I636" s="35" t="n">
        <f aca="false">(IF(AND(I$43&gt;0,I$43&lt;=0+Quesería!$B$42),($O$14+$O$24)*((Quesería!$B$40*$B$609*$B$606)-(Quesería!$B$40*$B$609*$B$606)/(Quesería!$B$42-Quesería!$B$43)*MAX(0,MIN(I$43-1-0-Quesería!$B$43,(Quesería!$B$42-Quesería!$B$43)))),0)+IF(AND(I$43&gt;1,I$43&lt;=1+Quesería!$B$42),($O$14+$O$24)*((Quesería!$B$40*$C$609*$C$606)-(Quesería!$B$40*$C$609*$C$606)/(Quesería!$B$42-Quesería!$B$43)*MAX(0,MIN(I$43-1-1-Quesería!$B$43,(Quesería!$B$42-Quesería!$B$43)))),0))*I608</f>
        <v>24.3651201322873</v>
      </c>
      <c r="J636" s="35" t="n">
        <f aca="false">(IF(AND(J$43&gt;0,J$43&lt;=0+Quesería!$B$42),($O$14+$O$24)*((Quesería!$B$40*$B$609*$B$606)-(Quesería!$B$40*$B$609*$B$606)/(Quesería!$B$42-Quesería!$B$43)*MAX(0,MIN(J$43-1-0-Quesería!$B$43,(Quesería!$B$42-Quesería!$B$43)))),0)+IF(AND(J$43&gt;1,J$43&lt;=1+Quesería!$B$42),($O$14+$O$24)*((Quesería!$B$40*$C$609*$C$606)-(Quesería!$B$40*$C$609*$C$606)/(Quesería!$B$42-Quesería!$B$43)*MAX(0,MIN(J$43-1-1-Quesería!$B$43,(Quesería!$B$42-Quesería!$B$43)))),0))*J608</f>
        <v>8.02769955040774</v>
      </c>
      <c r="K636" s="35" t="n">
        <f aca="false">(IF(AND(K$43&gt;0,K$43&lt;=0+Quesería!$B$42),($O$14+$O$24)*((Quesería!$B$40*$B$609*$B$606)-(Quesería!$B$40*$B$609*$B$606)/(Quesería!$B$42-Quesería!$B$43)*MAX(0,MIN(K$43-1-0-Quesería!$B$43,(Quesería!$B$42-Quesería!$B$43)))),0)+IF(AND(K$43&gt;1,K$43&lt;=1+Quesería!$B$42),($O$14+$O$24)*((Quesería!$B$40*$C$609*$C$606)-(Quesería!$B$40*$C$609*$C$606)/(Quesería!$B$42-Quesería!$B$43)*MAX(0,MIN(K$43-1-1-Quesería!$B$43,(Quesería!$B$42-Quesería!$B$43)))),0))*K608</f>
        <v>0</v>
      </c>
      <c r="L636" s="35" t="n">
        <f aca="false">(IF(AND(L$43&gt;0,L$43&lt;=0+Quesería!$B$42),($O$14+$O$24)*((Quesería!$B$40*$B$609*$B$606)-(Quesería!$B$40*$B$609*$B$606)/(Quesería!$B$42-Quesería!$B$43)*MAX(0,MIN(L$43-1-0-Quesería!$B$43,(Quesería!$B$42-Quesería!$B$43)))),0)+IF(AND(L$43&gt;1,L$43&lt;=1+Quesería!$B$42),($O$14+$O$24)*((Quesería!$B$40*$C$609*$C$606)-(Quesería!$B$40*$C$609*$C$606)/(Quesería!$B$42-Quesería!$B$43)*MAX(0,MIN(L$43-1-1-Quesería!$B$43,(Quesería!$B$42-Quesería!$B$43)))),0))*L608</f>
        <v>0</v>
      </c>
    </row>
    <row r="637" customFormat="false" ht="15" hidden="false" customHeight="false" outlineLevel="0" collapsed="false">
      <c r="A637" s="6" t="s">
        <v>309</v>
      </c>
      <c r="B637" s="35" t="n">
        <f aca="false">(IF(AND(B$43&gt;0+Quesería!$B$43,B$43&lt;=0+Quesería!$B$42),(Quesería!$B$40*$B$609*$B$606)/(Quesería!$B$42-Quesería!$B$43),0)+IF(AND(B$43&gt;1+Quesería!$B$43,B$43&lt;=1+Quesería!$B$42),(Quesería!$B$40*$C$609*$C$606)/(Quesería!$B$42-Quesería!$B$43),0))*B608</f>
        <v>0</v>
      </c>
      <c r="C637" s="35" t="n">
        <f aca="false">(IF(AND(C$43&gt;0+Quesería!$B$43,C$43&lt;=0+Quesería!$B$42),(Quesería!$B$40*$B$609*$B$606)/(Quesería!$B$42-Quesería!$B$43),0)+IF(AND(C$43&gt;1+Quesería!$B$43,C$43&lt;=1+Quesería!$B$42),(Quesería!$B$40*$C$609*$C$606)/(Quesería!$B$42-Quesería!$B$43),0))*C608</f>
        <v>0</v>
      </c>
      <c r="D637" s="35" t="n">
        <f aca="false">(IF(AND(D$43&gt;0+Quesería!$B$43,D$43&lt;=0+Quesería!$B$42),(Quesería!$B$40*$B$609*$B$606)/(Quesería!$B$42-Quesería!$B$43),0)+IF(AND(D$43&gt;1+Quesería!$B$43,D$43&lt;=1+Quesería!$B$42),(Quesería!$B$40*$C$609*$C$606)/(Quesería!$B$42-Quesería!$B$43),0))*D608</f>
        <v>66.1609382586284</v>
      </c>
      <c r="E637" s="35" t="n">
        <f aca="false">(IF(AND(E$43&gt;0+Quesería!$B$43,E$43&lt;=0+Quesería!$B$42),(Quesería!$B$40*$B$609*$B$606)/(Quesería!$B$42-Quesería!$B$43),0)+IF(AND(E$43&gt;1+Quesería!$B$43,E$43&lt;=1+Quesería!$B$42),(Quesería!$B$40*$C$609*$C$606)/(Quesería!$B$42-Quesería!$B$43),0))*E608</f>
        <v>132.885251025432</v>
      </c>
      <c r="F637" s="35" t="n">
        <f aca="false">(IF(AND(F$43&gt;0+Quesería!$B$43,F$43&lt;=0+Quesería!$B$42),(Quesería!$B$40*$B$609*$B$606)/(Quesería!$B$42-Quesería!$B$43),0)+IF(AND(F$43&gt;1+Quesería!$B$43,F$43&lt;=1+Quesería!$B$42),(Quesería!$B$40*$C$609*$C$606)/(Quesería!$B$42-Quesería!$B$43),0))*F608</f>
        <v>127.774279832146</v>
      </c>
      <c r="G637" s="35" t="n">
        <f aca="false">(IF(AND(G$43&gt;0+Quesería!$B$43,G$43&lt;=0+Quesería!$B$42),(Quesería!$B$40*$B$609*$B$606)/(Quesería!$B$42-Quesería!$B$43),0)+IF(AND(G$43&gt;1+Quesería!$B$43,G$43&lt;=1+Quesería!$B$42),(Quesería!$B$40*$C$609*$C$606)/(Quesería!$B$42-Quesería!$B$43),0))*G608</f>
        <v>122.859884453986</v>
      </c>
      <c r="H637" s="35" t="n">
        <f aca="false">(IF(AND(H$43&gt;0+Quesería!$B$43,H$43&lt;=0+Quesería!$B$42),(Quesería!$B$40*$B$609*$B$606)/(Quesería!$B$42-Quesería!$B$43),0)+IF(AND(H$43&gt;1+Quesería!$B$43,H$43&lt;=1+Quesería!$B$42),(Quesería!$B$40*$C$609*$C$606)/(Quesería!$B$42-Quesería!$B$43),0))*H608</f>
        <v>118.134504282679</v>
      </c>
      <c r="I637" s="35" t="n">
        <f aca="false">(IF(AND(I$43&gt;0+Quesería!$B$43,I$43&lt;=0+Quesería!$B$42),(Quesería!$B$40*$B$609*$B$606)/(Quesería!$B$42-Quesería!$B$43),0)+IF(AND(I$43&gt;1+Quesería!$B$43,I$43&lt;=1+Quesería!$B$42),(Quesería!$B$40*$C$609*$C$606)/(Quesería!$B$42-Quesería!$B$43),0))*I608</f>
        <v>113.590869502576</v>
      </c>
      <c r="J637" s="35" t="n">
        <f aca="false">(IF(AND(J$43&gt;0+Quesería!$B$43,J$43&lt;=0+Quesería!$B$42),(Quesería!$B$40*$B$609*$B$606)/(Quesería!$B$42-Quesería!$B$43),0)+IF(AND(J$43&gt;1+Quesería!$B$43,J$43&lt;=1+Quesería!$B$42),(Quesería!$B$40*$C$609*$C$606)/(Quesería!$B$42-Quesería!$B$43),0))*J608</f>
        <v>56.9340393645939</v>
      </c>
      <c r="K637" s="35" t="n">
        <f aca="false">(IF(AND(K$43&gt;0+Quesería!$B$43,K$43&lt;=0+Quesería!$B$42),(Quesería!$B$40*$B$609*$B$606)/(Quesería!$B$42-Quesería!$B$43),0)+IF(AND(K$43&gt;1+Quesería!$B$43,K$43&lt;=1+Quesería!$B$42),(Quesería!$B$40*$C$609*$C$606)/(Quesería!$B$42-Quesería!$B$43),0))*K608</f>
        <v>0</v>
      </c>
      <c r="L637" s="35" t="n">
        <f aca="false">(IF(AND(L$43&gt;0+Quesería!$B$43,L$43&lt;=0+Quesería!$B$42),(Quesería!$B$40*$B$609*$B$606)/(Quesería!$B$42-Quesería!$B$43),0)+IF(AND(L$43&gt;1+Quesería!$B$43,L$43&lt;=1+Quesería!$B$42),(Quesería!$B$40*$C$609*$C$606)/(Quesería!$B$42-Quesería!$B$43),0))*L608</f>
        <v>0</v>
      </c>
    </row>
    <row r="638" customFormat="false" ht="15" hidden="false" customHeight="false" outlineLevel="0" collapsed="false">
      <c r="A638" s="6" t="s">
        <v>310</v>
      </c>
      <c r="B638" s="35" t="n">
        <f aca="false">$O$13*Quesería!$B$44*(1+0.19)*B634*B608+(1-$O$13)*IF(B$43=0,Quesería!$B$53,0)</f>
        <v>4</v>
      </c>
      <c r="C638" s="35" t="n">
        <f aca="false">$O$13*Quesería!$B$44*(1+0.19)*C634*C608+(1-$O$13)*IF(C$43=0,Quesería!$B$53,0)</f>
        <v>0</v>
      </c>
      <c r="D638" s="35" t="n">
        <f aca="false">$O$13*Quesería!$B$44*(1+0.19)*D634*D608+(1-$O$13)*IF(D$43=0,Quesería!$B$53,0)</f>
        <v>0</v>
      </c>
      <c r="E638" s="35" t="n">
        <f aca="false">$O$13*Quesería!$B$44*(1+0.19)*E634*E608+(1-$O$13)*IF(E$43=0,Quesería!$B$53,0)</f>
        <v>0</v>
      </c>
      <c r="F638" s="35" t="n">
        <f aca="false">$O$13*Quesería!$B$44*(1+0.19)*F634*F608+(1-$O$13)*IF(F$43=0,Quesería!$B$53,0)</f>
        <v>0</v>
      </c>
      <c r="G638" s="35" t="n">
        <f aca="false">$O$13*Quesería!$B$44*(1+0.19)*G634*G608+(1-$O$13)*IF(G$43=0,Quesería!$B$53,0)</f>
        <v>0</v>
      </c>
      <c r="H638" s="35" t="n">
        <f aca="false">$O$13*Quesería!$B$44*(1+0.19)*H634*H608+(1-$O$13)*IF(H$43=0,Quesería!$B$53,0)</f>
        <v>0</v>
      </c>
      <c r="I638" s="35" t="n">
        <f aca="false">$O$13*Quesería!$B$44*(1+0.19)*I634*I608+(1-$O$13)*IF(I$43=0,Quesería!$B$53,0)</f>
        <v>0</v>
      </c>
      <c r="J638" s="35" t="n">
        <f aca="false">$O$13*Quesería!$B$44*(1+0.19)*J634*J608+(1-$O$13)*IF(J$43=0,Quesería!$B$53,0)</f>
        <v>0</v>
      </c>
      <c r="K638" s="35" t="n">
        <f aca="false">$O$13*Quesería!$B$44*(1+0.19)*K634*K608+(1-$O$13)*IF(K$43=0,Quesería!$B$53,0)</f>
        <v>0</v>
      </c>
      <c r="L638" s="35" t="n">
        <f aca="false">$O$13*Quesería!$B$44*(1+0.19)*L634*L608+(1-$O$13)*IF(L$43=0,Quesería!$B$53,0)</f>
        <v>0</v>
      </c>
    </row>
    <row r="639" customFormat="false" ht="15" hidden="false" customHeight="false" outlineLevel="0" collapsed="false">
      <c r="A639" s="6" t="s">
        <v>311</v>
      </c>
      <c r="B639" s="35" t="n">
        <f aca="false">Quesería!$B$45*(B636+B637+B638)</f>
        <v>0.016</v>
      </c>
      <c r="C639" s="35" t="n">
        <f aca="false">Quesería!$B$45*(C636+C637+C638)</f>
        <v>0.233963602745223</v>
      </c>
      <c r="D639" s="35" t="n">
        <f aca="false">Quesería!$B$45*(D636+D637+D638)</f>
        <v>0.732314790083377</v>
      </c>
      <c r="E639" s="35" t="n">
        <f aca="false">Quesería!$B$45*(E636+E637+E638)</f>
        <v>0.94534510782384</v>
      </c>
      <c r="F639" s="35" t="n">
        <f aca="false">Quesería!$B$45*(F636+F637+F638)</f>
        <v>0.836920986774515</v>
      </c>
      <c r="G639" s="35" t="n">
        <f aca="false">Quesería!$B$45*(G636+G637+G638)</f>
        <v>0.73543874322037</v>
      </c>
      <c r="H639" s="35" t="n">
        <f aca="false">Quesería!$B$45*(H636+H637+H638)</f>
        <v>0.640524777296463</v>
      </c>
      <c r="I639" s="35" t="n">
        <f aca="false">Quesería!$B$45*(I636+I637+I638)</f>
        <v>0.551823958539454</v>
      </c>
      <c r="J639" s="35" t="n">
        <f aca="false">Quesería!$B$45*(J636+J637+J638)</f>
        <v>0.259846955660007</v>
      </c>
      <c r="K639" s="35" t="n">
        <f aca="false">Quesería!$B$45*(K636+K637+K638)</f>
        <v>0</v>
      </c>
      <c r="L639" s="35" t="n">
        <f aca="false">Quesería!$B$45*(L636+L637+L638)</f>
        <v>0</v>
      </c>
    </row>
    <row r="640" customFormat="false" ht="15" hidden="false" customHeight="false" outlineLevel="0" collapsed="false">
      <c r="A640" s="6" t="s">
        <v>312</v>
      </c>
      <c r="B640" s="35" t="n">
        <f aca="false">$O$17*(B636+B638+0.5*B639)</f>
        <v>1.4028</v>
      </c>
      <c r="C640" s="35" t="n">
        <f aca="false">$O$17*(C636+C638+0.5*C639)</f>
        <v>20.5127588706874</v>
      </c>
      <c r="D640" s="35" t="n">
        <f aca="false">$O$17*(D636+D638+0.5*D639)</f>
        <v>41.0493708300401</v>
      </c>
      <c r="E640" s="35" t="n">
        <f aca="false">$O$17*(E636+E638+0.5*E639)</f>
        <v>36.373294469554</v>
      </c>
      <c r="F640" s="35" t="n">
        <f aca="false">$O$17*(F636+F638+0.5*F639)</f>
        <v>28.6560495742046</v>
      </c>
      <c r="G640" s="35" t="n">
        <f aca="false">$O$17*(G636+G638+0.5*G639)</f>
        <v>21.4786322529507</v>
      </c>
      <c r="H640" s="35" t="n">
        <f aca="false">$O$17*(H636+H638+0.5*H639)</f>
        <v>14.8109333505297</v>
      </c>
      <c r="I640" s="35" t="n">
        <f aca="false">$O$17*(I636+I638+0.5*I639)</f>
        <v>8.62436123904496</v>
      </c>
      <c r="J640" s="35" t="n">
        <f aca="false">$O$17*(J636+J638+0.5*J639)</f>
        <v>2.85516805988321</v>
      </c>
      <c r="K640" s="35" t="n">
        <f aca="false">$O$17*(K636+K638+0.5*K639)</f>
        <v>0</v>
      </c>
      <c r="L640" s="35" t="n">
        <f aca="false">$O$17*(L636+L638+0.5*L639)</f>
        <v>0</v>
      </c>
    </row>
    <row r="641" customFormat="false" ht="15" hidden="false" customHeight="false" outlineLevel="0" collapsed="false">
      <c r="A641" s="5" t="s">
        <v>313</v>
      </c>
      <c r="B641" s="37" t="n">
        <f aca="false">B626+B635-B636-B637-B638-B639+B640</f>
        <v>-229.083708047218</v>
      </c>
      <c r="C641" s="37" t="n">
        <f aca="false">C626+C635-C636-C637-C638-C639+C640</f>
        <v>-5.31498749731236</v>
      </c>
      <c r="D641" s="37" t="n">
        <f aca="false">D626+D635-D636-D637-D638-D639+D640</f>
        <v>196.604640253144</v>
      </c>
      <c r="E641" s="37" t="n">
        <f aca="false">E626+E635-E636-E637-E638-E639+E640</f>
        <v>47.6579325355572</v>
      </c>
      <c r="F641" s="37" t="n">
        <f aca="false">F626+F635-F636-F637-F638-F639+F640</f>
        <v>68.429425450617</v>
      </c>
      <c r="G641" s="37" t="n">
        <f aca="false">G626+G635-G636-G637-G638-G639+G640</f>
        <v>53.7571033298741</v>
      </c>
      <c r="H641" s="37" t="n">
        <f aca="false">H626+H635-H636-H637-H638-H639+H640</f>
        <v>62.0140286290493</v>
      </c>
      <c r="I641" s="37" t="n">
        <f aca="false">I626+I635-I636-I637-I638-I639+I640</f>
        <v>123.272129752659</v>
      </c>
      <c r="J641" s="37" t="n">
        <f aca="false">J626+J635-J636-J637-J638-J639+J640</f>
        <v>183.372860408033</v>
      </c>
      <c r="K641" s="37" t="n">
        <f aca="false">K626+K635-K636-K637-K638-K639+K640</f>
        <v>244.824118501342</v>
      </c>
      <c r="L641" s="37" t="n">
        <f aca="false">L626+L635-L636-L637-L638-L639+L640</f>
        <v>314.935223769548</v>
      </c>
    </row>
    <row r="642" customFormat="false" ht="15" hidden="false" customHeight="false" outlineLevel="0" collapsed="false">
      <c r="A642" s="9" t="s">
        <v>314</v>
      </c>
      <c r="B642" s="36" t="n">
        <f aca="false">B641*B606</f>
        <v>-242.828730530051</v>
      </c>
      <c r="C642" s="36" t="n">
        <f aca="false">C641*C606</f>
        <v>-5.91558108450866</v>
      </c>
      <c r="D642" s="36" t="n">
        <f aca="false">D641*D606</f>
        <v>228.667908008828</v>
      </c>
      <c r="E642" s="36" t="n">
        <f aca="false">E641*E606</f>
        <v>57.6474355216433</v>
      </c>
      <c r="F642" s="36" t="n">
        <f aca="false">F641*F606</f>
        <v>86.0837201455297</v>
      </c>
      <c r="G642" s="36" t="n">
        <f aca="false">G641*G606</f>
        <v>70.3310873172784</v>
      </c>
      <c r="H642" s="36" t="n">
        <f aca="false">H641*H606</f>
        <v>84.379074465148</v>
      </c>
      <c r="I642" s="36" t="n">
        <f aca="false">I641*I606</f>
        <v>174.438783992252</v>
      </c>
      <c r="J642" s="36" t="n">
        <f aca="false">J641*J606</f>
        <v>269.864992232853</v>
      </c>
      <c r="K642" s="36" t="n">
        <f aca="false">K641*K606</f>
        <v>374.713232036604</v>
      </c>
      <c r="L642" s="36" t="n">
        <f aca="false">L641*L606</f>
        <v>501.301963856229</v>
      </c>
    </row>
    <row r="643" customFormat="false" ht="15" hidden="false" customHeight="false" outlineLevel="0" collapsed="false">
      <c r="A643" s="9" t="s">
        <v>315</v>
      </c>
      <c r="B643" s="34" t="n">
        <f aca="false">(B606/$B$606)/(1+Quesería!$B$46+$O$24)^B$43</f>
        <v>1</v>
      </c>
      <c r="C643" s="34" t="n">
        <f aca="false">(C606/$B$606)/(1+Quesería!$B$46+$O$24)^C$43</f>
        <v>0.84</v>
      </c>
      <c r="D643" s="34" t="n">
        <f aca="false">(D606/$B$606)/(1+Quesería!$B$46+$O$24)^D$43</f>
        <v>0.70224</v>
      </c>
      <c r="E643" s="34" t="n">
        <f aca="false">(E606/$B$606)/(1+Quesería!$B$46+$O$24)^E$43</f>
        <v>0.58426368</v>
      </c>
      <c r="F643" s="34" t="n">
        <f aca="false">(F606/$B$606)/(1+Quesería!$B$46+$O$24)^F$43</f>
        <v>0.48610738176</v>
      </c>
      <c r="G643" s="34" t="n">
        <f aca="false">(G606/$B$606)/(1+Quesería!$B$46+$O$24)^G$43</f>
        <v>0.40444134162432</v>
      </c>
      <c r="H643" s="34" t="n">
        <f aca="false">(H606/$B$606)/(1+Quesería!$B$46+$O$24)^H$43</f>
        <v>0.336495196231434</v>
      </c>
      <c r="I643" s="34" t="n">
        <f aca="false">(I606/$B$606)/(1+Quesería!$B$46+$O$24)^I$43</f>
        <v>0.279964003264553</v>
      </c>
      <c r="J643" s="34" t="n">
        <f aca="false">(J606/$B$606)/(1+Quesería!$B$46+$O$24)^J$43</f>
        <v>0.232930050716108</v>
      </c>
      <c r="K643" s="34" t="n">
        <f aca="false">(K606/$B$606)/(1+Quesería!$B$46+$O$24)^K$43</f>
        <v>0.193797802195802</v>
      </c>
      <c r="L643" s="34" t="n">
        <f aca="false">(L606/$B$606)/(1+Quesería!$B$46+$O$24)^L$43</f>
        <v>0.161239771426907</v>
      </c>
    </row>
    <row r="644" customFormat="false" ht="15" hidden="false" customHeight="false" outlineLevel="0" collapsed="false">
      <c r="A644" s="9" t="s">
        <v>316</v>
      </c>
      <c r="B644" s="36" t="n">
        <f aca="false">B626+B609+B611+B640</f>
        <v>60.9532547375949</v>
      </c>
      <c r="C644" s="36" t="n">
        <f aca="false">C626+C609+C611+C640</f>
        <v>369.592220195263</v>
      </c>
      <c r="D644" s="36" t="n">
        <f aca="false">D626+D609+D611+D640</f>
        <v>380.415652564071</v>
      </c>
      <c r="E644" s="36" t="n">
        <f aca="false">E626+E609+E611+E640</f>
        <v>284.939554599341</v>
      </c>
      <c r="F644" s="36" t="n">
        <f aca="false">F626+F609+F611+F640</f>
        <v>278.49659313102</v>
      </c>
      <c r="G644" s="36" t="n">
        <f aca="false">G626+G609+G611+G640</f>
        <v>243.418894544854</v>
      </c>
      <c r="H644" s="36" t="n">
        <f aca="false">H626+H609+H611+H640</f>
        <v>229.493612811228</v>
      </c>
      <c r="I644" s="36" t="n">
        <f aca="false">I626+I609+I611+I640</f>
        <v>261.779943346062</v>
      </c>
      <c r="J644" s="36" t="n">
        <f aca="false">J626+J609+J611+J640</f>
        <v>248.594446278694</v>
      </c>
      <c r="K644" s="36" t="n">
        <f aca="false">K626+K609+K611+K640</f>
        <v>244.824118501342</v>
      </c>
      <c r="L644" s="36" t="n">
        <f aca="false">L626+L609+L611+L640</f>
        <v>314.935223769548</v>
      </c>
    </row>
    <row r="645" customFormat="false" ht="15" hidden="false" customHeight="false" outlineLevel="0" collapsed="false">
      <c r="A645" s="5" t="s">
        <v>317</v>
      </c>
      <c r="B645" s="12" t="str">
        <f aca="false">IF(AND(B$43&gt;=1,(B636+B637+B638)&gt;0.001),B644/(B636+B637+B638),"")</f>
        <v/>
      </c>
      <c r="C645" s="12" t="n">
        <f aca="false">IF(AND(C$43&gt;=1,(C636+C637+C638)&gt;0.001),C644/(C636+C637+C638),"")</f>
        <v>6.31879857992673</v>
      </c>
      <c r="D645" s="12" t="n">
        <f aca="false">IF(AND(D$43&gt;=1,(D636+D637+D638)&gt;0.001),D644/(D636+D637+D638),"")</f>
        <v>2.07788048372345</v>
      </c>
      <c r="E645" s="12" t="n">
        <f aca="false">IF(AND(E$43&gt;=1,(E636+E637+E638)&gt;0.001),E644/(E636+E637+E638),"")</f>
        <v>1.20565305618501</v>
      </c>
      <c r="F645" s="12" t="n">
        <f aca="false">IF(AND(F$43&gt;=1,(F636+F637+F638)&gt;0.001),F644/(F636+F637+F638),"")</f>
        <v>1.33105321784004</v>
      </c>
      <c r="G645" s="12" t="n">
        <f aca="false">IF(AND(G$43&gt;=1,(G636+G637+G638)&gt;0.001),G644/(G636+G637+G638),"")</f>
        <v>1.32393837985179</v>
      </c>
      <c r="H645" s="12" t="n">
        <f aca="false">IF(AND(H$43&gt;=1,(H636+H637+H638)&gt;0.001),H644/(H636+H637+H638),"")</f>
        <v>1.43315993975989</v>
      </c>
      <c r="I645" s="12" t="n">
        <f aca="false">IF(AND(I$43&gt;=1,(I636+I637+I638)&gt;0.001),I644/(I636+I637+I638),"")</f>
        <v>1.89756127326498</v>
      </c>
      <c r="J645" s="12" t="n">
        <f aca="false">IF(AND(J$43&gt;=1,(J636+J637+J638)&gt;0.001),J644/(J636+J637+J638),"")</f>
        <v>3.82678250968565</v>
      </c>
      <c r="K645" s="12" t="str">
        <f aca="false">IF(AND(K$43&gt;=1,(K636+K637+K638)&gt;0.001),K644/(K636+K637+K638),"")</f>
        <v/>
      </c>
      <c r="L645" s="12" t="str">
        <f aca="false">IF(AND(L$43&gt;=1,(L636+L637+L638)&gt;0.001),L644/(L636+L637+L638),"")</f>
        <v/>
      </c>
    </row>
    <row r="647" customFormat="false" ht="15" hidden="false" customHeight="false" outlineLevel="0" collapsed="false">
      <c r="A647" s="66" t="s">
        <v>640</v>
      </c>
      <c r="B647" s="67"/>
      <c r="C647" s="67"/>
      <c r="D647" s="67"/>
      <c r="E647" s="67"/>
      <c r="F647" s="67"/>
      <c r="G647" s="67"/>
      <c r="H647" s="67"/>
      <c r="I647" s="67"/>
      <c r="J647" s="67"/>
      <c r="K647" s="67"/>
      <c r="L647" s="67"/>
    </row>
    <row r="648" customFormat="false" ht="15" hidden="false" customHeight="false" outlineLevel="0" collapsed="false">
      <c r="A648" s="9" t="s">
        <v>281</v>
      </c>
      <c r="B648" s="33" t="n">
        <f aca="false">CHOOSE($P$15,Entorno!B$7,Entorno!B$8,Entorno!B$9)</f>
        <v>0.06</v>
      </c>
      <c r="C648" s="33" t="n">
        <f aca="false">CHOOSE($P$15,Entorno!C$7,Entorno!C$8,Entorno!C$9)</f>
        <v>0.05</v>
      </c>
      <c r="D648" s="33" t="n">
        <f aca="false">CHOOSE($P$15,Entorno!D$7,Entorno!D$8,Entorno!D$9)</f>
        <v>0.045</v>
      </c>
      <c r="E648" s="33" t="n">
        <f aca="false">CHOOSE($P$15,Entorno!E$7,Entorno!E$8,Entorno!E$9)</f>
        <v>0.04</v>
      </c>
      <c r="F648" s="33" t="n">
        <f aca="false">CHOOSE($P$15,Entorno!F$7,Entorno!F$8,Entorno!F$9)</f>
        <v>0.04</v>
      </c>
      <c r="G648" s="33" t="n">
        <f aca="false">CHOOSE($P$15,Entorno!G$7,Entorno!G$8,Entorno!G$9)</f>
        <v>0.04</v>
      </c>
      <c r="H648" s="33" t="n">
        <f aca="false">CHOOSE($P$15,Entorno!H$7,Entorno!H$8,Entorno!H$9)</f>
        <v>0.04</v>
      </c>
      <c r="I648" s="33" t="n">
        <f aca="false">CHOOSE($P$15,Entorno!I$7,Entorno!I$8,Entorno!I$9)</f>
        <v>0.04</v>
      </c>
      <c r="J648" s="33" t="n">
        <f aca="false">CHOOSE($P$15,Entorno!J$7,Entorno!J$8,Entorno!J$9)</f>
        <v>0.04</v>
      </c>
      <c r="K648" s="33" t="n">
        <f aca="false">CHOOSE($P$15,Entorno!K$7,Entorno!K$8,Entorno!K$9)</f>
        <v>0.04</v>
      </c>
      <c r="L648" s="33" t="n">
        <f aca="false">CHOOSE($P$15,Entorno!L$7,Entorno!L$8,Entorno!L$9)</f>
        <v>0.04</v>
      </c>
    </row>
    <row r="649" customFormat="false" ht="15" hidden="false" customHeight="false" outlineLevel="0" collapsed="false">
      <c r="A649" s="9" t="s">
        <v>282</v>
      </c>
      <c r="B649" s="34" t="n">
        <f aca="false">1+B648</f>
        <v>1.06</v>
      </c>
      <c r="C649" s="34" t="n">
        <f aca="false">B649*(1+C648)</f>
        <v>1.113</v>
      </c>
      <c r="D649" s="34" t="n">
        <f aca="false">C649*(1+D648)</f>
        <v>1.163085</v>
      </c>
      <c r="E649" s="34" t="n">
        <f aca="false">D649*(1+E648)</f>
        <v>1.2096084</v>
      </c>
      <c r="F649" s="34" t="n">
        <f aca="false">E649*(1+F648)</f>
        <v>1.257992736</v>
      </c>
      <c r="G649" s="34" t="n">
        <f aca="false">F649*(1+G648)</f>
        <v>1.30831244544</v>
      </c>
      <c r="H649" s="34" t="n">
        <f aca="false">G649*(1+H648)</f>
        <v>1.3606449432576</v>
      </c>
      <c r="I649" s="34" t="n">
        <f aca="false">H649*(1+I648)</f>
        <v>1.4150707409879</v>
      </c>
      <c r="J649" s="34" t="n">
        <f aca="false">I649*(1+J648)</f>
        <v>1.47167357062742</v>
      </c>
      <c r="K649" s="34" t="n">
        <f aca="false">J649*(1+K648)</f>
        <v>1.53054051345252</v>
      </c>
      <c r="L649" s="34" t="n">
        <f aca="false">K649*(1+L648)</f>
        <v>1.59176213399062</v>
      </c>
    </row>
    <row r="650" customFormat="false" ht="15" hidden="false" customHeight="false" outlineLevel="0" collapsed="false">
      <c r="A650" s="9" t="s">
        <v>283</v>
      </c>
      <c r="B650" s="34" t="n">
        <f aca="false">(1+$P$16)/(1+B648)</f>
        <v>1.0377358490566</v>
      </c>
      <c r="C650" s="34" t="n">
        <f aca="false">B650*(1+Entorno!$B$13)</f>
        <v>1.04292452830189</v>
      </c>
      <c r="D650" s="34" t="n">
        <f aca="false">C650*(1+Entorno!$B$13)</f>
        <v>1.0481391509434</v>
      </c>
      <c r="E650" s="34" t="n">
        <f aca="false">D650*(1+Entorno!$B$13)</f>
        <v>1.05337984669811</v>
      </c>
      <c r="F650" s="34" t="n">
        <f aca="false">E650*(1+Entorno!$B$13)</f>
        <v>1.0586467459316</v>
      </c>
      <c r="G650" s="34" t="n">
        <f aca="false">F650*(1+Entorno!$B$13)</f>
        <v>1.06393997966126</v>
      </c>
      <c r="H650" s="34" t="n">
        <f aca="false">G650*(1+Entorno!$B$13)</f>
        <v>1.06925967955957</v>
      </c>
      <c r="I650" s="34" t="n">
        <f aca="false">H650*(1+Entorno!$B$13)</f>
        <v>1.07460597795737</v>
      </c>
      <c r="J650" s="34" t="n">
        <f aca="false">I650*(1+Entorno!$B$13)</f>
        <v>1.07997900784715</v>
      </c>
      <c r="K650" s="34" t="n">
        <f aca="false">J650*(1+Entorno!$B$13)</f>
        <v>1.08537890288639</v>
      </c>
      <c r="L650" s="34" t="n">
        <f aca="false">K650*(1+Entorno!$B$13)</f>
        <v>1.09080579740082</v>
      </c>
    </row>
    <row r="651" customFormat="false" ht="15" hidden="false" customHeight="false" outlineLevel="0" collapsed="false">
      <c r="A651" s="9" t="s">
        <v>284</v>
      </c>
      <c r="B651" s="34" t="n">
        <f aca="false">1/B649</f>
        <v>0.943396226415094</v>
      </c>
      <c r="C651" s="34" t="n">
        <f aca="false">1/C649</f>
        <v>0.898472596585804</v>
      </c>
      <c r="D651" s="34" t="n">
        <f aca="false">1/D649</f>
        <v>0.859782389077324</v>
      </c>
      <c r="E651" s="34" t="n">
        <f aca="false">1/E649</f>
        <v>0.826713835651273</v>
      </c>
      <c r="F651" s="34" t="n">
        <f aca="false">1/F649</f>
        <v>0.794917149664686</v>
      </c>
      <c r="G651" s="34" t="n">
        <f aca="false">1/G649</f>
        <v>0.764343413139121</v>
      </c>
      <c r="H651" s="34" t="n">
        <f aca="false">1/H649</f>
        <v>0.734945589556847</v>
      </c>
      <c r="I651" s="34" t="n">
        <f aca="false">1/I649</f>
        <v>0.706678451496968</v>
      </c>
      <c r="J651" s="34" t="n">
        <f aca="false">1/J649</f>
        <v>0.679498511054777</v>
      </c>
      <c r="K651" s="34" t="n">
        <f aca="false">1/K649</f>
        <v>0.653363952937286</v>
      </c>
      <c r="L651" s="34" t="n">
        <f aca="false">1/L649</f>
        <v>0.628234570132006</v>
      </c>
    </row>
    <row r="652" customFormat="false" ht="15" hidden="false" customHeight="false" outlineLevel="0" collapsed="false">
      <c r="A652" s="6" t="s">
        <v>202</v>
      </c>
      <c r="B652" s="35" t="n">
        <f aca="false">IF(B$43=0,Quesería!$F$80,IF(B$43=1,Quesería!$F$81*$P$21,0))*$P$11</f>
        <v>622.243624322401</v>
      </c>
      <c r="C652" s="35" t="n">
        <f aca="false">IF(C$43=0,Quesería!$F$80,IF(C$43=1,Quesería!$F$81*$P$21,0))*$P$11</f>
        <v>645.270088578622</v>
      </c>
      <c r="D652" s="35" t="n">
        <f aca="false">IF(D$43=0,Quesería!$F$80,IF(D$43=1,Quesería!$F$81*$P$21,0))*$P$11</f>
        <v>0</v>
      </c>
      <c r="E652" s="35" t="n">
        <f aca="false">IF(E$43=0,Quesería!$F$80,IF(E$43=1,Quesería!$F$81*$P$21,0))*$P$11</f>
        <v>0</v>
      </c>
      <c r="F652" s="35" t="n">
        <f aca="false">IF(F$43=0,Quesería!$F$80,IF(F$43=1,Quesería!$F$81*$P$21,0))*$P$11</f>
        <v>0</v>
      </c>
      <c r="G652" s="35" t="n">
        <f aca="false">IF(G$43=0,Quesería!$F$80,IF(G$43=1,Quesería!$F$81*$P$21,0))*$P$11</f>
        <v>0</v>
      </c>
      <c r="H652" s="35" t="n">
        <f aca="false">IF(H$43=0,Quesería!$F$80,IF(H$43=1,Quesería!$F$81*$P$21,0))*$P$11</f>
        <v>0</v>
      </c>
      <c r="I652" s="35" t="n">
        <f aca="false">IF(I$43=0,Quesería!$F$80,IF(I$43=1,Quesería!$F$81*$P$21,0))*$P$11</f>
        <v>0</v>
      </c>
      <c r="J652" s="35" t="n">
        <f aca="false">IF(J$43=0,Quesería!$F$80,IF(J$43=1,Quesería!$F$81*$P$21,0))*$P$11</f>
        <v>0</v>
      </c>
      <c r="K652" s="35" t="n">
        <f aca="false">IF(K$43=0,Quesería!$F$80,IF(K$43=1,Quesería!$F$81*$P$21,0))*$P$11</f>
        <v>0</v>
      </c>
      <c r="L652" s="35" t="n">
        <f aca="false">IF(L$43=0,Quesería!$F$80,IF(L$43=1,Quesería!$F$81*$P$21,0))*$P$11</f>
        <v>0</v>
      </c>
    </row>
    <row r="653" customFormat="false" ht="15" hidden="false" customHeight="false" outlineLevel="0" collapsed="false">
      <c r="A653" s="6" t="s">
        <v>285</v>
      </c>
      <c r="B653" s="35" t="n">
        <f aca="false">IF(B$43=5,Quesería!$F$87,IF(B$43=6,Quesería!$F$88,0))*$P$11</f>
        <v>0</v>
      </c>
      <c r="C653" s="35" t="n">
        <f aca="false">IF(C$43=5,Quesería!$F$87,IF(C$43=6,Quesería!$F$88,0))*$P$11</f>
        <v>0</v>
      </c>
      <c r="D653" s="35" t="n">
        <f aca="false">IF(D$43=5,Quesería!$F$87,IF(D$43=6,Quesería!$F$88,0))*$P$11</f>
        <v>0</v>
      </c>
      <c r="E653" s="35" t="n">
        <f aca="false">IF(E$43=5,Quesería!$F$87,IF(E$43=6,Quesería!$F$88,0))*$P$11</f>
        <v>0</v>
      </c>
      <c r="F653" s="35" t="n">
        <f aca="false">IF(F$43=5,Quesería!$F$87,IF(F$43=6,Quesería!$F$88,0))*$P$11</f>
        <v>0</v>
      </c>
      <c r="G653" s="35" t="n">
        <f aca="false">IF(G$43=5,Quesería!$F$87,IF(G$43=6,Quesería!$F$88,0))*$P$11</f>
        <v>26.6666666666667</v>
      </c>
      <c r="H653" s="35" t="n">
        <f aca="false">IF(H$43=5,Quesería!$F$87,IF(H$43=6,Quesería!$F$88,0))*$P$11</f>
        <v>35.3045530566667</v>
      </c>
      <c r="I653" s="35" t="n">
        <f aca="false">IF(I$43=5,Quesería!$F$87,IF(I$43=6,Quesería!$F$88,0))*$P$11</f>
        <v>0</v>
      </c>
      <c r="J653" s="35" t="n">
        <f aca="false">IF(J$43=5,Quesería!$F$87,IF(J$43=6,Quesería!$F$88,0))*$P$11</f>
        <v>0</v>
      </c>
      <c r="K653" s="35" t="n">
        <f aca="false">IF(K$43=5,Quesería!$F$87,IF(K$43=6,Quesería!$F$88,0))*$P$11</f>
        <v>0</v>
      </c>
      <c r="L653" s="35" t="n">
        <f aca="false">IF(L$43=5,Quesería!$F$87,IF(L$43=6,Quesería!$F$88,0))*$P$11</f>
        <v>0</v>
      </c>
    </row>
    <row r="654" customFormat="false" ht="15" hidden="false" customHeight="false" outlineLevel="0" collapsed="false">
      <c r="A654" s="6" t="s">
        <v>286</v>
      </c>
      <c r="B654" s="35" t="n">
        <f aca="false">Quesería!$B$36*(IF(B$43=0,SUMPRODUCT((Quesería!$C$62:$C$77=0)*(Quesería!$H$62:$H$77&gt;0)*(Quesería!$J$62:$J$77&gt;0)*Quesería!$F$62:$F$77*(1+Quesería!$I$62:$I$77)),IF(B$43=1,SUMPRODUCT((Quesería!$C$62:$C$77=1)*(Quesería!$H$62:$H$77&gt;0)*(Quesería!$J$62:$J$77&gt;0)*Quesería!$F$62:$F$77*(1+Quesería!$I$62:$I$77))*$P$21,0))*$P$11+B653)</f>
        <v>99.347875488093</v>
      </c>
      <c r="C654" s="35" t="n">
        <f aca="false">Quesería!$B$36*(IF(C$43=0,SUMPRODUCT((Quesería!$C$62:$C$77=0)*(Quesería!$H$62:$H$77&gt;0)*(Quesería!$J$62:$J$77&gt;0)*Quesería!$F$62:$F$77*(1+Quesería!$I$62:$I$77)),IF(C$43=1,SUMPRODUCT((Quesería!$C$62:$C$77=1)*(Quesería!$H$62:$H$77&gt;0)*(Quesería!$J$62:$J$77&gt;0)*Quesería!$F$62:$F$77*(1+Quesería!$I$62:$I$77))*$P$21,0))*$P$11+C653)</f>
        <v>122.601316829938</v>
      </c>
      <c r="D654" s="35" t="n">
        <f aca="false">Quesería!$B$36*(IF(D$43=0,SUMPRODUCT((Quesería!$C$62:$C$77=0)*(Quesería!$H$62:$H$77&gt;0)*(Quesería!$J$62:$J$77&gt;0)*Quesería!$F$62:$F$77*(1+Quesería!$I$62:$I$77)),IF(D$43=1,SUMPRODUCT((Quesería!$C$62:$C$77=1)*(Quesería!$H$62:$H$77&gt;0)*(Quesería!$J$62:$J$77&gt;0)*Quesería!$F$62:$F$77*(1+Quesería!$I$62:$I$77))*$P$21,0))*$P$11+D653)</f>
        <v>0</v>
      </c>
      <c r="E654" s="35" t="n">
        <f aca="false">Quesería!$B$36*(IF(E$43=0,SUMPRODUCT((Quesería!$C$62:$C$77=0)*(Quesería!$H$62:$H$77&gt;0)*(Quesería!$J$62:$J$77&gt;0)*Quesería!$F$62:$F$77*(1+Quesería!$I$62:$I$77)),IF(E$43=1,SUMPRODUCT((Quesería!$C$62:$C$77=1)*(Quesería!$H$62:$H$77&gt;0)*(Quesería!$J$62:$J$77&gt;0)*Quesería!$F$62:$F$77*(1+Quesería!$I$62:$I$77))*$P$21,0))*$P$11+E653)</f>
        <v>0</v>
      </c>
      <c r="F654" s="35" t="n">
        <f aca="false">Quesería!$B$36*(IF(F$43=0,SUMPRODUCT((Quesería!$C$62:$C$77=0)*(Quesería!$H$62:$H$77&gt;0)*(Quesería!$J$62:$J$77&gt;0)*Quesería!$F$62:$F$77*(1+Quesería!$I$62:$I$77)),IF(F$43=1,SUMPRODUCT((Quesería!$C$62:$C$77=1)*(Quesería!$H$62:$H$77&gt;0)*(Quesería!$J$62:$J$77&gt;0)*Quesería!$F$62:$F$77*(1+Quesería!$I$62:$I$77))*$P$21,0))*$P$11+F653)</f>
        <v>0</v>
      </c>
      <c r="G654" s="35" t="n">
        <f aca="false">Quesería!$B$36*(IF(G$43=0,SUMPRODUCT((Quesería!$C$62:$C$77=0)*(Quesería!$H$62:$H$77&gt;0)*(Quesería!$J$62:$J$77&gt;0)*Quesería!$F$62:$F$77*(1+Quesería!$I$62:$I$77)),IF(G$43=1,SUMPRODUCT((Quesería!$C$62:$C$77=1)*(Quesería!$H$62:$H$77&gt;0)*(Quesería!$J$62:$J$77&gt;0)*Quesería!$F$62:$F$77*(1+Quesería!$I$62:$I$77))*$P$21,0))*$P$11+G653)</f>
        <v>5.06666666666667</v>
      </c>
      <c r="H654" s="35" t="n">
        <f aca="false">Quesería!$B$36*(IF(H$43=0,SUMPRODUCT((Quesería!$C$62:$C$77=0)*(Quesería!$H$62:$H$77&gt;0)*(Quesería!$J$62:$J$77&gt;0)*Quesería!$F$62:$F$77*(1+Quesería!$I$62:$I$77)),IF(H$43=1,SUMPRODUCT((Quesería!$C$62:$C$77=1)*(Quesería!$H$62:$H$77&gt;0)*(Quesería!$J$62:$J$77&gt;0)*Quesería!$F$62:$F$77*(1+Quesería!$I$62:$I$77))*$P$21,0))*$P$11+H653)</f>
        <v>6.70786508076667</v>
      </c>
      <c r="I654" s="35" t="n">
        <f aca="false">Quesería!$B$36*(IF(I$43=0,SUMPRODUCT((Quesería!$C$62:$C$77=0)*(Quesería!$H$62:$H$77&gt;0)*(Quesería!$J$62:$J$77&gt;0)*Quesería!$F$62:$F$77*(1+Quesería!$I$62:$I$77)),IF(I$43=1,SUMPRODUCT((Quesería!$C$62:$C$77=1)*(Quesería!$H$62:$H$77&gt;0)*(Quesería!$J$62:$J$77&gt;0)*Quesería!$F$62:$F$77*(1+Quesería!$I$62:$I$77))*$P$21,0))*$P$11+I653)</f>
        <v>0</v>
      </c>
      <c r="J654" s="35" t="n">
        <f aca="false">Quesería!$B$36*(IF(J$43=0,SUMPRODUCT((Quesería!$C$62:$C$77=0)*(Quesería!$H$62:$H$77&gt;0)*(Quesería!$J$62:$J$77&gt;0)*Quesería!$F$62:$F$77*(1+Quesería!$I$62:$I$77)),IF(J$43=1,SUMPRODUCT((Quesería!$C$62:$C$77=1)*(Quesería!$H$62:$H$77&gt;0)*(Quesería!$J$62:$J$77&gt;0)*Quesería!$F$62:$F$77*(1+Quesería!$I$62:$I$77))*$P$21,0))*$P$11+J653)</f>
        <v>0</v>
      </c>
      <c r="K654" s="35" t="n">
        <f aca="false">Quesería!$B$36*(IF(K$43=0,SUMPRODUCT((Quesería!$C$62:$C$77=0)*(Quesería!$H$62:$H$77&gt;0)*(Quesería!$J$62:$J$77&gt;0)*Quesería!$F$62:$F$77*(1+Quesería!$I$62:$I$77)),IF(K$43=1,SUMPRODUCT((Quesería!$C$62:$C$77=1)*(Quesería!$H$62:$H$77&gt;0)*(Quesería!$J$62:$J$77&gt;0)*Quesería!$F$62:$F$77*(1+Quesería!$I$62:$I$77))*$P$21,0))*$P$11+K653)</f>
        <v>0</v>
      </c>
      <c r="L654" s="35" t="n">
        <f aca="false">Quesería!$B$36*(IF(L$43=0,SUMPRODUCT((Quesería!$C$62:$C$77=0)*(Quesería!$H$62:$H$77&gt;0)*(Quesería!$J$62:$J$77&gt;0)*Quesería!$F$62:$F$77*(1+Quesería!$I$62:$I$77)),IF(L$43=1,SUMPRODUCT((Quesería!$C$62:$C$77=1)*(Quesería!$H$62:$H$77&gt;0)*(Quesería!$J$62:$J$77&gt;0)*Quesería!$F$62:$F$77*(1+Quesería!$I$62:$I$77))*$P$21,0))*$P$11+L653)</f>
        <v>0</v>
      </c>
    </row>
    <row r="655" customFormat="false" ht="15" hidden="false" customHeight="false" outlineLevel="0" collapsed="false">
      <c r="A655" s="6" t="s">
        <v>260</v>
      </c>
      <c r="B655" s="35" t="n">
        <f aca="false">IF(B$43=0,($P$22*Quesería!$J$109+(1-$P$22)*Quesería!$E$105)*Quesería!$B$12*Quesería!$B$13/12*$P$23,(($P$22*Quesería!$J$109+(1-$P$22)*Quesería!$E$105)+($P$22*Quesería!$J$92+(1-$P$22)*Quesería!$E$92)*(B650-1))*IF(B$43=1,Quesería!$B$12,1))*$P$10</f>
        <v>45.6373732102639</v>
      </c>
      <c r="C655" s="35" t="n">
        <f aca="false">IF(C$43=0,($P$22*Quesería!$J$109+(1-$P$22)*Quesería!$E$105)*Quesería!$B$12*Quesería!$B$13/12*$P$23,(($P$22*Quesería!$J$109+(1-$P$22)*Quesería!$E$105)+($P$22*Quesería!$J$92+(1-$P$22)*Quesería!$E$92)*(C650-1))*IF(C$43=1,Quesería!$B$12,1))*$P$10</f>
        <v>137.290713970414</v>
      </c>
      <c r="D655" s="35" t="n">
        <f aca="false">IF(D$43=0,($P$22*Quesería!$J$109+(1-$P$22)*Quesería!$E$105)*Quesería!$B$12*Quesería!$B$13/12*$P$23,(($P$22*Quesería!$J$109+(1-$P$22)*Quesería!$E$105)+($P$22*Quesería!$J$92+(1-$P$22)*Quesería!$E$92)*(D650-1))*IF(D$43=1,Quesería!$B$12,1))*$P$10</f>
        <v>183.11560925615</v>
      </c>
      <c r="E655" s="35" t="n">
        <f aca="false">IF(E$43=0,($P$22*Quesería!$J$109+(1-$P$22)*Quesería!$E$105)*Quesería!$B$12*Quesería!$B$13/12*$P$23,(($P$22*Quesería!$J$109+(1-$P$22)*Quesería!$E$105)+($P$22*Quesería!$J$92+(1-$P$22)*Quesería!$E$92)*(E650-1))*IF(E$43=1,Quesería!$B$12,1))*$P$10</f>
        <v>183.177239838225</v>
      </c>
      <c r="F655" s="35" t="n">
        <f aca="false">IF(F$43=0,($P$22*Quesería!$J$109+(1-$P$22)*Quesería!$E$105)*Quesería!$B$12*Quesería!$B$13/12*$P$23,(($P$22*Quesería!$J$109+(1-$P$22)*Quesería!$E$105)+($P$22*Quesería!$J$92+(1-$P$22)*Quesería!$E$92)*(F650-1))*IF(F$43=1,Quesería!$B$12,1))*$P$10</f>
        <v>183.239178573211</v>
      </c>
      <c r="G655" s="35" t="n">
        <f aca="false">IF(G$43=0,($P$22*Quesería!$J$109+(1-$P$22)*Quesería!$E$105)*Quesería!$B$12*Quesería!$B$13/12*$P$23,(($P$22*Quesería!$J$109+(1-$P$22)*Quesería!$E$105)+($P$22*Quesería!$J$92+(1-$P$22)*Quesería!$E$92)*(G650-1))*IF(G$43=1,Quesería!$B$12,1))*$P$10</f>
        <v>183.301427001872</v>
      </c>
      <c r="H655" s="35" t="n">
        <f aca="false">IF(H$43=0,($P$22*Quesería!$J$109+(1-$P$22)*Quesería!$E$105)*Quesería!$B$12*Quesería!$B$13/12*$P$23,(($P$22*Quesería!$J$109+(1-$P$22)*Quesería!$E$105)+($P$22*Quesería!$J$92+(1-$P$22)*Quesería!$E$92)*(H650-1))*IF(H$43=1,Quesería!$B$12,1))*$P$10</f>
        <v>183.363986672676</v>
      </c>
      <c r="I655" s="35" t="n">
        <f aca="false">IF(I$43=0,($P$22*Quesería!$J$109+(1-$P$22)*Quesería!$E$105)*Quesería!$B$12*Quesería!$B$13/12*$P$23,(($P$22*Quesería!$J$109+(1-$P$22)*Quesería!$E$105)+($P$22*Quesería!$J$92+(1-$P$22)*Quesería!$E$92)*(I650-1))*IF(I$43=1,Quesería!$B$12,1))*$P$10</f>
        <v>183.426859141834</v>
      </c>
      <c r="J655" s="35" t="n">
        <f aca="false">IF(J$43=0,($P$22*Quesería!$J$109+(1-$P$22)*Quesería!$E$105)*Quesería!$B$12*Quesería!$B$13/12*$P$23,(($P$22*Quesería!$J$109+(1-$P$22)*Quesería!$E$105)+($P$22*Quesería!$J$92+(1-$P$22)*Quesería!$E$92)*(J650-1))*IF(J$43=1,Quesería!$B$12,1))*$P$10</f>
        <v>183.490045973338</v>
      </c>
      <c r="K655" s="35" t="n">
        <f aca="false">IF(K$43=0,($P$22*Quesería!$J$109+(1-$P$22)*Quesería!$E$105)*Quesería!$B$12*Quesería!$B$13/12*$P$23,(($P$22*Quesería!$J$109+(1-$P$22)*Quesería!$E$105)+($P$22*Quesería!$J$92+(1-$P$22)*Quesería!$E$92)*(K650-1))*IF(K$43=1,Quesería!$B$12,1))*$P$10</f>
        <v>183.553548738999</v>
      </c>
      <c r="L655" s="35" t="n">
        <f aca="false">IF(L$43=0,($P$22*Quesería!$J$109+(1-$P$22)*Quesería!$E$105)*Quesería!$B$12*Quesería!$B$13/12*$P$23,(($P$22*Quesería!$J$109+(1-$P$22)*Quesería!$E$105)+($P$22*Quesería!$J$92+(1-$P$22)*Quesería!$E$92)*(L650-1))*IF(L$43=1,Quesería!$B$12,1))*$P$10</f>
        <v>183.617369018489</v>
      </c>
    </row>
    <row r="656" customFormat="false" ht="15" hidden="false" customHeight="false" outlineLevel="0" collapsed="false">
      <c r="A656" s="6" t="s">
        <v>261</v>
      </c>
      <c r="B656" s="35" t="n">
        <f aca="false">IF(B$43&lt;=1,0,((($P$22*Quesería!$J$110+(1-$P$22)*Quesería!$E$106)-($P$22*Quesería!$J$99+(1-$P$22)*Quesería!$E$99)+$P$6*($P$22*Quesería!$J$99+(1-$P$22)*Quesería!$E$99)-(1-$P$9)*($P$22*Quesería!$J$102+(1-$P$22)*Quesería!$E$102))+($P$6*($P$22*Quesería!$J$99+(1-$P$22)*Quesería!$E$99)+$P$9*($P$22*Quesería!$J$102+(1-$P$22)*Quesería!$E$102))*(B650-1))*IF(B$43=2,Quesería!$B$12,1)+IF(B$43=2,Quesería!$B$14*$P$9*($P$22*Quesería!$J$102+(1-$P$22)*Quesería!$E$102)*B650,0))*$P$10*$P$21</f>
        <v>0</v>
      </c>
      <c r="C656" s="35" t="n">
        <f aca="false">IF(C$43&lt;=1,0,((($P$22*Quesería!$J$110+(1-$P$22)*Quesería!$E$106)-($P$22*Quesería!$J$99+(1-$P$22)*Quesería!$E$99)+$P$6*($P$22*Quesería!$J$99+(1-$P$22)*Quesería!$E$99)-(1-$P$9)*($P$22*Quesería!$J$102+(1-$P$22)*Quesería!$E$102))+($P$6*($P$22*Quesería!$J$99+(1-$P$22)*Quesería!$E$99)+$P$9*($P$22*Quesería!$J$102+(1-$P$22)*Quesería!$E$102))*(C650-1))*IF(C$43=2,Quesería!$B$12,1)+IF(C$43=2,Quesería!$B$14*$P$9*($P$22*Quesería!$J$102+(1-$P$22)*Quesería!$E$102)*C650,0))*$P$10*$P$21</f>
        <v>0</v>
      </c>
      <c r="D656" s="35" t="n">
        <f aca="false">IF(D$43&lt;=1,0,((($P$22*Quesería!$J$110+(1-$P$22)*Quesería!$E$106)-($P$22*Quesería!$J$99+(1-$P$22)*Quesería!$E$99)+$P$6*($P$22*Quesería!$J$99+(1-$P$22)*Quesería!$E$99)-(1-$P$9)*($P$22*Quesería!$J$102+(1-$P$22)*Quesería!$E$102))+($P$6*($P$22*Quesería!$J$99+(1-$P$22)*Quesería!$E$99)+$P$9*($P$22*Quesería!$J$102+(1-$P$22)*Quesería!$E$102))*(D650-1))*IF(D$43=2,Quesería!$B$12,1)+IF(D$43=2,Quesería!$B$14*$P$9*($P$22*Quesería!$J$102+(1-$P$22)*Quesería!$E$102)*D650,0))*$P$10*$P$21</f>
        <v>199.044402919748</v>
      </c>
      <c r="E656" s="35" t="n">
        <f aca="false">IF(E$43&lt;=1,0,((($P$22*Quesería!$J$110+(1-$P$22)*Quesería!$E$106)-($P$22*Quesería!$J$99+(1-$P$22)*Quesería!$E$99)+$P$6*($P$22*Quesería!$J$99+(1-$P$22)*Quesería!$E$99)-(1-$P$9)*($P$22*Quesería!$J$102+(1-$P$22)*Quesería!$E$102))+($P$6*($P$22*Quesería!$J$99+(1-$P$22)*Quesería!$E$99)+$P$9*($P$22*Quesería!$J$102+(1-$P$22)*Quesería!$E$102))*(E650-1))*IF(E$43=2,Quesería!$B$12,1)+IF(E$43=2,Quesería!$B$14*$P$9*($P$22*Quesería!$J$102+(1-$P$22)*Quesería!$E$102)*E650,0))*$P$10*$P$21</f>
        <v>235.645090355575</v>
      </c>
      <c r="F656" s="35" t="n">
        <f aca="false">IF(F$43&lt;=1,0,((($P$22*Quesería!$J$110+(1-$P$22)*Quesería!$E$106)-($P$22*Quesería!$J$99+(1-$P$22)*Quesería!$E$99)+$P$6*($P$22*Quesería!$J$99+(1-$P$22)*Quesería!$E$99)-(1-$P$9)*($P$22*Quesería!$J$102+(1-$P$22)*Quesería!$E$102))+($P$6*($P$22*Quesería!$J$99+(1-$P$22)*Quesería!$E$99)+$P$9*($P$22*Quesería!$J$102+(1-$P$22)*Quesería!$E$102))*(F650-1))*IF(F$43=2,Quesería!$B$12,1)+IF(F$43=2,Quesería!$B$14*$P$9*($P$22*Quesería!$J$102+(1-$P$22)*Quesería!$E$102)*F650,0))*$P$10*$P$21</f>
        <v>236.086245835373</v>
      </c>
      <c r="G656" s="35" t="n">
        <f aca="false">IF(G$43&lt;=1,0,((($P$22*Quesería!$J$110+(1-$P$22)*Quesería!$E$106)-($P$22*Quesería!$J$99+(1-$P$22)*Quesería!$E$99)+$P$6*($P$22*Quesería!$J$99+(1-$P$22)*Quesería!$E$99)-(1-$P$9)*($P$22*Quesería!$J$102+(1-$P$22)*Quesería!$E$102))+($P$6*($P$22*Quesería!$J$99+(1-$P$22)*Quesería!$E$99)+$P$9*($P$22*Quesería!$J$102+(1-$P$22)*Quesería!$E$102))*(G650-1))*IF(G$43=2,Quesería!$B$12,1)+IF(G$43=2,Quesería!$B$14*$P$9*($P$22*Quesería!$J$102+(1-$P$22)*Quesería!$E$102)*G650,0))*$P$10*$P$21</f>
        <v>236.529607092569</v>
      </c>
      <c r="H656" s="35" t="n">
        <f aca="false">IF(H$43&lt;=1,0,((($P$22*Quesería!$J$110+(1-$P$22)*Quesería!$E$106)-($P$22*Quesería!$J$99+(1-$P$22)*Quesería!$E$99)+$P$6*($P$22*Quesería!$J$99+(1-$P$22)*Quesería!$E$99)-(1-$P$9)*($P$22*Quesería!$J$102+(1-$P$22)*Quesería!$E$102))+($P$6*($P$22*Quesería!$J$99+(1-$P$22)*Quesería!$E$99)+$P$9*($P$22*Quesería!$J$102+(1-$P$22)*Quesería!$E$102))*(H650-1))*IF(H$43=2,Quesería!$B$12,1)+IF(H$43=2,Quesería!$B$14*$P$9*($P$22*Quesería!$J$102+(1-$P$22)*Quesería!$E$102)*H650,0))*$P$10*$P$21</f>
        <v>236.975185156051</v>
      </c>
      <c r="I656" s="35" t="n">
        <f aca="false">IF(I$43&lt;=1,0,((($P$22*Quesería!$J$110+(1-$P$22)*Quesería!$E$106)-($P$22*Quesería!$J$99+(1-$P$22)*Quesería!$E$99)+$P$6*($P$22*Quesería!$J$99+(1-$P$22)*Quesería!$E$99)-(1-$P$9)*($P$22*Quesería!$J$102+(1-$P$22)*Quesería!$E$102))+($P$6*($P$22*Quesería!$J$99+(1-$P$22)*Quesería!$E$99)+$P$9*($P$22*Quesería!$J$102+(1-$P$22)*Quesería!$E$102))*(I650-1))*IF(I$43=2,Quesería!$B$12,1)+IF(I$43=2,Quesería!$B$14*$P$9*($P$22*Quesería!$J$102+(1-$P$22)*Quesería!$E$102)*I650,0))*$P$10*$P$21</f>
        <v>237.42299110985</v>
      </c>
      <c r="J656" s="35" t="n">
        <f aca="false">IF(J$43&lt;=1,0,((($P$22*Quesería!$J$110+(1-$P$22)*Quesería!$E$106)-($P$22*Quesería!$J$99+(1-$P$22)*Quesería!$E$99)+$P$6*($P$22*Quesería!$J$99+(1-$P$22)*Quesería!$E$99)-(1-$P$9)*($P$22*Quesería!$J$102+(1-$P$22)*Quesería!$E$102))+($P$6*($P$22*Quesería!$J$99+(1-$P$22)*Quesería!$E$99)+$P$9*($P$22*Quesería!$J$102+(1-$P$22)*Quesería!$E$102))*(J650-1))*IF(J$43=2,Quesería!$B$12,1)+IF(J$43=2,Quesería!$B$14*$P$9*($P$22*Quesería!$J$102+(1-$P$22)*Quesería!$E$102)*J650,0))*$P$10*$P$21</f>
        <v>237.873036093419</v>
      </c>
      <c r="K656" s="35" t="n">
        <f aca="false">IF(K$43&lt;=1,0,((($P$22*Quesería!$J$110+(1-$P$22)*Quesería!$E$106)-($P$22*Quesería!$J$99+(1-$P$22)*Quesería!$E$99)+$P$6*($P$22*Quesería!$J$99+(1-$P$22)*Quesería!$E$99)-(1-$P$9)*($P$22*Quesería!$J$102+(1-$P$22)*Quesería!$E$102))+($P$6*($P$22*Quesería!$J$99+(1-$P$22)*Quesería!$E$99)+$P$9*($P$22*Quesería!$J$102+(1-$P$22)*Quesería!$E$102))*(K650-1))*IF(K$43=2,Quesería!$B$12,1)+IF(K$43=2,Quesería!$B$14*$P$9*($P$22*Quesería!$J$102+(1-$P$22)*Quesería!$E$102)*K650,0))*$P$10*$P$21</f>
        <v>238.325331301905</v>
      </c>
      <c r="L656" s="35" t="n">
        <f aca="false">IF(L$43&lt;=1,0,((($P$22*Quesería!$J$110+(1-$P$22)*Quesería!$E$106)-($P$22*Quesería!$J$99+(1-$P$22)*Quesería!$E$99)+$P$6*($P$22*Quesería!$J$99+(1-$P$22)*Quesería!$E$99)-(1-$P$9)*($P$22*Quesería!$J$102+(1-$P$22)*Quesería!$E$102))+($P$6*($P$22*Quesería!$J$99+(1-$P$22)*Quesería!$E$99)+$P$9*($P$22*Quesería!$J$102+(1-$P$22)*Quesería!$E$102))*(L650-1))*IF(L$43=2,Quesería!$B$12,1)+IF(L$43=2,Quesería!$B$14*$P$9*($P$22*Quesería!$J$102+(1-$P$22)*Quesería!$E$102)*L650,0))*$P$10*$P$21</f>
        <v>238.779887986434</v>
      </c>
    </row>
    <row r="657" customFormat="false" ht="15" hidden="false" customHeight="false" outlineLevel="0" collapsed="false">
      <c r="A657" s="5" t="s">
        <v>287</v>
      </c>
      <c r="B657" s="10" t="n">
        <f aca="false">B655+B656</f>
        <v>45.6373732102639</v>
      </c>
      <c r="C657" s="10" t="n">
        <f aca="false">C655+C656</f>
        <v>137.290713970414</v>
      </c>
      <c r="D657" s="10" t="n">
        <f aca="false">D655+D656</f>
        <v>382.160012175897</v>
      </c>
      <c r="E657" s="10" t="n">
        <f aca="false">E655+E656</f>
        <v>418.822330193801</v>
      </c>
      <c r="F657" s="10" t="n">
        <f aca="false">F655+F656</f>
        <v>419.325424408584</v>
      </c>
      <c r="G657" s="10" t="n">
        <f aca="false">G655+G656</f>
        <v>419.831034094441</v>
      </c>
      <c r="H657" s="10" t="n">
        <f aca="false">H655+H656</f>
        <v>420.339171828727</v>
      </c>
      <c r="I657" s="10" t="n">
        <f aca="false">I655+I656</f>
        <v>420.849850251685</v>
      </c>
      <c r="J657" s="10" t="n">
        <f aca="false">J655+J656</f>
        <v>421.363082066757</v>
      </c>
      <c r="K657" s="10" t="n">
        <f aca="false">K655+K656</f>
        <v>421.878880040905</v>
      </c>
      <c r="L657" s="10" t="n">
        <f aca="false">L655+L656</f>
        <v>422.397257004923</v>
      </c>
    </row>
    <row r="658" customFormat="false" ht="15" hidden="false" customHeight="false" outlineLevel="0" collapsed="false">
      <c r="A658" s="6" t="s">
        <v>288</v>
      </c>
      <c r="B658" s="35" t="n">
        <f aca="false">(IF(B$43&gt;=1,(Quesería!$B$21+Quesería!$B$54)*Quesería!$F$82*$P$11+Quesería!$B$22+'Beneficios y costos'!$B$118,0)+IF(B$43&gt;=2,((Quesería!$B$21+Quesería!$B$54)*Quesería!$F$83*$P$11+'Beneficios y costos'!$C$118)*$P$21,0))*$P$12</f>
        <v>0</v>
      </c>
      <c r="C658" s="35" t="n">
        <f aca="false">(IF(C$43&gt;=1,(Quesería!$B$21+Quesería!$B$54)*Quesería!$F$82*$P$11+Quesería!$B$22+'Beneficios y costos'!$B$118,0)+IF(C$43&gt;=2,((Quesería!$B$21+Quesería!$B$54)*Quesería!$F$83*$P$11+'Beneficios y costos'!$C$118)*$P$21,0))*$P$12</f>
        <v>36.8921528634167</v>
      </c>
      <c r="D658" s="35" t="n">
        <f aca="false">(IF(D$43&gt;=1,(Quesería!$B$21+Quesería!$B$54)*Quesería!$F$82*$P$11+Quesería!$B$22+'Beneficios y costos'!$B$118,0)+IF(D$43&gt;=2,((Quesería!$B$21+Quesería!$B$54)*Quesería!$F$83*$P$11+'Beneficios y costos'!$C$118)*$P$21,0))*$P$12</f>
        <v>88.8065043646377</v>
      </c>
      <c r="E658" s="35" t="n">
        <f aca="false">(IF(E$43&gt;=1,(Quesería!$B$21+Quesería!$B$54)*Quesería!$F$82*$P$11+Quesería!$B$22+'Beneficios y costos'!$B$118,0)+IF(E$43&gt;=2,((Quesería!$B$21+Quesería!$B$54)*Quesería!$F$83*$P$11+'Beneficios y costos'!$C$118)*$P$21,0))*$P$12</f>
        <v>88.8065043646377</v>
      </c>
      <c r="F658" s="35" t="n">
        <f aca="false">(IF(F$43&gt;=1,(Quesería!$B$21+Quesería!$B$54)*Quesería!$F$82*$P$11+Quesería!$B$22+'Beneficios y costos'!$B$118,0)+IF(F$43&gt;=2,((Quesería!$B$21+Quesería!$B$54)*Quesería!$F$83*$P$11+'Beneficios y costos'!$C$118)*$P$21,0))*$P$12</f>
        <v>88.8065043646377</v>
      </c>
      <c r="G658" s="35" t="n">
        <f aca="false">(IF(G$43&gt;=1,(Quesería!$B$21+Quesería!$B$54)*Quesería!$F$82*$P$11+Quesería!$B$22+'Beneficios y costos'!$B$118,0)+IF(G$43&gt;=2,((Quesería!$B$21+Quesería!$B$54)*Quesería!$F$83*$P$11+'Beneficios y costos'!$C$118)*$P$21,0))*$P$12</f>
        <v>88.8065043646377</v>
      </c>
      <c r="H658" s="35" t="n">
        <f aca="false">(IF(H$43&gt;=1,(Quesería!$B$21+Quesería!$B$54)*Quesería!$F$82*$P$11+Quesería!$B$22+'Beneficios y costos'!$B$118,0)+IF(H$43&gt;=2,((Quesería!$B$21+Quesería!$B$54)*Quesería!$F$83*$P$11+'Beneficios y costos'!$C$118)*$P$21,0))*$P$12</f>
        <v>88.8065043646377</v>
      </c>
      <c r="I658" s="35" t="n">
        <f aca="false">(IF(I$43&gt;=1,(Quesería!$B$21+Quesería!$B$54)*Quesería!$F$82*$P$11+Quesería!$B$22+'Beneficios y costos'!$B$118,0)+IF(I$43&gt;=2,((Quesería!$B$21+Quesería!$B$54)*Quesería!$F$83*$P$11+'Beneficios y costos'!$C$118)*$P$21,0))*$P$12</f>
        <v>88.8065043646377</v>
      </c>
      <c r="J658" s="35" t="n">
        <f aca="false">(IF(J$43&gt;=1,(Quesería!$B$21+Quesería!$B$54)*Quesería!$F$82*$P$11+Quesería!$B$22+'Beneficios y costos'!$B$118,0)+IF(J$43&gt;=2,((Quesería!$B$21+Quesería!$B$54)*Quesería!$F$83*$P$11+'Beneficios y costos'!$C$118)*$P$21,0))*$P$12</f>
        <v>88.8065043646377</v>
      </c>
      <c r="K658" s="35" t="n">
        <f aca="false">(IF(K$43&gt;=1,(Quesería!$B$21+Quesería!$B$54)*Quesería!$F$82*$P$11+Quesería!$B$22+'Beneficios y costos'!$B$118,0)+IF(K$43&gt;=2,((Quesería!$B$21+Quesería!$B$54)*Quesería!$F$83*$P$11+'Beneficios y costos'!$C$118)*$P$21,0))*$P$12</f>
        <v>88.8065043646377</v>
      </c>
      <c r="L658" s="35" t="n">
        <f aca="false">(IF(L$43&gt;=1,(Quesería!$B$21+Quesería!$B$54)*Quesería!$F$82*$P$11+Quesería!$B$22+'Beneficios y costos'!$B$118,0)+IF(L$43&gt;=2,((Quesería!$B$21+Quesería!$B$54)*Quesería!$F$83*$P$11+'Beneficios y costos'!$C$118)*$P$21,0))*$P$12</f>
        <v>88.8065043646377</v>
      </c>
    </row>
    <row r="659" customFormat="false" ht="15" hidden="false" customHeight="false" outlineLevel="0" collapsed="false">
      <c r="A659" s="6" t="s">
        <v>289</v>
      </c>
      <c r="B659" s="35" t="n">
        <f aca="false">IF(B$43=1,2*Quesería!$B$33*Quesería!$B$34/12*B650,0)*$P$21</f>
        <v>0</v>
      </c>
      <c r="C659" s="35" t="n">
        <f aca="false">IF(C$43=1,2*Quesería!$B$33*Quesería!$B$34/12*C650,0)*$P$21</f>
        <v>18.772641509434</v>
      </c>
      <c r="D659" s="35" t="n">
        <f aca="false">IF(D$43=1,2*Quesería!$B$33*Quesería!$B$34/12*D650,0)*$P$21</f>
        <v>0</v>
      </c>
      <c r="E659" s="35" t="n">
        <f aca="false">IF(E$43=1,2*Quesería!$B$33*Quesería!$B$34/12*E650,0)*$P$21</f>
        <v>0</v>
      </c>
      <c r="F659" s="35" t="n">
        <f aca="false">IF(F$43=1,2*Quesería!$B$33*Quesería!$B$34/12*F650,0)*$P$21</f>
        <v>0</v>
      </c>
      <c r="G659" s="35" t="n">
        <f aca="false">IF(G$43=1,2*Quesería!$B$33*Quesería!$B$34/12*G650,0)*$P$21</f>
        <v>0</v>
      </c>
      <c r="H659" s="35" t="n">
        <f aca="false">IF(H$43=1,2*Quesería!$B$33*Quesería!$B$34/12*H650,0)*$P$21</f>
        <v>0</v>
      </c>
      <c r="I659" s="35" t="n">
        <f aca="false">IF(I$43=1,2*Quesería!$B$33*Quesería!$B$34/12*I650,0)*$P$21</f>
        <v>0</v>
      </c>
      <c r="J659" s="35" t="n">
        <f aca="false">IF(J$43=1,2*Quesería!$B$33*Quesería!$B$34/12*J650,0)*$P$21</f>
        <v>0</v>
      </c>
      <c r="K659" s="35" t="n">
        <f aca="false">IF(K$43=1,2*Quesería!$B$33*Quesería!$B$34/12*K650,0)*$P$21</f>
        <v>0</v>
      </c>
      <c r="L659" s="35" t="n">
        <f aca="false">IF(L$43=1,2*Quesería!$B$33*Quesería!$B$34/12*L650,0)*$P$21</f>
        <v>0</v>
      </c>
    </row>
    <row r="660" customFormat="false" ht="15" hidden="false" customHeight="false" outlineLevel="0" collapsed="false">
      <c r="A660" s="6" t="s">
        <v>290</v>
      </c>
      <c r="B660" s="35" t="n">
        <f aca="false">Quesería!$B$45*(B652+B653+B654+B658+B659)</f>
        <v>2.88636599924197</v>
      </c>
      <c r="C660" s="35" t="n">
        <f aca="false">Quesería!$B$45*(C652+C653+C654+C658+C659)</f>
        <v>3.29414479912564</v>
      </c>
      <c r="D660" s="35" t="n">
        <f aca="false">Quesería!$B$45*(D652+D653+D654+D658+D659)</f>
        <v>0.355226017458551</v>
      </c>
      <c r="E660" s="35" t="n">
        <f aca="false">Quesería!$B$45*(E652+E653+E654+E658+E659)</f>
        <v>0.355226017458551</v>
      </c>
      <c r="F660" s="35" t="n">
        <f aca="false">Quesería!$B$45*(F652+F653+F654+F658+F659)</f>
        <v>0.355226017458551</v>
      </c>
      <c r="G660" s="35" t="n">
        <f aca="false">Quesería!$B$45*(G652+G653+G654+G658+G659)</f>
        <v>0.482159350791884</v>
      </c>
      <c r="H660" s="35" t="n">
        <f aca="false">Quesería!$B$45*(H652+H653+H654+H658+H659)</f>
        <v>0.523275690008284</v>
      </c>
      <c r="I660" s="35" t="n">
        <f aca="false">Quesería!$B$45*(I652+I653+I654+I658+I659)</f>
        <v>0.355226017458551</v>
      </c>
      <c r="J660" s="35" t="n">
        <f aca="false">Quesería!$B$45*(J652+J653+J654+J658+J659)</f>
        <v>0.355226017458551</v>
      </c>
      <c r="K660" s="35" t="n">
        <f aca="false">Quesería!$B$45*(K652+K653+K654+K658+K659)</f>
        <v>0.355226017458551</v>
      </c>
      <c r="L660" s="35" t="n">
        <f aca="false">Quesería!$B$45*(L652+L653+L654+L658+L659)</f>
        <v>0.355226017458551</v>
      </c>
    </row>
    <row r="661" customFormat="false" ht="15" hidden="false" customHeight="false" outlineLevel="0" collapsed="false">
      <c r="A661" s="6" t="s">
        <v>291</v>
      </c>
      <c r="B661" s="35" t="n">
        <f aca="false">(IF($P$19=1,(SUMPRODUCT((Quesería!$C$62:$C$77=0)*(Quesería!$J$62:$J$77&gt;0)*(B$43&gt;=1)*(B$43&lt;=Quesería!$J$62:$J$77)*(Quesería!$H$62:$H$77&gt;0)*Quesería!$F$62:$F$77*(1+Quesería!$I$62:$I$77)/(Quesería!$J$62:$J$77+(Quesería!$J$62:$J$77=0)))+SUMPRODUCT((Quesería!$C$62:$C$77=0)*(Quesería!$J$62:$J$77=0)*(B$43=0)*(Quesería!$H$62:$H$77&gt;0)*Quesería!$F$62:$F$77*(1+Quesería!$I$62:$I$77)))*$B$649+(SUMPRODUCT((Quesería!$C$62:$C$77=1)*(Quesería!$J$62:$J$77&gt;0)*(B$43&gt;=2)*(B$43&lt;=Quesería!$J$62:$J$77+1)*(Quesería!$H$62:$H$77&gt;0)*Quesería!$F$62:$F$77*(1+Quesería!$I$62:$I$77)/(Quesería!$J$62:$J$77+(Quesería!$J$62:$J$77=0)))+SUMPRODUCT((Quesería!$C$62:$C$77=1)*(Quesería!$J$62:$J$77=0)*(B$43=1)*(Quesería!$H$62:$H$77&gt;0)*Quesería!$F$62:$F$77*(1+Quesería!$I$62:$I$77)))*$C$649*$P$21,IF(AND(B$43&gt;=1,B$43&lt;=Quesería!$B$11),Quesería!$F$80/Quesería!$B$11,0)*$B$649+IF(AND(B$43&gt;=2,B$43&lt;=Quesería!$B$11+1),Quesería!$F$81/Quesería!$B$11,0)*$C$649*$P$21)*$P$11+IF(AND(B$43&gt;=6,B$43&lt;=10),$G653*$G649/5,0)+IF(AND(B$43&gt;=7,B$43&lt;=11),$H653*$H649/5,0))*B651</f>
        <v>99.3600691219113</v>
      </c>
      <c r="C661" s="35" t="n">
        <f aca="false">(IF($P$19=1,(SUMPRODUCT((Quesería!$C$62:$C$77=0)*(Quesería!$J$62:$J$77&gt;0)*(C$43&gt;=1)*(C$43&lt;=Quesería!$J$62:$J$77)*(Quesería!$H$62:$H$77&gt;0)*Quesería!$F$62:$F$77*(1+Quesería!$I$62:$I$77)/(Quesería!$J$62:$J$77+(Quesería!$J$62:$J$77=0)))+SUMPRODUCT((Quesería!$C$62:$C$77=0)*(Quesería!$J$62:$J$77=0)*(C$43=0)*(Quesería!$H$62:$H$77&gt;0)*Quesería!$F$62:$F$77*(1+Quesería!$I$62:$I$77)))*$B$649+(SUMPRODUCT((Quesería!$C$62:$C$77=1)*(Quesería!$J$62:$J$77&gt;0)*(C$43&gt;=2)*(C$43&lt;=Quesería!$J$62:$J$77+1)*(Quesería!$H$62:$H$77&gt;0)*Quesería!$F$62:$F$77*(1+Quesería!$I$62:$I$77)/(Quesería!$J$62:$J$77+(Quesería!$J$62:$J$77=0)))+SUMPRODUCT((Quesería!$C$62:$C$77=1)*(Quesería!$J$62:$J$77=0)*(C$43=1)*(Quesería!$H$62:$H$77&gt;0)*Quesería!$F$62:$F$77*(1+Quesería!$I$62:$I$77)))*$C$649*$P$21,IF(AND(C$43&gt;=1,C$43&lt;=Quesería!$B$11),Quesería!$F$80/Quesería!$B$11,0)*$B$649+IF(AND(C$43&gt;=2,C$43&lt;=Quesería!$B$11+1),Quesería!$F$81/Quesería!$B$11,0)*$C$649*$P$21)*$P$11+IF(AND(C$43&gt;=6,C$43&lt;=10),$G653*$G649/5,0)+IF(AND(C$43&gt;=7,C$43&lt;=11),$H653*$H649/5,0))*C651</f>
        <v>57.1000211302053</v>
      </c>
      <c r="D661" s="35" t="n">
        <f aca="false">(IF($P$19=1,(SUMPRODUCT((Quesería!$C$62:$C$77=0)*(Quesería!$J$62:$J$77&gt;0)*(D$43&gt;=1)*(D$43&lt;=Quesería!$J$62:$J$77)*(Quesería!$H$62:$H$77&gt;0)*Quesería!$F$62:$F$77*(1+Quesería!$I$62:$I$77)/(Quesería!$J$62:$J$77+(Quesería!$J$62:$J$77=0)))+SUMPRODUCT((Quesería!$C$62:$C$77=0)*(Quesería!$J$62:$J$77=0)*(D$43=0)*(Quesería!$H$62:$H$77&gt;0)*Quesería!$F$62:$F$77*(1+Quesería!$I$62:$I$77)))*$B$649+(SUMPRODUCT((Quesería!$C$62:$C$77=1)*(Quesería!$J$62:$J$77&gt;0)*(D$43&gt;=2)*(D$43&lt;=Quesería!$J$62:$J$77+1)*(Quesería!$H$62:$H$77&gt;0)*Quesería!$F$62:$F$77*(1+Quesería!$I$62:$I$77)/(Quesería!$J$62:$J$77+(Quesería!$J$62:$J$77=0)))+SUMPRODUCT((Quesería!$C$62:$C$77=1)*(Quesería!$J$62:$J$77=0)*(D$43=1)*(Quesería!$H$62:$H$77&gt;0)*Quesería!$F$62:$F$77*(1+Quesería!$I$62:$I$77)))*$C$649*$P$21,IF(AND(D$43&gt;=1,D$43&lt;=Quesería!$B$11),Quesería!$F$80/Quesería!$B$11,0)*$B$649+IF(AND(D$43&gt;=2,D$43&lt;=Quesería!$B$11+1),Quesería!$F$81/Quesería!$B$11,0)*$C$649*$P$21)*$P$11+IF(AND(D$43&gt;=6,D$43&lt;=10),$G653*$G649/5,0)+IF(AND(D$43&gt;=7,D$43&lt;=11),$H653*$H649/5,0))*D651</f>
        <v>116.389502380926</v>
      </c>
      <c r="E661" s="35" t="n">
        <f aca="false">(IF($P$19=1,(SUMPRODUCT((Quesería!$C$62:$C$77=0)*(Quesería!$J$62:$J$77&gt;0)*(E$43&gt;=1)*(E$43&lt;=Quesería!$J$62:$J$77)*(Quesería!$H$62:$H$77&gt;0)*Quesería!$F$62:$F$77*(1+Quesería!$I$62:$I$77)/(Quesería!$J$62:$J$77+(Quesería!$J$62:$J$77=0)))+SUMPRODUCT((Quesería!$C$62:$C$77=0)*(Quesería!$J$62:$J$77=0)*(E$43=0)*(Quesería!$H$62:$H$77&gt;0)*Quesería!$F$62:$F$77*(1+Quesería!$I$62:$I$77)))*$B$649+(SUMPRODUCT((Quesería!$C$62:$C$77=1)*(Quesería!$J$62:$J$77&gt;0)*(E$43&gt;=2)*(E$43&lt;=Quesería!$J$62:$J$77+1)*(Quesería!$H$62:$H$77&gt;0)*Quesería!$F$62:$F$77*(1+Quesería!$I$62:$I$77)/(Quesería!$J$62:$J$77+(Quesería!$J$62:$J$77=0)))+SUMPRODUCT((Quesería!$C$62:$C$77=1)*(Quesería!$J$62:$J$77=0)*(E$43=1)*(Quesería!$H$62:$H$77&gt;0)*Quesería!$F$62:$F$77*(1+Quesería!$I$62:$I$77)))*$C$649*$P$21,IF(AND(E$43&gt;=1,E$43&lt;=Quesería!$B$11),Quesería!$F$80/Quesería!$B$11,0)*$B$649+IF(AND(E$43&gt;=2,E$43&lt;=Quesería!$B$11+1),Quesería!$F$81/Quesería!$B$11,0)*$C$649*$P$21)*$P$11+IF(AND(E$43&gt;=6,E$43&lt;=10),$G653*$G649/5,0)+IF(AND(E$43&gt;=7,E$43&lt;=11),$H653*$H649/5,0))*E651</f>
        <v>111.912983058583</v>
      </c>
      <c r="F661" s="35" t="n">
        <f aca="false">(IF($P$19=1,(SUMPRODUCT((Quesería!$C$62:$C$77=0)*(Quesería!$J$62:$J$77&gt;0)*(F$43&gt;=1)*(F$43&lt;=Quesería!$J$62:$J$77)*(Quesería!$H$62:$H$77&gt;0)*Quesería!$F$62:$F$77*(1+Quesería!$I$62:$I$77)/(Quesería!$J$62:$J$77+(Quesería!$J$62:$J$77=0)))+SUMPRODUCT((Quesería!$C$62:$C$77=0)*(Quesería!$J$62:$J$77=0)*(F$43=0)*(Quesería!$H$62:$H$77&gt;0)*Quesería!$F$62:$F$77*(1+Quesería!$I$62:$I$77)))*$B$649+(SUMPRODUCT((Quesería!$C$62:$C$77=1)*(Quesería!$J$62:$J$77&gt;0)*(F$43&gt;=2)*(F$43&lt;=Quesería!$J$62:$J$77+1)*(Quesería!$H$62:$H$77&gt;0)*Quesería!$F$62:$F$77*(1+Quesería!$I$62:$I$77)/(Quesería!$J$62:$J$77+(Quesería!$J$62:$J$77=0)))+SUMPRODUCT((Quesería!$C$62:$C$77=1)*(Quesería!$J$62:$J$77=0)*(F$43=1)*(Quesería!$H$62:$H$77&gt;0)*Quesería!$F$62:$F$77*(1+Quesería!$I$62:$I$77)))*$C$649*$P$21,IF(AND(F$43&gt;=1,F$43&lt;=Quesería!$B$11),Quesería!$F$80/Quesería!$B$11,0)*$B$649+IF(AND(F$43&gt;=2,F$43&lt;=Quesería!$B$11+1),Quesería!$F$81/Quesería!$B$11,0)*$C$649*$P$21)*$P$11+IF(AND(F$43&gt;=6,F$43&lt;=10),$G653*$G649/5,0)+IF(AND(F$43&gt;=7,F$43&lt;=11),$H653*$H649/5,0))*F651</f>
        <v>107.608637556329</v>
      </c>
      <c r="G661" s="35" t="n">
        <f aca="false">(IF($P$19=1,(SUMPRODUCT((Quesería!$C$62:$C$77=0)*(Quesería!$J$62:$J$77&gt;0)*(G$43&gt;=1)*(G$43&lt;=Quesería!$J$62:$J$77)*(Quesería!$H$62:$H$77&gt;0)*Quesería!$F$62:$F$77*(1+Quesería!$I$62:$I$77)/(Quesería!$J$62:$J$77+(Quesería!$J$62:$J$77=0)))+SUMPRODUCT((Quesería!$C$62:$C$77=0)*(Quesería!$J$62:$J$77=0)*(G$43=0)*(Quesería!$H$62:$H$77&gt;0)*Quesería!$F$62:$F$77*(1+Quesería!$I$62:$I$77)))*$B$649+(SUMPRODUCT((Quesería!$C$62:$C$77=1)*(Quesería!$J$62:$J$77&gt;0)*(G$43&gt;=2)*(G$43&lt;=Quesería!$J$62:$J$77+1)*(Quesería!$H$62:$H$77&gt;0)*Quesería!$F$62:$F$77*(1+Quesería!$I$62:$I$77)/(Quesería!$J$62:$J$77+(Quesería!$J$62:$J$77=0)))+SUMPRODUCT((Quesería!$C$62:$C$77=1)*(Quesería!$J$62:$J$77=0)*(G$43=1)*(Quesería!$H$62:$H$77&gt;0)*Quesería!$F$62:$F$77*(1+Quesería!$I$62:$I$77)))*$C$649*$P$21,IF(AND(G$43&gt;=1,G$43&lt;=Quesería!$B$11),Quesería!$F$80/Quesería!$B$11,0)*$B$649+IF(AND(G$43&gt;=2,G$43&lt;=Quesería!$B$11+1),Quesería!$F$81/Quesería!$B$11,0)*$C$649*$P$21)*$P$11+IF(AND(G$43&gt;=6,G$43&lt;=10),$G653*$G649/5,0)+IF(AND(G$43&gt;=7,G$43&lt;=11),$H653*$H649/5,0))*G651</f>
        <v>103.469843804163</v>
      </c>
      <c r="H661" s="35" t="n">
        <f aca="false">(IF($P$19=1,(SUMPRODUCT((Quesería!$C$62:$C$77=0)*(Quesería!$J$62:$J$77&gt;0)*(H$43&gt;=1)*(H$43&lt;=Quesería!$J$62:$J$77)*(Quesería!$H$62:$H$77&gt;0)*Quesería!$F$62:$F$77*(1+Quesería!$I$62:$I$77)/(Quesería!$J$62:$J$77+(Quesería!$J$62:$J$77=0)))+SUMPRODUCT((Quesería!$C$62:$C$77=0)*(Quesería!$J$62:$J$77=0)*(H$43=0)*(Quesería!$H$62:$H$77&gt;0)*Quesería!$F$62:$F$77*(1+Quesería!$I$62:$I$77)))*$B$649+(SUMPRODUCT((Quesería!$C$62:$C$77=1)*(Quesería!$J$62:$J$77&gt;0)*(H$43&gt;=2)*(H$43&lt;=Quesería!$J$62:$J$77+1)*(Quesería!$H$62:$H$77&gt;0)*Quesería!$F$62:$F$77*(1+Quesería!$I$62:$I$77)/(Quesería!$J$62:$J$77+(Quesería!$J$62:$J$77=0)))+SUMPRODUCT((Quesería!$C$62:$C$77=1)*(Quesería!$J$62:$J$77=0)*(H$43=1)*(Quesería!$H$62:$H$77&gt;0)*Quesería!$F$62:$F$77*(1+Quesería!$I$62:$I$77)))*$C$649*$P$21,IF(AND(H$43&gt;=1,H$43&lt;=Quesería!$B$11),Quesería!$F$80/Quesería!$B$11,0)*$B$649+IF(AND(H$43&gt;=2,H$43&lt;=Quesería!$B$11+1),Quesería!$F$81/Quesería!$B$11,0)*$C$649*$P$21)*$P$11+IF(AND(H$43&gt;=6,H$43&lt;=10),$G653*$G649/5,0)+IF(AND(H$43&gt;=7,H$43&lt;=11),$H653*$H649/5,0))*H651</f>
        <v>92.6731239063542</v>
      </c>
      <c r="I661" s="35" t="n">
        <f aca="false">(IF($P$19=1,(SUMPRODUCT((Quesería!$C$62:$C$77=0)*(Quesería!$J$62:$J$77&gt;0)*(I$43&gt;=1)*(I$43&lt;=Quesería!$J$62:$J$77)*(Quesería!$H$62:$H$77&gt;0)*Quesería!$F$62:$F$77*(1+Quesería!$I$62:$I$77)/(Quesería!$J$62:$J$77+(Quesería!$J$62:$J$77=0)))+SUMPRODUCT((Quesería!$C$62:$C$77=0)*(Quesería!$J$62:$J$77=0)*(I$43=0)*(Quesería!$H$62:$H$77&gt;0)*Quesería!$F$62:$F$77*(1+Quesería!$I$62:$I$77)))*$B$649+(SUMPRODUCT((Quesería!$C$62:$C$77=1)*(Quesería!$J$62:$J$77&gt;0)*(I$43&gt;=2)*(I$43&lt;=Quesería!$J$62:$J$77+1)*(Quesería!$H$62:$H$77&gt;0)*Quesería!$F$62:$F$77*(1+Quesería!$I$62:$I$77)/(Quesería!$J$62:$J$77+(Quesería!$J$62:$J$77=0)))+SUMPRODUCT((Quesería!$C$62:$C$77=1)*(Quesería!$J$62:$J$77=0)*(I$43=1)*(Quesería!$H$62:$H$77&gt;0)*Quesería!$F$62:$F$77*(1+Quesería!$I$62:$I$77)))*$C$649*$P$21,IF(AND(I$43&gt;=1,I$43&lt;=Quesería!$B$11),Quesería!$F$80/Quesería!$B$11,0)*$B$649+IF(AND(I$43&gt;=2,I$43&lt;=Quesería!$B$11+1),Quesería!$F$81/Quesería!$B$11,0)*$C$649*$P$21)*$P$11+IF(AND(I$43&gt;=6,I$43&lt;=10),$G653*$G649/5,0)+IF(AND(I$43&gt;=7,I$43&lt;=11),$H653*$H649/5,0))*I651</f>
        <v>95.8981101131611</v>
      </c>
      <c r="J661" s="35" t="n">
        <f aca="false">(IF($P$19=1,(SUMPRODUCT((Quesería!$C$62:$C$77=0)*(Quesería!$J$62:$J$77&gt;0)*(J$43&gt;=1)*(J$43&lt;=Quesería!$J$62:$J$77)*(Quesería!$H$62:$H$77&gt;0)*Quesería!$F$62:$F$77*(1+Quesería!$I$62:$I$77)/(Quesería!$J$62:$J$77+(Quesería!$J$62:$J$77=0)))+SUMPRODUCT((Quesería!$C$62:$C$77=0)*(Quesería!$J$62:$J$77=0)*(J$43=0)*(Quesería!$H$62:$H$77&gt;0)*Quesería!$F$62:$F$77*(1+Quesería!$I$62:$I$77)))*$B$649+(SUMPRODUCT((Quesería!$C$62:$C$77=1)*(Quesería!$J$62:$J$77&gt;0)*(J$43&gt;=2)*(J$43&lt;=Quesería!$J$62:$J$77+1)*(Quesería!$H$62:$H$77&gt;0)*Quesería!$F$62:$F$77*(1+Quesería!$I$62:$I$77)/(Quesería!$J$62:$J$77+(Quesería!$J$62:$J$77=0)))+SUMPRODUCT((Quesería!$C$62:$C$77=1)*(Quesería!$J$62:$J$77=0)*(J$43=1)*(Quesería!$H$62:$H$77&gt;0)*Quesería!$F$62:$F$77*(1+Quesería!$I$62:$I$77)))*$C$649*$P$21,IF(AND(J$43&gt;=1,J$43&lt;=Quesería!$B$11),Quesería!$F$80/Quesería!$B$11,0)*$B$649+IF(AND(J$43&gt;=2,J$43&lt;=Quesería!$B$11+1),Quesería!$F$81/Quesería!$B$11,0)*$C$649*$P$21)*$P$11+IF(AND(J$43&gt;=6,J$43&lt;=10),$G653*$G649/5,0)+IF(AND(J$43&gt;=7,J$43&lt;=11),$H653*$H649/5,0))*J651</f>
        <v>92.2097212626549</v>
      </c>
      <c r="K661" s="35" t="n">
        <f aca="false">(IF($P$19=1,(SUMPRODUCT((Quesería!$C$62:$C$77=0)*(Quesería!$J$62:$J$77&gt;0)*(K$43&gt;=1)*(K$43&lt;=Quesería!$J$62:$J$77)*(Quesería!$H$62:$H$77&gt;0)*Quesería!$F$62:$F$77*(1+Quesería!$I$62:$I$77)/(Quesería!$J$62:$J$77+(Quesería!$J$62:$J$77=0)))+SUMPRODUCT((Quesería!$C$62:$C$77=0)*(Quesería!$J$62:$J$77=0)*(K$43=0)*(Quesería!$H$62:$H$77&gt;0)*Quesería!$F$62:$F$77*(1+Quesería!$I$62:$I$77)))*$B$649+(SUMPRODUCT((Quesería!$C$62:$C$77=1)*(Quesería!$J$62:$J$77&gt;0)*(K$43&gt;=2)*(K$43&lt;=Quesería!$J$62:$J$77+1)*(Quesería!$H$62:$H$77&gt;0)*Quesería!$F$62:$F$77*(1+Quesería!$I$62:$I$77)/(Quesería!$J$62:$J$77+(Quesería!$J$62:$J$77=0)))+SUMPRODUCT((Quesería!$C$62:$C$77=1)*(Quesería!$J$62:$J$77=0)*(K$43=1)*(Quesería!$H$62:$H$77&gt;0)*Quesería!$F$62:$F$77*(1+Quesería!$I$62:$I$77)))*$C$649*$P$21,IF(AND(K$43&gt;=1,K$43&lt;=Quesería!$B$11),Quesería!$F$80/Quesería!$B$11,0)*$B$649+IF(AND(K$43&gt;=2,K$43&lt;=Quesería!$B$11+1),Quesería!$F$81/Quesería!$B$11,0)*$C$649*$P$21)*$P$11+IF(AND(K$43&gt;=6,K$43&lt;=10),$G653*$G649/5,0)+IF(AND(K$43&gt;=7,K$43&lt;=11),$H653*$H649/5,0))*K651</f>
        <v>88.6631935217835</v>
      </c>
      <c r="L661" s="35" t="n">
        <f aca="false">(IF($P$19=1,(SUMPRODUCT((Quesería!$C$62:$C$77=0)*(Quesería!$J$62:$J$77&gt;0)*(L$43&gt;=1)*(L$43&lt;=Quesería!$J$62:$J$77)*(Quesería!$H$62:$H$77&gt;0)*Quesería!$F$62:$F$77*(1+Quesería!$I$62:$I$77)/(Quesería!$J$62:$J$77+(Quesería!$J$62:$J$77=0)))+SUMPRODUCT((Quesería!$C$62:$C$77=0)*(Quesería!$J$62:$J$77=0)*(L$43=0)*(Quesería!$H$62:$H$77&gt;0)*Quesería!$F$62:$F$77*(1+Quesería!$I$62:$I$77)))*$B$649+(SUMPRODUCT((Quesería!$C$62:$C$77=1)*(Quesería!$J$62:$J$77&gt;0)*(L$43&gt;=2)*(L$43&lt;=Quesería!$J$62:$J$77+1)*(Quesería!$H$62:$H$77&gt;0)*Quesería!$F$62:$F$77*(1+Quesería!$I$62:$I$77)/(Quesería!$J$62:$J$77+(Quesería!$J$62:$J$77=0)))+SUMPRODUCT((Quesería!$C$62:$C$77=1)*(Quesería!$J$62:$J$77=0)*(L$43=1)*(Quesería!$H$62:$H$77&gt;0)*Quesería!$F$62:$F$77*(1+Quesería!$I$62:$I$77)))*$C$649*$P$21,IF(AND(L$43&gt;=1,L$43&lt;=Quesería!$B$11),Quesería!$F$80/Quesería!$B$11,0)*$B$649+IF(AND(L$43&gt;=2,L$43&lt;=Quesería!$B$11+1),Quesería!$F$81/Quesería!$B$11,0)*$C$649*$P$21)*$P$11+IF(AND(L$43&gt;=6,L$43&lt;=10),$G653*$G649/5,0)+IF(AND(L$43&gt;=7,L$43&lt;=11),$H653*$H649/5,0))*L651</f>
        <v>85.2530706940226</v>
      </c>
    </row>
    <row r="662" customFormat="false" ht="15" hidden="false" customHeight="false" outlineLevel="0" collapsed="false">
      <c r="A662" s="9" t="s">
        <v>292</v>
      </c>
      <c r="B662" s="36" t="n">
        <f aca="false">IF(B$43=1,MIN($P$7*Quesería!$B$35*Quesería!$F$75*$P$11*$P$21,Quesería!$B$50*Quesería!$B$51),0)</f>
        <v>0</v>
      </c>
      <c r="C662" s="36" t="n">
        <f aca="false">IF(C$43=1,MIN($P$7*Quesería!$B$35*Quesería!$F$75*$P$11*$P$21,Quesería!$B$50*Quesería!$B$51),0)</f>
        <v>20</v>
      </c>
      <c r="D662" s="36" t="n">
        <f aca="false">IF(D$43=1,MIN($P$7*Quesería!$B$35*Quesería!$F$75*$P$11*$P$21,Quesería!$B$50*Quesería!$B$51),0)</f>
        <v>0</v>
      </c>
      <c r="E662" s="36" t="n">
        <f aca="false">IF(E$43=1,MIN($P$7*Quesería!$B$35*Quesería!$F$75*$P$11*$P$21,Quesería!$B$50*Quesería!$B$51),0)</f>
        <v>0</v>
      </c>
      <c r="F662" s="36" t="n">
        <f aca="false">IF(F$43=1,MIN($P$7*Quesería!$B$35*Quesería!$F$75*$P$11*$P$21,Quesería!$B$50*Quesería!$B$51),0)</f>
        <v>0</v>
      </c>
      <c r="G662" s="36" t="n">
        <f aca="false">IF(G$43=1,MIN($P$7*Quesería!$B$35*Quesería!$F$75*$P$11*$P$21,Quesería!$B$50*Quesería!$B$51),0)</f>
        <v>0</v>
      </c>
      <c r="H662" s="36" t="n">
        <f aca="false">IF(H$43=1,MIN($P$7*Quesería!$B$35*Quesería!$F$75*$P$11*$P$21,Quesería!$B$50*Quesería!$B$51),0)</f>
        <v>0</v>
      </c>
      <c r="I662" s="36" t="n">
        <f aca="false">IF(I$43=1,MIN($P$7*Quesería!$B$35*Quesería!$F$75*$P$11*$P$21,Quesería!$B$50*Quesería!$B$51),0)</f>
        <v>0</v>
      </c>
      <c r="J662" s="36" t="n">
        <f aca="false">IF(J$43=1,MIN($P$7*Quesería!$B$35*Quesería!$F$75*$P$11*$P$21,Quesería!$B$50*Quesería!$B$51),0)</f>
        <v>0</v>
      </c>
      <c r="K662" s="36" t="n">
        <f aca="false">IF(K$43=1,MIN($P$7*Quesería!$B$35*Quesería!$F$75*$P$11*$P$21,Quesería!$B$50*Quesería!$B$51),0)</f>
        <v>0</v>
      </c>
      <c r="L662" s="36" t="n">
        <f aca="false">IF(L$43=1,MIN($P$7*Quesería!$B$35*Quesería!$F$75*$P$11*$P$21,Quesería!$B$50*Quesería!$B$51),0)</f>
        <v>0</v>
      </c>
    </row>
    <row r="663" customFormat="false" ht="15" hidden="false" customHeight="false" outlineLevel="0" collapsed="false">
      <c r="A663" s="9" t="s">
        <v>293</v>
      </c>
      <c r="B663" s="36" t="n">
        <v>0</v>
      </c>
      <c r="C663" s="36" t="n">
        <f aca="false">$P$20*Quesería!$B$52*Quesería!$F$86*$P$11*$B$649/C649</f>
        <v>166.879881289715</v>
      </c>
      <c r="D663" s="36" t="n">
        <v>0</v>
      </c>
      <c r="E663" s="36" t="n">
        <v>0</v>
      </c>
      <c r="F663" s="36" t="n">
        <v>0</v>
      </c>
      <c r="G663" s="36" t="n">
        <v>0</v>
      </c>
      <c r="H663" s="36" t="n">
        <v>0</v>
      </c>
      <c r="I663" s="36" t="n">
        <v>0</v>
      </c>
      <c r="J663" s="36" t="n">
        <v>0</v>
      </c>
      <c r="K663" s="36" t="n">
        <v>0</v>
      </c>
      <c r="L663" s="36" t="n">
        <v>0</v>
      </c>
    </row>
    <row r="664" customFormat="false" ht="15" hidden="false" customHeight="false" outlineLevel="0" collapsed="false">
      <c r="A664" s="9" t="s">
        <v>294</v>
      </c>
      <c r="B664" s="36" t="n">
        <f aca="false">0</f>
        <v>0</v>
      </c>
      <c r="C664" s="36" t="n">
        <f aca="false">B654*B649/C649</f>
        <v>94.6170242743742</v>
      </c>
      <c r="D664" s="36" t="n">
        <f aca="false">C654*C649/D649</f>
        <v>117.321834287022</v>
      </c>
      <c r="E664" s="36" t="n">
        <f aca="false">D654*D649/E649</f>
        <v>0</v>
      </c>
      <c r="F664" s="36" t="n">
        <f aca="false">E654*E649/F649</f>
        <v>0</v>
      </c>
      <c r="G664" s="36" t="n">
        <f aca="false">F654*F649/G649</f>
        <v>0</v>
      </c>
      <c r="H664" s="36" t="n">
        <f aca="false">G654*G649/H649</f>
        <v>4.87179487179487</v>
      </c>
      <c r="I664" s="36" t="n">
        <f aca="false">H654*H649/I649</f>
        <v>6.44987026996795</v>
      </c>
      <c r="J664" s="36" t="n">
        <f aca="false">I654*I649/J649</f>
        <v>0</v>
      </c>
      <c r="K664" s="36" t="n">
        <f aca="false">J654*J649/K649</f>
        <v>0</v>
      </c>
      <c r="L664" s="36" t="n">
        <f aca="false">K654*K649/L649</f>
        <v>0</v>
      </c>
    </row>
    <row r="665" customFormat="false" ht="15" hidden="false" customHeight="false" outlineLevel="0" collapsed="false">
      <c r="A665" s="6" t="s">
        <v>86</v>
      </c>
      <c r="B665" s="35" t="n">
        <f aca="false">$P$17*(B657-B658-B659-0.5*B660-B661)-B662-B663-B664</f>
        <v>-19.3080576189439</v>
      </c>
      <c r="C665" s="35" t="n">
        <f aca="false">$P$17*(C657-C658-C659-0.5*C660-C661)-C662-C663-C664</f>
        <v>-273.489316440361</v>
      </c>
      <c r="D665" s="35" t="n">
        <f aca="false">$P$17*(D657-D658-D659-0.5*D660-D661)-D662-D663-D664</f>
        <v>-55.4465969394605</v>
      </c>
      <c r="E665" s="35" t="n">
        <f aca="false">$P$17*(E657-E658-E659-0.5*E660-E661)-E662-E663-E664</f>
        <v>76.2738304166479</v>
      </c>
      <c r="F665" s="35" t="n">
        <f aca="false">$P$17*(F657-F658-F659-0.5*F660-F661)-F662-F663-F664</f>
        <v>77.9564343176106</v>
      </c>
      <c r="G665" s="35" t="n">
        <f aca="false">$P$17*(G657-G658-G659-0.5*G660-G661)-G662-G663-G664</f>
        <v>79.5597621875854</v>
      </c>
      <c r="H665" s="35" t="n">
        <f aca="false">$P$17*(H657-H658-H659-0.5*H660-H661)-H662-H663-H664</f>
        <v>78.6374721276609</v>
      </c>
      <c r="I665" s="35" t="n">
        <f aca="false">$P$17*(I657-I658-I659-0.5*I660-I661)-I662-I663-I664</f>
        <v>76.1387976978368</v>
      </c>
      <c r="J665" s="35" t="n">
        <f aca="false">$P$17*(J657-J658-J659-0.5*J660-J661)-J662-J663-J664</f>
        <v>84.0592352007573</v>
      </c>
      <c r="K665" s="35" t="n">
        <f aca="false">$P$17*(K657-K658-K659-0.5*K660-K661)-K662-K663-K664</f>
        <v>85.481049201014</v>
      </c>
      <c r="L665" s="35" t="n">
        <f aca="false">$P$17*(L657-L658-L659-0.5*L660-L661)-L662-L663-L664</f>
        <v>86.8560241281368</v>
      </c>
    </row>
    <row r="666" customFormat="false" ht="15" hidden="false" customHeight="false" outlineLevel="0" collapsed="false">
      <c r="A666" s="9" t="s">
        <v>295</v>
      </c>
      <c r="B666" s="36" t="n">
        <f aca="false">(IF(B$43&gt;=1,Quesería!$G$107*IF(B$43=1,Quesería!$B$12,1),Quesería!$G$107*Quesería!$B$12*Quesería!$B$13/12*$P$23)+IF(B$43&gt;=2,Quesería!$G$108*$P$21*IF(B$43=2,Quesería!$B$12,1),0))*$P$10</f>
        <v>26.8516916045565</v>
      </c>
      <c r="C666" s="36" t="n">
        <f aca="false">(IF(C$43&gt;=1,Quesería!$G$107*IF(C$43=1,Quesería!$B$12,1),Quesería!$G$107*Quesería!$B$12*Quesería!$B$13/12*$P$23)+IF(C$43&gt;=2,Quesería!$G$108*$P$21*IF(C$43=2,Quesería!$B$12,1),0))*$P$10</f>
        <v>80.5550748136695</v>
      </c>
      <c r="D666" s="36" t="n">
        <f aca="false">(IF(D$43&gt;=1,Quesería!$G$107*IF(D$43=1,Quesería!$B$12,1),Quesería!$G$107*Quesería!$B$12*Quesería!$B$13/12*$P$23)+IF(D$43&gt;=2,Quesería!$G$108*$P$21*IF(D$43=2,Quesería!$B$12,1),0))*$P$10</f>
        <v>189.651223070959</v>
      </c>
      <c r="E666" s="36" t="n">
        <f aca="false">(IF(E$43&gt;=1,Quesería!$G$107*IF(E$43=1,Quesería!$B$12,1),Quesería!$G$107*Quesería!$B$12*Quesería!$B$13/12*$P$23)+IF(E$43&gt;=2,Quesería!$G$108*$P$21*IF(E$43=2,Quesería!$B$12,1),0))*$P$10</f>
        <v>217.066041955203</v>
      </c>
      <c r="F666" s="36" t="n">
        <f aca="false">(IF(F$43&gt;=1,Quesería!$G$107*IF(F$43=1,Quesería!$B$12,1),Quesería!$G$107*Quesería!$B$12*Quesería!$B$13/12*$P$23)+IF(F$43&gt;=2,Quesería!$G$108*$P$21*IF(F$43=2,Quesería!$B$12,1),0))*$P$10</f>
        <v>217.066041955203</v>
      </c>
      <c r="G666" s="36" t="n">
        <f aca="false">(IF(G$43&gt;=1,Quesería!$G$107*IF(G$43=1,Quesería!$B$12,1),Quesería!$G$107*Quesería!$B$12*Quesería!$B$13/12*$P$23)+IF(G$43&gt;=2,Quesería!$G$108*$P$21*IF(G$43=2,Quesería!$B$12,1),0))*$P$10</f>
        <v>217.066041955203</v>
      </c>
      <c r="H666" s="36" t="n">
        <f aca="false">(IF(H$43&gt;=1,Quesería!$G$107*IF(H$43=1,Quesería!$B$12,1),Quesería!$G$107*Quesería!$B$12*Quesería!$B$13/12*$P$23)+IF(H$43&gt;=2,Quesería!$G$108*$P$21*IF(H$43=2,Quesería!$B$12,1),0))*$P$10</f>
        <v>217.066041955203</v>
      </c>
      <c r="I666" s="36" t="n">
        <f aca="false">(IF(I$43&gt;=1,Quesería!$G$107*IF(I$43=1,Quesería!$B$12,1),Quesería!$G$107*Quesería!$B$12*Quesería!$B$13/12*$P$23)+IF(I$43&gt;=2,Quesería!$G$108*$P$21*IF(I$43=2,Quesería!$B$12,1),0))*$P$10</f>
        <v>217.066041955203</v>
      </c>
      <c r="J666" s="36" t="n">
        <f aca="false">(IF(J$43&gt;=1,Quesería!$G$107*IF(J$43=1,Quesería!$B$12,1),Quesería!$G$107*Quesería!$B$12*Quesería!$B$13/12*$P$23)+IF(J$43&gt;=2,Quesería!$G$108*$P$21*IF(J$43=2,Quesería!$B$12,1),0))*$P$10</f>
        <v>217.066041955203</v>
      </c>
      <c r="K666" s="36" t="n">
        <f aca="false">(IF(K$43&gt;=1,Quesería!$G$107*IF(K$43=1,Quesería!$B$12,1),Quesería!$G$107*Quesería!$B$12*Quesería!$B$13/12*$P$23)+IF(K$43&gt;=2,Quesería!$G$108*$P$21*IF(K$43=2,Quesería!$B$12,1),0))*$P$10</f>
        <v>217.066041955203</v>
      </c>
      <c r="L666" s="36" t="n">
        <f aca="false">(IF(L$43&gt;=1,Quesería!$G$107*IF(L$43=1,Quesería!$B$12,1),Quesería!$G$107*Quesería!$B$12*Quesería!$B$13/12*$P$23)+IF(L$43&gt;=2,Quesería!$G$108*$P$21*IF(L$43=2,Quesería!$B$12,1),0))*$P$10</f>
        <v>217.066041955203</v>
      </c>
    </row>
    <row r="667" customFormat="false" ht="15" hidden="false" customHeight="false" outlineLevel="0" collapsed="false">
      <c r="A667" s="6" t="s">
        <v>296</v>
      </c>
      <c r="B667" s="35" t="n">
        <f aca="false">(B666*(Quesería!$B$23+Quesería!$B$25*Quesería!$B$24)/365-B658*Quesería!$B$26/365)</f>
        <v>2.50861009237089</v>
      </c>
      <c r="C667" s="35" t="n">
        <f aca="false">(C666*(Quesería!$B$23+Quesería!$B$25*Quesería!$B$24)/365-C658*Quesería!$B$26/365)-(B666*(Quesería!$B$23+Quesería!$B$25*Quesería!$B$24)/365-B658*Quesería!$B$26/365)*B649/C649</f>
        <v>2.91304119724236</v>
      </c>
      <c r="D667" s="35" t="n">
        <f aca="false">(D666*(Quesería!$B$23+Quesería!$B$25*Quesería!$B$24)/365-D658*Quesería!$B$26/365)-(C666*(Quesería!$B$23+Quesería!$B$25*Quesería!$B$24)/365-C658*Quesería!$B$26/365)*C649/D649</f>
        <v>7.29151021833416</v>
      </c>
      <c r="E667" s="35" t="n">
        <f aca="false">(E666*(Quesería!$B$23+Quesería!$B$25*Quesería!$B$24)/365-E658*Quesería!$B$26/365)-(D666*(Quesería!$B$23+Quesería!$B$25*Quesería!$B$24)/365-D658*Quesería!$B$26/365)*D649/E649</f>
        <v>3.03681159467532</v>
      </c>
      <c r="F667" s="35" t="n">
        <f aca="false">(F666*(Quesería!$B$23+Quesería!$B$25*Quesería!$B$24)/365-F658*Quesería!$B$26/365)-(E666*(Quesería!$B$23+Quesería!$B$25*Quesería!$B$24)/365-E658*Quesería!$B$26/365)*E649/F649</f>
        <v>0.574099993113848</v>
      </c>
      <c r="G667" s="35" t="n">
        <f aca="false">(G666*(Quesería!$B$23+Quesería!$B$25*Quesería!$B$24)/365-G658*Quesería!$B$26/365)-(F666*(Quesería!$B$23+Quesería!$B$25*Quesería!$B$24)/365-F658*Quesería!$B$26/365)*F649/G649</f>
        <v>0.574099993113849</v>
      </c>
      <c r="H667" s="35" t="n">
        <f aca="false">(H666*(Quesería!$B$23+Quesería!$B$25*Quesería!$B$24)/365-H658*Quesería!$B$26/365)-(G666*(Quesería!$B$23+Quesería!$B$25*Quesería!$B$24)/365-G658*Quesería!$B$26/365)*G649/H649</f>
        <v>0.574099993113848</v>
      </c>
      <c r="I667" s="35" t="n">
        <f aca="false">(I666*(Quesería!$B$23+Quesería!$B$25*Quesería!$B$24)/365-I658*Quesería!$B$26/365)-(H666*(Quesería!$B$23+Quesería!$B$25*Quesería!$B$24)/365-H658*Quesería!$B$26/365)*H649/I649</f>
        <v>0.574099993113846</v>
      </c>
      <c r="J667" s="35" t="n">
        <f aca="false">(J666*(Quesería!$B$23+Quesería!$B$25*Quesería!$B$24)/365-J658*Quesería!$B$26/365)-(I666*(Quesería!$B$23+Quesería!$B$25*Quesería!$B$24)/365-I658*Quesería!$B$26/365)*I649/J649</f>
        <v>0.574099993113849</v>
      </c>
      <c r="K667" s="35" t="n">
        <f aca="false">(K666*(Quesería!$B$23+Quesería!$B$25*Quesería!$B$24)/365-K658*Quesería!$B$26/365)-(J666*(Quesería!$B$23+Quesería!$B$25*Quesería!$B$24)/365-J658*Quesería!$B$26/365)*J649/K649</f>
        <v>0.574099993113848</v>
      </c>
      <c r="L667" s="35" t="n">
        <f aca="false">-(K666*(Quesería!$B$23+Quesería!$B$25*Quesería!$B$24)/365-K658*Quesería!$B$26/365)*K649/L649</f>
        <v>-14.3524998278462</v>
      </c>
    </row>
    <row r="668" customFormat="false" ht="15" hidden="false" customHeight="false" outlineLevel="0" collapsed="false">
      <c r="A668" s="6" t="s">
        <v>297</v>
      </c>
      <c r="B668" s="35" t="n">
        <v>0</v>
      </c>
      <c r="C668" s="35" t="n">
        <v>0</v>
      </c>
      <c r="D668" s="35" t="n">
        <v>0</v>
      </c>
      <c r="E668" s="35" t="n">
        <v>0</v>
      </c>
      <c r="F668" s="35" t="n">
        <v>0</v>
      </c>
      <c r="G668" s="35" t="n">
        <v>0</v>
      </c>
      <c r="H668" s="35" t="n">
        <v>0</v>
      </c>
      <c r="I668" s="35" t="n">
        <v>0</v>
      </c>
      <c r="J668" s="35" t="n">
        <v>0</v>
      </c>
      <c r="K668" s="35" t="n">
        <v>0</v>
      </c>
      <c r="L668" s="35" t="n">
        <f aca="false">$P$8*Quesería!$B$39*(Quesería!$F$82+Quesería!$F$83*$P$21)*$P$11*(1-$P$17)</f>
        <v>56.0502928201667</v>
      </c>
    </row>
    <row r="669" customFormat="false" ht="15" hidden="false" customHeight="false" outlineLevel="0" collapsed="false">
      <c r="A669" s="5" t="s">
        <v>298</v>
      </c>
      <c r="B669" s="37" t="n">
        <f aca="false">B657-B658-B659-B660-B665-B652-B653-B654-B667+B668</f>
        <v>-662.041045072899</v>
      </c>
      <c r="C669" s="37" t="n">
        <f aca="false">C657-C658-C659-C660-C665-C652-C653-C654-C667+C668</f>
        <v>-418.963355367003</v>
      </c>
      <c r="D669" s="37" t="n">
        <f aca="false">D657-D658-D659-D660-D665-D652-D653-D654-D667+D668</f>
        <v>341.153368514928</v>
      </c>
      <c r="E669" s="37" t="n">
        <f aca="false">E657-E658-E659-E660-E665-E652-E653-E654-E667+E668</f>
        <v>250.349957800381</v>
      </c>
      <c r="F669" s="37" t="n">
        <f aca="false">F657-F658-F659-F660-F665-F652-F653-F654-F667+F668</f>
        <v>251.633159715763</v>
      </c>
      <c r="G669" s="37" t="n">
        <f aca="false">G657-G658-G659-G660-G665-G652-G653-G654-G667+G668</f>
        <v>218.675174864978</v>
      </c>
      <c r="H669" s="37" t="n">
        <f aca="false">H657-H658-H659-H660-H665-H652-H653-H654-H667+H668</f>
        <v>209.785401515873</v>
      </c>
      <c r="I669" s="37" t="n">
        <f aca="false">I657-I658-I659-I660-I665-I652-I653-I654-I667+I668</f>
        <v>254.975222178638</v>
      </c>
      <c r="J669" s="37" t="n">
        <f aca="false">J657-J658-J659-J660-J665-J652-J653-J654-J667+J668</f>
        <v>247.56801649079</v>
      </c>
      <c r="K669" s="37" t="n">
        <f aca="false">K657-K658-K659-K660-K665-K652-K653-K654-K667+K668</f>
        <v>246.662000464681</v>
      </c>
      <c r="L669" s="37" t="n">
        <f aca="false">L657-L658-L659-L660-L665-L652-L653-L654-L667+L668</f>
        <v>316.782295142703</v>
      </c>
    </row>
    <row r="670" customFormat="false" ht="15" hidden="false" customHeight="false" outlineLevel="0" collapsed="false">
      <c r="A670" s="9" t="s">
        <v>299</v>
      </c>
      <c r="B670" s="36" t="n">
        <f aca="false">B669*B649</f>
        <v>-701.763507777273</v>
      </c>
      <c r="C670" s="36" t="n">
        <f aca="false">C669*C649</f>
        <v>-466.306214523474</v>
      </c>
      <c r="D670" s="36" t="n">
        <f aca="false">D669*D649</f>
        <v>396.790365619185</v>
      </c>
      <c r="E670" s="36" t="n">
        <f aca="false">E669*E649</f>
        <v>302.825411894987</v>
      </c>
      <c r="F670" s="36" t="n">
        <f aca="false">F669*F649</f>
        <v>316.552687059158</v>
      </c>
      <c r="G670" s="36" t="n">
        <f aca="false">G669*G649</f>
        <v>286.09545278462</v>
      </c>
      <c r="H670" s="36" t="n">
        <f aca="false">H669*H649</f>
        <v>285.443445741838</v>
      </c>
      <c r="I670" s="36" t="n">
        <f aca="false">I669*I649</f>
        <v>360.80797658188</v>
      </c>
      <c r="J670" s="36" t="n">
        <f aca="false">J669*J649</f>
        <v>364.339306802148</v>
      </c>
      <c r="K670" s="36" t="n">
        <f aca="false">K669*K649</f>
        <v>377.526184840437</v>
      </c>
      <c r="L670" s="36" t="n">
        <f aca="false">L669*L649</f>
        <v>504.242062126795</v>
      </c>
    </row>
    <row r="671" customFormat="false" ht="15" hidden="false" customHeight="false" outlineLevel="0" collapsed="false">
      <c r="A671" s="6" t="s">
        <v>300</v>
      </c>
      <c r="B671" s="35" t="n">
        <f aca="false">B669</f>
        <v>-662.041045072899</v>
      </c>
      <c r="C671" s="35" t="n">
        <f aca="false">B671+C669</f>
        <v>-1081.0044004399</v>
      </c>
      <c r="D671" s="35" t="n">
        <f aca="false">C671+D669</f>
        <v>-739.851031924974</v>
      </c>
      <c r="E671" s="35" t="n">
        <f aca="false">D671+E669</f>
        <v>-489.501074124593</v>
      </c>
      <c r="F671" s="35" t="n">
        <f aca="false">E671+F669</f>
        <v>-237.86791440883</v>
      </c>
      <c r="G671" s="35" t="n">
        <f aca="false">F671+G669</f>
        <v>-19.1927395438515</v>
      </c>
      <c r="H671" s="35" t="n">
        <f aca="false">G671+H669</f>
        <v>190.592661972021</v>
      </c>
      <c r="I671" s="35" t="n">
        <f aca="false">H671+I669</f>
        <v>445.567884150659</v>
      </c>
      <c r="J671" s="35" t="n">
        <f aca="false">I671+J669</f>
        <v>693.135900641448</v>
      </c>
      <c r="K671" s="35" t="n">
        <f aca="false">J671+K669</f>
        <v>939.797901106129</v>
      </c>
      <c r="L671" s="35" t="n">
        <f aca="false">K671+L669</f>
        <v>1256.58019624883</v>
      </c>
    </row>
    <row r="672" customFormat="false" ht="15" hidden="false" customHeight="false" outlineLevel="0" collapsed="false">
      <c r="A672" s="9" t="s">
        <v>301</v>
      </c>
      <c r="B672" s="38" t="n">
        <v>0</v>
      </c>
      <c r="C672" s="38" t="n">
        <f aca="false">IF(AND(B671&lt;0,C671&gt;=0),B$43+(-B671)/C669,0)</f>
        <v>0</v>
      </c>
      <c r="D672" s="38" t="n">
        <f aca="false">IF(AND(C671&lt;0,D671&gt;=0),C$43+(-C671)/D669,0)</f>
        <v>0</v>
      </c>
      <c r="E672" s="38" t="n">
        <f aca="false">IF(AND(D671&lt;0,E671&gt;=0),D$43+(-D671)/E669,0)</f>
        <v>0</v>
      </c>
      <c r="F672" s="38" t="n">
        <f aca="false">IF(AND(E671&lt;0,F671&gt;=0),E$43+(-E671)/F669,0)</f>
        <v>0</v>
      </c>
      <c r="G672" s="38" t="n">
        <f aca="false">IF(AND(F671&lt;0,G671&gt;=0),F$43+(-F671)/G669,0)</f>
        <v>0</v>
      </c>
      <c r="H672" s="38" t="n">
        <f aca="false">IF(AND(G671&lt;0,H671&gt;=0),G$43+(-G671)/H669,0)</f>
        <v>5.09148748866779</v>
      </c>
      <c r="I672" s="38" t="n">
        <f aca="false">IF(AND(H671&lt;0,I671&gt;=0),H$43+(-H671)/I669,0)</f>
        <v>0</v>
      </c>
      <c r="J672" s="38" t="n">
        <f aca="false">IF(AND(I671&lt;0,J671&gt;=0),I$43+(-I671)/J669,0)</f>
        <v>0</v>
      </c>
      <c r="K672" s="38" t="n">
        <f aca="false">IF(AND(J671&lt;0,K671&gt;=0),J$43+(-J671)/K669,0)</f>
        <v>0</v>
      </c>
      <c r="L672" s="38" t="n">
        <f aca="false">IF(AND(K671&lt;0,L671&gt;=0),K$43+(-K671)/L669,0)</f>
        <v>0</v>
      </c>
    </row>
    <row r="673" customFormat="false" ht="15" hidden="false" customHeight="false" outlineLevel="0" collapsed="false">
      <c r="A673" s="9" t="s">
        <v>302</v>
      </c>
      <c r="B673" s="34" t="n">
        <f aca="false">(B649/$B$649)/(1+$P$25)^B$43</f>
        <v>1</v>
      </c>
      <c r="C673" s="34" t="n">
        <f aca="false">(C649/$B$649)/(1+$P$25)^C$43</f>
        <v>0.921735848062819</v>
      </c>
      <c r="D673" s="34" t="n">
        <f aca="false">(D649/$B$649)/(1+$P$25)^D$43</f>
        <v>0.845551273729778</v>
      </c>
      <c r="E673" s="34" t="n">
        <f aca="false">(E649/$B$649)/(1+$P$25)^E$43</f>
        <v>0.771952302082657</v>
      </c>
      <c r="F673" s="34" t="n">
        <f aca="false">(F649/$B$649)/(1+$P$25)^F$43</f>
        <v>0.704759575444925</v>
      </c>
      <c r="G673" s="34" t="n">
        <f aca="false">(G649/$B$649)/(1+$P$25)^G$43</f>
        <v>0.643415477667852</v>
      </c>
      <c r="H673" s="34" t="n">
        <f aca="false">(H649/$B$649)/(1+$P$25)^H$43</f>
        <v>0.587410928955732</v>
      </c>
      <c r="I673" s="34" t="n">
        <f aca="false">(I649/$B$649)/(1+$P$25)^I$43</f>
        <v>0.536281161136071</v>
      </c>
      <c r="J673" s="34" t="n">
        <f aca="false">(J649/$B$649)/(1+$P$25)^J$43</f>
        <v>0.489601860661204</v>
      </c>
      <c r="K673" s="34" t="n">
        <f aca="false">(K649/$B$649)/(1+$P$25)^K$43</f>
        <v>0.446985647333025</v>
      </c>
      <c r="L673" s="34" t="n">
        <f aca="false">(L649/$B$649)/(1+$P$25)^L$43</f>
        <v>0.408078859528639</v>
      </c>
    </row>
    <row r="674" customFormat="false" ht="15" hidden="false" customHeight="false" outlineLevel="0" collapsed="false">
      <c r="A674" s="9" t="s">
        <v>303</v>
      </c>
      <c r="B674" s="36" t="n">
        <f aca="false">B669*B673</f>
        <v>-662.041045072899</v>
      </c>
      <c r="C674" s="36" t="n">
        <f aca="false">C669*C673</f>
        <v>-386.173543666448</v>
      </c>
      <c r="D674" s="36" t="n">
        <f aca="false">D669*D673</f>
        <v>288.462665285001</v>
      </c>
      <c r="E674" s="36" t="n">
        <f aca="false">E669*E673</f>
        <v>193.2582262503</v>
      </c>
      <c r="F674" s="36" t="n">
        <f aca="false">F669*F673</f>
        <v>177.340878809146</v>
      </c>
      <c r="G674" s="36" t="n">
        <f aca="false">G669*G673</f>
        <v>140.698992089851</v>
      </c>
      <c r="H674" s="36" t="n">
        <f aca="false">H669*H673</f>
        <v>123.23023758579</v>
      </c>
      <c r="I674" s="36" t="n">
        <f aca="false">I669*I673</f>
        <v>136.738408210887</v>
      </c>
      <c r="J674" s="36" t="n">
        <f aca="false">J669*J673</f>
        <v>121.209761514094</v>
      </c>
      <c r="K674" s="36" t="n">
        <f aca="false">K669*K673</f>
        <v>110.254373950164</v>
      </c>
      <c r="L674" s="36" t="n">
        <f aca="false">L669*L673</f>
        <v>129.272157720699</v>
      </c>
    </row>
    <row r="675" customFormat="false" ht="15" hidden="false" customHeight="false" outlineLevel="0" collapsed="false">
      <c r="A675" s="9" t="s">
        <v>304</v>
      </c>
      <c r="B675" s="36" t="n">
        <f aca="false">B674</f>
        <v>-662.041045072899</v>
      </c>
      <c r="C675" s="36" t="n">
        <f aca="false">B675+C674</f>
        <v>-1048.21458873935</v>
      </c>
      <c r="D675" s="36" t="n">
        <f aca="false">C675+D674</f>
        <v>-759.751923454346</v>
      </c>
      <c r="E675" s="36" t="n">
        <f aca="false">D675+E674</f>
        <v>-566.493697204046</v>
      </c>
      <c r="F675" s="36" t="n">
        <f aca="false">E675+F674</f>
        <v>-389.152818394899</v>
      </c>
      <c r="G675" s="36" t="n">
        <f aca="false">F675+G674</f>
        <v>-248.453826305048</v>
      </c>
      <c r="H675" s="36" t="n">
        <f aca="false">G675+H674</f>
        <v>-125.223588719258</v>
      </c>
      <c r="I675" s="36" t="n">
        <f aca="false">H675+I674</f>
        <v>11.5148194916293</v>
      </c>
      <c r="J675" s="36" t="n">
        <f aca="false">I675+J674</f>
        <v>132.724581005723</v>
      </c>
      <c r="K675" s="36" t="n">
        <f aca="false">J675+K674</f>
        <v>242.978954955888</v>
      </c>
      <c r="L675" s="36" t="n">
        <f aca="false">K675+L674</f>
        <v>372.251112676587</v>
      </c>
    </row>
    <row r="676" customFormat="false" ht="15" hidden="false" customHeight="false" outlineLevel="0" collapsed="false">
      <c r="A676" s="9" t="s">
        <v>305</v>
      </c>
      <c r="B676" s="38" t="n">
        <v>0</v>
      </c>
      <c r="C676" s="38" t="n">
        <f aca="false">IF(AND(B675&lt;0,C675&gt;=0),B$43+(-B675)/C674,0)</f>
        <v>0</v>
      </c>
      <c r="D676" s="38" t="n">
        <f aca="false">IF(AND(C675&lt;0,D675&gt;=0),C$43+(-C675)/D674,0)</f>
        <v>0</v>
      </c>
      <c r="E676" s="38" t="n">
        <f aca="false">IF(AND(D675&lt;0,E675&gt;=0),D$43+(-D675)/E674,0)</f>
        <v>0</v>
      </c>
      <c r="F676" s="38" t="n">
        <f aca="false">IF(AND(E675&lt;0,F675&gt;=0),E$43+(-E675)/F674,0)</f>
        <v>0</v>
      </c>
      <c r="G676" s="38" t="n">
        <f aca="false">IF(AND(F675&lt;0,G675&gt;=0),F$43+(-F675)/G674,0)</f>
        <v>0</v>
      </c>
      <c r="H676" s="38" t="n">
        <f aca="false">IF(AND(G675&lt;0,H675&gt;=0),G$43+(-G675)/H674,0)</f>
        <v>0</v>
      </c>
      <c r="I676" s="38" t="n">
        <f aca="false">IF(AND(H675&lt;0,I675&gt;=0),H$43+(-H675)/I674,0)</f>
        <v>6.91578942857174</v>
      </c>
      <c r="J676" s="38" t="n">
        <f aca="false">IF(AND(I675&lt;0,J675&gt;=0),I$43+(-I675)/J674,0)</f>
        <v>0</v>
      </c>
      <c r="K676" s="38" t="n">
        <f aca="false">IF(AND(J675&lt;0,K675&gt;=0),J$43+(-J675)/K674,0)</f>
        <v>0</v>
      </c>
      <c r="L676" s="38" t="n">
        <f aca="false">IF(AND(K675&lt;0,L675&gt;=0),K$43+(-K675)/L674,0)</f>
        <v>0</v>
      </c>
    </row>
    <row r="677" customFormat="false" ht="15" hidden="false" customHeight="false" outlineLevel="0" collapsed="false">
      <c r="A677" s="9" t="s">
        <v>306</v>
      </c>
      <c r="B677" s="36" t="n">
        <f aca="false">IF(B$43&lt;0,0,(Quesería!$B$40*$B$652*$B$649)*(1-MAX(0,MIN(B$43-0-Quesería!$B$43,(Quesería!$B$42-Quesería!$B$43)))/(Quesería!$B$42-Quesería!$B$43)))+IF(B$43&lt;1,0,(Quesería!$B$40*$C$652*$C$649)*(1-MAX(0,MIN(B$43-1-Quesería!$B$43,(Quesería!$B$42-Quesería!$B$43)))/(Quesería!$B$42-Quesería!$B$43)))</f>
        <v>461.704769247221</v>
      </c>
      <c r="C677" s="36" t="n">
        <f aca="false">IF(C$43&lt;0,0,(Quesería!$B$40*$B$652*$B$649)*(1-MAX(0,MIN(C$43-0-Quesería!$B$43,(Quesería!$B$42-Quesería!$B$43)))/(Quesería!$B$42-Quesería!$B$43)))+IF(C$43&lt;1,0,(Quesería!$B$40*$C$652*$C$649)*(1-MAX(0,MIN(C$43-1-Quesería!$B$43,(Quesería!$B$42-Quesería!$B$43)))/(Quesería!$B$42-Quesería!$B$43)))</f>
        <v>964.434695258825</v>
      </c>
      <c r="D677" s="36" t="n">
        <f aca="false">IF(D$43&lt;0,0,(Quesería!$B$40*$B$652*$B$649)*(1-MAX(0,MIN(D$43-0-Quesería!$B$43,(Quesería!$B$42-Quesería!$B$43)))/(Quesería!$B$42-Quesería!$B$43)))+IF(D$43&lt;1,0,(Quesería!$B$40*$C$652*$C$649)*(1-MAX(0,MIN(D$43-1-Quesería!$B$43,(Quesería!$B$42-Quesería!$B$43)))/(Quesería!$B$42-Quesería!$B$43)))</f>
        <v>887.483900384289</v>
      </c>
      <c r="E677" s="36" t="n">
        <f aca="false">IF(E$43&lt;0,0,(Quesería!$B$40*$B$652*$B$649)*(1-MAX(0,MIN(E$43-0-Quesería!$B$43,(Quesería!$B$42-Quesería!$B$43)))/(Quesería!$B$42-Quesería!$B$43)))+IF(E$43&lt;1,0,(Quesería!$B$40*$C$652*$C$649)*(1-MAX(0,MIN(E$43-1-Quesería!$B$43,(Quesería!$B$42-Quesería!$B$43)))/(Quesería!$B$42-Quesería!$B$43)))</f>
        <v>726.744784507818</v>
      </c>
      <c r="F677" s="36" t="n">
        <f aca="false">IF(F$43&lt;0,0,(Quesería!$B$40*$B$652*$B$649)*(1-MAX(0,MIN(F$43-0-Quesería!$B$43,(Quesería!$B$42-Quesería!$B$43)))/(Quesería!$B$42-Quesería!$B$43)))+IF(F$43&lt;1,0,(Quesería!$B$40*$C$652*$C$649)*(1-MAX(0,MIN(F$43-1-Quesería!$B$43,(Quesería!$B$42-Quesería!$B$43)))/(Quesería!$B$42-Quesería!$B$43)))</f>
        <v>566.005668631347</v>
      </c>
      <c r="G677" s="36" t="n">
        <f aca="false">IF(G$43&lt;0,0,(Quesería!$B$40*$B$652*$B$649)*(1-MAX(0,MIN(G$43-0-Quesería!$B$43,(Quesería!$B$42-Quesería!$B$43)))/(Quesería!$B$42-Quesería!$B$43)))+IF(G$43&lt;1,0,(Quesería!$B$40*$C$652*$C$649)*(1-MAX(0,MIN(G$43-1-Quesería!$B$43,(Quesería!$B$42-Quesería!$B$43)))/(Quesería!$B$42-Quesería!$B$43)))</f>
        <v>405.266552754876</v>
      </c>
      <c r="H677" s="36" t="n">
        <f aca="false">IF(H$43&lt;0,0,(Quesería!$B$40*$B$652*$B$649)*(1-MAX(0,MIN(H$43-0-Quesería!$B$43,(Quesería!$B$42-Quesería!$B$43)))/(Quesería!$B$42-Quesería!$B$43)))+IF(H$43&lt;1,0,(Quesería!$B$40*$C$652*$C$649)*(1-MAX(0,MIN(H$43-1-Quesería!$B$43,(Quesería!$B$42-Quesería!$B$43)))/(Quesería!$B$42-Quesería!$B$43)))</f>
        <v>244.527436878405</v>
      </c>
      <c r="I677" s="36" t="n">
        <f aca="false">IF(I$43&lt;0,0,(Quesería!$B$40*$B$652*$B$649)*(1-MAX(0,MIN(I$43-0-Quesería!$B$43,(Quesería!$B$42-Quesería!$B$43)))/(Quesería!$B$42-Quesería!$B$43)))+IF(I$43&lt;1,0,(Quesería!$B$40*$C$652*$C$649)*(1-MAX(0,MIN(I$43-1-Quesería!$B$43,(Quesería!$B$42-Quesería!$B$43)))/(Quesería!$B$42-Quesería!$B$43)))</f>
        <v>83.788321001934</v>
      </c>
      <c r="J677" s="36" t="n">
        <f aca="false">IF(J$43&lt;0,0,(Quesería!$B$40*$B$652*$B$649)*(1-MAX(0,MIN(J$43-0-Quesería!$B$43,(Quesería!$B$42-Quesería!$B$43)))/(Quesería!$B$42-Quesería!$B$43)))+IF(J$43&lt;1,0,(Quesería!$B$40*$C$652*$C$649)*(1-MAX(0,MIN(J$43-1-Quesería!$B$43,(Quesería!$B$42-Quesería!$B$43)))/(Quesería!$B$42-Quesería!$B$43)))</f>
        <v>0</v>
      </c>
      <c r="K677" s="36" t="n">
        <f aca="false">IF(K$43&lt;0,0,(Quesería!$B$40*$B$652*$B$649)*(1-MAX(0,MIN(K$43-0-Quesería!$B$43,(Quesería!$B$42-Quesería!$B$43)))/(Quesería!$B$42-Quesería!$B$43)))+IF(K$43&lt;1,0,(Quesería!$B$40*$C$652*$C$649)*(1-MAX(0,MIN(K$43-1-Quesería!$B$43,(Quesería!$B$42-Quesería!$B$43)))/(Quesería!$B$42-Quesería!$B$43)))</f>
        <v>0</v>
      </c>
      <c r="L677" s="36" t="n">
        <f aca="false">IF(L$43&lt;0,0,(Quesería!$B$40*$B$652*$B$649)*(1-MAX(0,MIN(L$43-0-Quesería!$B$43,(Quesería!$B$42-Quesería!$B$43)))/(Quesería!$B$42-Quesería!$B$43)))+IF(L$43&lt;1,0,(Quesería!$B$40*$C$652*$C$649)*(1-MAX(0,MIN(L$43-1-Quesería!$B$43,(Quesería!$B$42-Quesería!$B$43)))/(Quesería!$B$42-Quesería!$B$43)))</f>
        <v>0</v>
      </c>
    </row>
    <row r="678" customFormat="false" ht="15" hidden="false" customHeight="false" outlineLevel="0" collapsed="false">
      <c r="A678" s="6" t="s">
        <v>307</v>
      </c>
      <c r="B678" s="35" t="n">
        <f aca="false">Quesería!$B$40*B652</f>
        <v>435.57053702568</v>
      </c>
      <c r="C678" s="35" t="n">
        <f aca="false">Quesería!$B$40*C652</f>
        <v>451.689062005035</v>
      </c>
      <c r="D678" s="35" t="n">
        <f aca="false">Quesería!$B$40*D652</f>
        <v>0</v>
      </c>
      <c r="E678" s="35" t="n">
        <f aca="false">Quesería!$B$40*E652</f>
        <v>0</v>
      </c>
      <c r="F678" s="35" t="n">
        <f aca="false">Quesería!$B$40*F652</f>
        <v>0</v>
      </c>
      <c r="G678" s="35" t="n">
        <f aca="false">Quesería!$B$40*G652</f>
        <v>0</v>
      </c>
      <c r="H678" s="35" t="n">
        <f aca="false">Quesería!$B$40*H652</f>
        <v>0</v>
      </c>
      <c r="I678" s="35" t="n">
        <f aca="false">Quesería!$B$40*I652</f>
        <v>0</v>
      </c>
      <c r="J678" s="35" t="n">
        <f aca="false">Quesería!$B$40*J652</f>
        <v>0</v>
      </c>
      <c r="K678" s="35" t="n">
        <f aca="false">Quesería!$B$40*K652</f>
        <v>0</v>
      </c>
      <c r="L678" s="35" t="n">
        <f aca="false">Quesería!$B$40*L652</f>
        <v>0</v>
      </c>
    </row>
    <row r="679" customFormat="false" ht="15" hidden="false" customHeight="false" outlineLevel="0" collapsed="false">
      <c r="A679" s="6" t="s">
        <v>308</v>
      </c>
      <c r="B679" s="35" t="n">
        <f aca="false">(IF(AND(B$43&gt;0,B$43&lt;=0+Quesería!$B$42),($P$14+$P$24)*((Quesería!$B$40*$B$652*$B$649)-(Quesería!$B$40*$B$652*$B$649)/(Quesería!$B$42-Quesería!$B$43)*MAX(0,MIN(B$43-1-0-Quesería!$B$43,(Quesería!$B$42-Quesería!$B$43)))),0)+IF(AND(B$43&gt;1,B$43&lt;=1+Quesería!$B$42),($P$14+$P$24)*((Quesería!$B$40*$C$652*$C$649)-(Quesería!$B$40*$C$652*$C$649)/(Quesería!$B$42-Quesería!$B$43)*MAX(0,MIN(B$43-1-1-Quesería!$B$43,(Quesería!$B$42-Quesería!$B$43)))),0))*B651</f>
        <v>0</v>
      </c>
      <c r="C679" s="35" t="n">
        <f aca="false">(IF(AND(C$43&gt;0,C$43&lt;=0+Quesería!$B$42),($P$14+$P$24)*((Quesería!$B$40*$B$652*$B$649)-(Quesería!$B$40*$B$652*$B$649)/(Quesería!$B$42-Quesería!$B$43)*MAX(0,MIN(C$43-1-0-Quesería!$B$43,(Quesería!$B$42-Quesería!$B$43)))),0)+IF(AND(C$43&gt;1,C$43&lt;=1+Quesería!$B$42),($P$14+$P$24)*((Quesería!$B$40*$C$652*$C$649)-(Quesería!$B$40*$C$652*$C$649)/(Quesería!$B$42-Quesería!$B$43)*MAX(0,MIN(C$43-1-1-Quesería!$B$43,(Quesería!$B$42-Quesería!$B$43)))),0))*C651</f>
        <v>58.4909006863056</v>
      </c>
      <c r="D679" s="35" t="n">
        <f aca="false">(IF(AND(D$43&gt;0,D$43&lt;=0+Quesería!$B$42),($P$14+$P$24)*((Quesería!$B$40*$B$652*$B$649)-(Quesería!$B$40*$B$652*$B$649)/(Quesería!$B$42-Quesería!$B$43)*MAX(0,MIN(D$43-1-0-Quesería!$B$43,(Quesería!$B$42-Quesería!$B$43)))),0)+IF(AND(D$43&gt;1,D$43&lt;=1+Quesería!$B$42),($P$14+$P$24)*((Quesería!$B$40*$C$652*$C$649)-(Quesería!$B$40*$C$652*$C$649)/(Quesería!$B$42-Quesería!$B$43)*MAX(0,MIN(D$43-1-1-Quesería!$B$43,(Quesería!$B$42-Quesería!$B$43)))),0))*D651</f>
        <v>116.917759262216</v>
      </c>
      <c r="E679" s="35" t="n">
        <f aca="false">(IF(AND(E$43&gt;0,E$43&lt;=0+Quesería!$B$42),($P$14+$P$24)*((Quesería!$B$40*$B$652*$B$649)-(Quesería!$B$40*$B$652*$B$649)/(Quesería!$B$42-Quesería!$B$43)*MAX(0,MIN(E$43-1-0-Quesería!$B$43,(Quesería!$B$42-Quesería!$B$43)))),0)+IF(AND(E$43&gt;1,E$43&lt;=1+Quesería!$B$42),($P$14+$P$24)*((Quesería!$B$40*$C$652*$C$649)-(Quesería!$B$40*$C$652*$C$649)/(Quesería!$B$42-Quesería!$B$43)*MAX(0,MIN(E$43-1-1-Quesería!$B$43,(Quesería!$B$42-Quesería!$B$43)))),0))*E651</f>
        <v>103.451025930528</v>
      </c>
      <c r="F679" s="35" t="n">
        <f aca="false">(IF(AND(F$43&gt;0,F$43&lt;=0+Quesería!$B$42),($P$14+$P$24)*((Quesería!$B$40*$B$652*$B$649)-(Quesería!$B$40*$B$652*$B$649)/(Quesería!$B$42-Quesería!$B$43)*MAX(0,MIN(F$43-1-0-Quesería!$B$43,(Quesería!$B$42-Quesería!$B$43)))),0)+IF(AND(F$43&gt;1,F$43&lt;=1+Quesería!$B$42),($P$14+$P$24)*((Quesería!$B$40*$C$652*$C$649)-(Quesería!$B$40*$C$652*$C$649)/(Quesería!$B$42-Quesería!$B$43)*MAX(0,MIN(F$43-1-1-Quesería!$B$43,(Quesería!$B$42-Quesería!$B$43)))),0))*F651</f>
        <v>81.455966861483</v>
      </c>
      <c r="G679" s="35" t="n">
        <f aca="false">(IF(AND(G$43&gt;0,G$43&lt;=0+Quesería!$B$42),($P$14+$P$24)*((Quesería!$B$40*$B$652*$B$649)-(Quesería!$B$40*$B$652*$B$649)/(Quesería!$B$42-Quesería!$B$43)*MAX(0,MIN(G$43-1-0-Quesería!$B$43,(Quesería!$B$42-Quesería!$B$43)))),0)+IF(AND(G$43&gt;1,G$43&lt;=1+Quesería!$B$42),($P$14+$P$24)*((Quesería!$B$40*$C$652*$C$649)-(Quesería!$B$40*$C$652*$C$649)/(Quesería!$B$42-Quesería!$B$43)*MAX(0,MIN(G$43-1-1-Quesería!$B$43,(Quesería!$B$42-Quesería!$B$43)))),0))*G651</f>
        <v>60.9998013511061</v>
      </c>
      <c r="H679" s="35" t="n">
        <f aca="false">(IF(AND(H$43&gt;0,H$43&lt;=0+Quesería!$B$42),($P$14+$P$24)*((Quesería!$B$40*$B$652*$B$649)-(Quesería!$B$40*$B$652*$B$649)/(Quesería!$B$42-Quesería!$B$43)*MAX(0,MIN(H$43-1-0-Quesería!$B$43,(Quesería!$B$42-Quesería!$B$43)))),0)+IF(AND(H$43&gt;1,H$43&lt;=1+Quesería!$B$42),($P$14+$P$24)*((Quesería!$B$40*$C$652*$C$649)-(Quesería!$B$40*$C$652*$C$649)/(Quesería!$B$42-Quesería!$B$43)*MAX(0,MIN(H$43-1-1-Quesería!$B$43,(Quesería!$B$42-Quesería!$B$43)))),0))*H651</f>
        <v>41.9966900414366</v>
      </c>
      <c r="I679" s="35" t="n">
        <f aca="false">(IF(AND(I$43&gt;0,I$43&lt;=0+Quesería!$B$42),($P$14+$P$24)*((Quesería!$B$40*$B$652*$B$649)-(Quesería!$B$40*$B$652*$B$649)/(Quesería!$B$42-Quesería!$B$43)*MAX(0,MIN(I$43-1-0-Quesería!$B$43,(Quesería!$B$42-Quesería!$B$43)))),0)+IF(AND(I$43&gt;1,I$43&lt;=1+Quesería!$B$42),($P$14+$P$24)*((Quesería!$B$40*$C$652*$C$649)-(Quesería!$B$40*$C$652*$C$649)/(Quesería!$B$42-Quesería!$B$43)*MAX(0,MIN(I$43-1-1-Quesería!$B$43,(Quesería!$B$42-Quesería!$B$43)))),0))*I651</f>
        <v>24.3651201322873</v>
      </c>
      <c r="J679" s="35" t="n">
        <f aca="false">(IF(AND(J$43&gt;0,J$43&lt;=0+Quesería!$B$42),($P$14+$P$24)*((Quesería!$B$40*$B$652*$B$649)-(Quesería!$B$40*$B$652*$B$649)/(Quesería!$B$42-Quesería!$B$43)*MAX(0,MIN(J$43-1-0-Quesería!$B$43,(Quesería!$B$42-Quesería!$B$43)))),0)+IF(AND(J$43&gt;1,J$43&lt;=1+Quesería!$B$42),($P$14+$P$24)*((Quesería!$B$40*$C$652*$C$649)-(Quesería!$B$40*$C$652*$C$649)/(Quesería!$B$42-Quesería!$B$43)*MAX(0,MIN(J$43-1-1-Quesería!$B$43,(Quesería!$B$42-Quesería!$B$43)))),0))*J651</f>
        <v>8.02769955040774</v>
      </c>
      <c r="K679" s="35" t="n">
        <f aca="false">(IF(AND(K$43&gt;0,K$43&lt;=0+Quesería!$B$42),($P$14+$P$24)*((Quesería!$B$40*$B$652*$B$649)-(Quesería!$B$40*$B$652*$B$649)/(Quesería!$B$42-Quesería!$B$43)*MAX(0,MIN(K$43-1-0-Quesería!$B$43,(Quesería!$B$42-Quesería!$B$43)))),0)+IF(AND(K$43&gt;1,K$43&lt;=1+Quesería!$B$42),($P$14+$P$24)*((Quesería!$B$40*$C$652*$C$649)-(Quesería!$B$40*$C$652*$C$649)/(Quesería!$B$42-Quesería!$B$43)*MAX(0,MIN(K$43-1-1-Quesería!$B$43,(Quesería!$B$42-Quesería!$B$43)))),0))*K651</f>
        <v>0</v>
      </c>
      <c r="L679" s="35" t="n">
        <f aca="false">(IF(AND(L$43&gt;0,L$43&lt;=0+Quesería!$B$42),($P$14+$P$24)*((Quesería!$B$40*$B$652*$B$649)-(Quesería!$B$40*$B$652*$B$649)/(Quesería!$B$42-Quesería!$B$43)*MAX(0,MIN(L$43-1-0-Quesería!$B$43,(Quesería!$B$42-Quesería!$B$43)))),0)+IF(AND(L$43&gt;1,L$43&lt;=1+Quesería!$B$42),($P$14+$P$24)*((Quesería!$B$40*$C$652*$C$649)-(Quesería!$B$40*$C$652*$C$649)/(Quesería!$B$42-Quesería!$B$43)*MAX(0,MIN(L$43-1-1-Quesería!$B$43,(Quesería!$B$42-Quesería!$B$43)))),0))*L651</f>
        <v>0</v>
      </c>
    </row>
    <row r="680" customFormat="false" ht="15" hidden="false" customHeight="false" outlineLevel="0" collapsed="false">
      <c r="A680" s="6" t="s">
        <v>309</v>
      </c>
      <c r="B680" s="35" t="n">
        <f aca="false">(IF(AND(B$43&gt;0+Quesería!$B$43,B$43&lt;=0+Quesería!$B$42),(Quesería!$B$40*$B$652*$B$649)/(Quesería!$B$42-Quesería!$B$43),0)+IF(AND(B$43&gt;1+Quesería!$B$43,B$43&lt;=1+Quesería!$B$42),(Quesería!$B$40*$C$652*$C$649)/(Quesería!$B$42-Quesería!$B$43),0))*B651</f>
        <v>0</v>
      </c>
      <c r="C680" s="35" t="n">
        <f aca="false">(IF(AND(C$43&gt;0+Quesería!$B$43,C$43&lt;=0+Quesería!$B$42),(Quesería!$B$40*$B$652*$B$649)/(Quesería!$B$42-Quesería!$B$43),0)+IF(AND(C$43&gt;1+Quesería!$B$43,C$43&lt;=1+Quesería!$B$42),(Quesería!$B$40*$C$652*$C$649)/(Quesería!$B$42-Quesería!$B$43),0))*C651</f>
        <v>0</v>
      </c>
      <c r="D680" s="35" t="n">
        <f aca="false">(IF(AND(D$43&gt;0+Quesería!$B$43,D$43&lt;=0+Quesería!$B$42),(Quesería!$B$40*$B$652*$B$649)/(Quesería!$B$42-Quesería!$B$43),0)+IF(AND(D$43&gt;1+Quesería!$B$43,D$43&lt;=1+Quesería!$B$42),(Quesería!$B$40*$C$652*$C$649)/(Quesería!$B$42-Quesería!$B$43),0))*D651</f>
        <v>66.1609382586284</v>
      </c>
      <c r="E680" s="35" t="n">
        <f aca="false">(IF(AND(E$43&gt;0+Quesería!$B$43,E$43&lt;=0+Quesería!$B$42),(Quesería!$B$40*$B$652*$B$649)/(Quesería!$B$42-Quesería!$B$43),0)+IF(AND(E$43&gt;1+Quesería!$B$43,E$43&lt;=1+Quesería!$B$42),(Quesería!$B$40*$C$652*$C$649)/(Quesería!$B$42-Quesería!$B$43),0))*E651</f>
        <v>132.885251025432</v>
      </c>
      <c r="F680" s="35" t="n">
        <f aca="false">(IF(AND(F$43&gt;0+Quesería!$B$43,F$43&lt;=0+Quesería!$B$42),(Quesería!$B$40*$B$652*$B$649)/(Quesería!$B$42-Quesería!$B$43),0)+IF(AND(F$43&gt;1+Quesería!$B$43,F$43&lt;=1+Quesería!$B$42),(Quesería!$B$40*$C$652*$C$649)/(Quesería!$B$42-Quesería!$B$43),0))*F651</f>
        <v>127.774279832146</v>
      </c>
      <c r="G680" s="35" t="n">
        <f aca="false">(IF(AND(G$43&gt;0+Quesería!$B$43,G$43&lt;=0+Quesería!$B$42),(Quesería!$B$40*$B$652*$B$649)/(Quesería!$B$42-Quesería!$B$43),0)+IF(AND(G$43&gt;1+Quesería!$B$43,G$43&lt;=1+Quesería!$B$42),(Quesería!$B$40*$C$652*$C$649)/(Quesería!$B$42-Quesería!$B$43),0))*G651</f>
        <v>122.859884453986</v>
      </c>
      <c r="H680" s="35" t="n">
        <f aca="false">(IF(AND(H$43&gt;0+Quesería!$B$43,H$43&lt;=0+Quesería!$B$42),(Quesería!$B$40*$B$652*$B$649)/(Quesería!$B$42-Quesería!$B$43),0)+IF(AND(H$43&gt;1+Quesería!$B$43,H$43&lt;=1+Quesería!$B$42),(Quesería!$B$40*$C$652*$C$649)/(Quesería!$B$42-Quesería!$B$43),0))*H651</f>
        <v>118.134504282679</v>
      </c>
      <c r="I680" s="35" t="n">
        <f aca="false">(IF(AND(I$43&gt;0+Quesería!$B$43,I$43&lt;=0+Quesería!$B$42),(Quesería!$B$40*$B$652*$B$649)/(Quesería!$B$42-Quesería!$B$43),0)+IF(AND(I$43&gt;1+Quesería!$B$43,I$43&lt;=1+Quesería!$B$42),(Quesería!$B$40*$C$652*$C$649)/(Quesería!$B$42-Quesería!$B$43),0))*I651</f>
        <v>113.590869502576</v>
      </c>
      <c r="J680" s="35" t="n">
        <f aca="false">(IF(AND(J$43&gt;0+Quesería!$B$43,J$43&lt;=0+Quesería!$B$42),(Quesería!$B$40*$B$652*$B$649)/(Quesería!$B$42-Quesería!$B$43),0)+IF(AND(J$43&gt;1+Quesería!$B$43,J$43&lt;=1+Quesería!$B$42),(Quesería!$B$40*$C$652*$C$649)/(Quesería!$B$42-Quesería!$B$43),0))*J651</f>
        <v>56.9340393645939</v>
      </c>
      <c r="K680" s="35" t="n">
        <f aca="false">(IF(AND(K$43&gt;0+Quesería!$B$43,K$43&lt;=0+Quesería!$B$42),(Quesería!$B$40*$B$652*$B$649)/(Quesería!$B$42-Quesería!$B$43),0)+IF(AND(K$43&gt;1+Quesería!$B$43,K$43&lt;=1+Quesería!$B$42),(Quesería!$B$40*$C$652*$C$649)/(Quesería!$B$42-Quesería!$B$43),0))*K651</f>
        <v>0</v>
      </c>
      <c r="L680" s="35" t="n">
        <f aca="false">(IF(AND(L$43&gt;0+Quesería!$B$43,L$43&lt;=0+Quesería!$B$42),(Quesería!$B$40*$B$652*$B$649)/(Quesería!$B$42-Quesería!$B$43),0)+IF(AND(L$43&gt;1+Quesería!$B$43,L$43&lt;=1+Quesería!$B$42),(Quesería!$B$40*$C$652*$C$649)/(Quesería!$B$42-Quesería!$B$43),0))*L651</f>
        <v>0</v>
      </c>
    </row>
    <row r="681" customFormat="false" ht="15" hidden="false" customHeight="false" outlineLevel="0" collapsed="false">
      <c r="A681" s="6" t="s">
        <v>310</v>
      </c>
      <c r="B681" s="35" t="n">
        <f aca="false">$P$13*Quesería!$B$44*(1+0.19)*B677*B651+(1-$P$13)*IF(B$43=0,Quesería!$B$53,0)</f>
        <v>4</v>
      </c>
      <c r="C681" s="35" t="n">
        <f aca="false">$P$13*Quesería!$B$44*(1+0.19)*C677*C651+(1-$P$13)*IF(C$43=0,Quesería!$B$53,0)</f>
        <v>0</v>
      </c>
      <c r="D681" s="35" t="n">
        <f aca="false">$P$13*Quesería!$B$44*(1+0.19)*D677*D651+(1-$P$13)*IF(D$43=0,Quesería!$B$53,0)</f>
        <v>0</v>
      </c>
      <c r="E681" s="35" t="n">
        <f aca="false">$P$13*Quesería!$B$44*(1+0.19)*E677*E651+(1-$P$13)*IF(E$43=0,Quesería!$B$53,0)</f>
        <v>0</v>
      </c>
      <c r="F681" s="35" t="n">
        <f aca="false">$P$13*Quesería!$B$44*(1+0.19)*F677*F651+(1-$P$13)*IF(F$43=0,Quesería!$B$53,0)</f>
        <v>0</v>
      </c>
      <c r="G681" s="35" t="n">
        <f aca="false">$P$13*Quesería!$B$44*(1+0.19)*G677*G651+(1-$P$13)*IF(G$43=0,Quesería!$B$53,0)</f>
        <v>0</v>
      </c>
      <c r="H681" s="35" t="n">
        <f aca="false">$P$13*Quesería!$B$44*(1+0.19)*H677*H651+(1-$P$13)*IF(H$43=0,Quesería!$B$53,0)</f>
        <v>0</v>
      </c>
      <c r="I681" s="35" t="n">
        <f aca="false">$P$13*Quesería!$B$44*(1+0.19)*I677*I651+(1-$P$13)*IF(I$43=0,Quesería!$B$53,0)</f>
        <v>0</v>
      </c>
      <c r="J681" s="35" t="n">
        <f aca="false">$P$13*Quesería!$B$44*(1+0.19)*J677*J651+(1-$P$13)*IF(J$43=0,Quesería!$B$53,0)</f>
        <v>0</v>
      </c>
      <c r="K681" s="35" t="n">
        <f aca="false">$P$13*Quesería!$B$44*(1+0.19)*K677*K651+(1-$P$13)*IF(K$43=0,Quesería!$B$53,0)</f>
        <v>0</v>
      </c>
      <c r="L681" s="35" t="n">
        <f aca="false">$P$13*Quesería!$B$44*(1+0.19)*L677*L651+(1-$P$13)*IF(L$43=0,Quesería!$B$53,0)</f>
        <v>0</v>
      </c>
    </row>
    <row r="682" customFormat="false" ht="15" hidden="false" customHeight="false" outlineLevel="0" collapsed="false">
      <c r="A682" s="6" t="s">
        <v>311</v>
      </c>
      <c r="B682" s="35" t="n">
        <f aca="false">Quesería!$B$45*(B679+B680+B681)</f>
        <v>0.016</v>
      </c>
      <c r="C682" s="35" t="n">
        <f aca="false">Quesería!$B$45*(C679+C680+C681)</f>
        <v>0.233963602745223</v>
      </c>
      <c r="D682" s="35" t="n">
        <f aca="false">Quesería!$B$45*(D679+D680+D681)</f>
        <v>0.732314790083377</v>
      </c>
      <c r="E682" s="35" t="n">
        <f aca="false">Quesería!$B$45*(E679+E680+E681)</f>
        <v>0.94534510782384</v>
      </c>
      <c r="F682" s="35" t="n">
        <f aca="false">Quesería!$B$45*(F679+F680+F681)</f>
        <v>0.836920986774515</v>
      </c>
      <c r="G682" s="35" t="n">
        <f aca="false">Quesería!$B$45*(G679+G680+G681)</f>
        <v>0.73543874322037</v>
      </c>
      <c r="H682" s="35" t="n">
        <f aca="false">Quesería!$B$45*(H679+H680+H681)</f>
        <v>0.640524777296463</v>
      </c>
      <c r="I682" s="35" t="n">
        <f aca="false">Quesería!$B$45*(I679+I680+I681)</f>
        <v>0.551823958539454</v>
      </c>
      <c r="J682" s="35" t="n">
        <f aca="false">Quesería!$B$45*(J679+J680+J681)</f>
        <v>0.259846955660007</v>
      </c>
      <c r="K682" s="35" t="n">
        <f aca="false">Quesería!$B$45*(K679+K680+K681)</f>
        <v>0</v>
      </c>
      <c r="L682" s="35" t="n">
        <f aca="false">Quesería!$B$45*(L679+L680+L681)</f>
        <v>0</v>
      </c>
    </row>
    <row r="683" customFormat="false" ht="15" hidden="false" customHeight="false" outlineLevel="0" collapsed="false">
      <c r="A683" s="6" t="s">
        <v>312</v>
      </c>
      <c r="B683" s="35" t="n">
        <f aca="false">$P$17*(B679+B681+0.5*B682)</f>
        <v>1.4028</v>
      </c>
      <c r="C683" s="35" t="n">
        <f aca="false">$P$17*(C679+C681+0.5*C682)</f>
        <v>20.5127588706874</v>
      </c>
      <c r="D683" s="35" t="n">
        <f aca="false">$P$17*(D679+D681+0.5*D682)</f>
        <v>41.0493708300401</v>
      </c>
      <c r="E683" s="35" t="n">
        <f aca="false">$P$17*(E679+E681+0.5*E682)</f>
        <v>36.373294469554</v>
      </c>
      <c r="F683" s="35" t="n">
        <f aca="false">$P$17*(F679+F681+0.5*F682)</f>
        <v>28.6560495742046</v>
      </c>
      <c r="G683" s="35" t="n">
        <f aca="false">$P$17*(G679+G681+0.5*G682)</f>
        <v>21.4786322529507</v>
      </c>
      <c r="H683" s="35" t="n">
        <f aca="false">$P$17*(H679+H681+0.5*H682)</f>
        <v>14.8109333505297</v>
      </c>
      <c r="I683" s="35" t="n">
        <f aca="false">$P$17*(I679+I681+0.5*I682)</f>
        <v>8.62436123904496</v>
      </c>
      <c r="J683" s="35" t="n">
        <f aca="false">$P$17*(J679+J681+0.5*J682)</f>
        <v>2.85516805988321</v>
      </c>
      <c r="K683" s="35" t="n">
        <f aca="false">$P$17*(K679+K681+0.5*K682)</f>
        <v>0</v>
      </c>
      <c r="L683" s="35" t="n">
        <f aca="false">$P$17*(L679+L681+0.5*L682)</f>
        <v>0</v>
      </c>
    </row>
    <row r="684" customFormat="false" ht="15" hidden="false" customHeight="false" outlineLevel="0" collapsed="false">
      <c r="A684" s="5" t="s">
        <v>313</v>
      </c>
      <c r="B684" s="37" t="n">
        <f aca="false">B669+B678-B679-B680-B681-B682+B683</f>
        <v>-229.083708047218</v>
      </c>
      <c r="C684" s="37" t="n">
        <f aca="false">C669+C678-C679-C680-C681-C682+C683</f>
        <v>-5.48639878033123</v>
      </c>
      <c r="D684" s="37" t="n">
        <f aca="false">D669+D678-D679-D680-D681-D682+D683</f>
        <v>198.39172703404</v>
      </c>
      <c r="E684" s="37" t="n">
        <f aca="false">E669+E678-E679-E680-E681-E682+E683</f>
        <v>49.4416302061514</v>
      </c>
      <c r="F684" s="37" t="n">
        <f aca="false">F669+F678-F679-F680-F681-F682+F683</f>
        <v>70.2220416095642</v>
      </c>
      <c r="G684" s="37" t="n">
        <f aca="false">G669+G678-G679-G680-G681-G682+G683</f>
        <v>55.5586825696161</v>
      </c>
      <c r="H684" s="37" t="n">
        <f aca="false">H669+H678-H679-H680-H681-H682+H683</f>
        <v>63.8246157649901</v>
      </c>
      <c r="I684" s="37" t="n">
        <f aca="false">I669+I678-I679-I680-I681-I682+I683</f>
        <v>125.09176982428</v>
      </c>
      <c r="J684" s="37" t="n">
        <f aca="false">J669+J678-J679-J680-J681-J682+J683</f>
        <v>185.201598680011</v>
      </c>
      <c r="K684" s="37" t="n">
        <f aca="false">K669+K678-K679-K680-K681-K682+K683</f>
        <v>246.662000464681</v>
      </c>
      <c r="L684" s="37" t="n">
        <f aca="false">L669+L678-L679-L680-L681-L682+L683</f>
        <v>316.782295142703</v>
      </c>
    </row>
    <row r="685" customFormat="false" ht="15" hidden="false" customHeight="false" outlineLevel="0" collapsed="false">
      <c r="A685" s="9" t="s">
        <v>314</v>
      </c>
      <c r="B685" s="36" t="n">
        <f aca="false">B684*B649</f>
        <v>-242.828730530051</v>
      </c>
      <c r="C685" s="36" t="n">
        <f aca="false">C684*C649</f>
        <v>-6.10636184250866</v>
      </c>
      <c r="D685" s="36" t="n">
        <f aca="false">D684*D649</f>
        <v>230.746441837386</v>
      </c>
      <c r="E685" s="36" t="n">
        <f aca="false">E684*E649</f>
        <v>59.8050112070545</v>
      </c>
      <c r="F685" s="36" t="n">
        <f aca="false">F684*F649</f>
        <v>88.3388182519215</v>
      </c>
      <c r="G685" s="36" t="n">
        <f aca="false">G684*G649</f>
        <v>72.6881158580792</v>
      </c>
      <c r="H685" s="36" t="n">
        <f aca="false">H684*H649</f>
        <v>86.8426406959931</v>
      </c>
      <c r="I685" s="36" t="n">
        <f aca="false">I684*I649</f>
        <v>177.013703416732</v>
      </c>
      <c r="J685" s="36" t="n">
        <f aca="false">J684*J649</f>
        <v>272.556298015319</v>
      </c>
      <c r="K685" s="36" t="n">
        <f aca="false">K684*K649</f>
        <v>377.526184840437</v>
      </c>
      <c r="L685" s="36" t="n">
        <f aca="false">L684*L649</f>
        <v>504.242062126795</v>
      </c>
    </row>
    <row r="686" customFormat="false" ht="15" hidden="false" customHeight="false" outlineLevel="0" collapsed="false">
      <c r="A686" s="9" t="s">
        <v>315</v>
      </c>
      <c r="B686" s="34" t="n">
        <f aca="false">(B649/$B$649)/(1+Quesería!$B$46+$P$24)^B$43</f>
        <v>1</v>
      </c>
      <c r="C686" s="34" t="n">
        <f aca="false">(C649/$B$649)/(1+Quesería!$B$46+$P$24)^C$43</f>
        <v>0.84</v>
      </c>
      <c r="D686" s="34" t="n">
        <f aca="false">(D649/$B$649)/(1+Quesería!$B$46+$P$24)^D$43</f>
        <v>0.70224</v>
      </c>
      <c r="E686" s="34" t="n">
        <f aca="false">(E649/$B$649)/(1+Quesería!$B$46+$P$24)^E$43</f>
        <v>0.58426368</v>
      </c>
      <c r="F686" s="34" t="n">
        <f aca="false">(F649/$B$649)/(1+Quesería!$B$46+$P$24)^F$43</f>
        <v>0.48610738176</v>
      </c>
      <c r="G686" s="34" t="n">
        <f aca="false">(G649/$B$649)/(1+Quesería!$B$46+$P$24)^G$43</f>
        <v>0.40444134162432</v>
      </c>
      <c r="H686" s="34" t="n">
        <f aca="false">(H649/$B$649)/(1+Quesería!$B$46+$P$24)^H$43</f>
        <v>0.336495196231434</v>
      </c>
      <c r="I686" s="34" t="n">
        <f aca="false">(I649/$B$649)/(1+Quesería!$B$46+$P$24)^I$43</f>
        <v>0.279964003264553</v>
      </c>
      <c r="J686" s="34" t="n">
        <f aca="false">(J649/$B$649)/(1+Quesería!$B$46+$P$24)^J$43</f>
        <v>0.232930050716108</v>
      </c>
      <c r="K686" s="34" t="n">
        <f aca="false">(K649/$B$649)/(1+Quesería!$B$46+$P$24)^K$43</f>
        <v>0.193797802195802</v>
      </c>
      <c r="L686" s="34" t="n">
        <f aca="false">(L649/$B$649)/(1+Quesería!$B$46+$P$24)^L$43</f>
        <v>0.161239771426907</v>
      </c>
    </row>
    <row r="687" customFormat="false" ht="15" hidden="false" customHeight="false" outlineLevel="0" collapsed="false">
      <c r="A687" s="9" t="s">
        <v>316</v>
      </c>
      <c r="B687" s="36" t="n">
        <f aca="false">B669+B652+B654+B683</f>
        <v>60.9532547375949</v>
      </c>
      <c r="C687" s="36" t="n">
        <f aca="false">C669+C652+C654+C683</f>
        <v>369.420808912244</v>
      </c>
      <c r="D687" s="36" t="n">
        <f aca="false">D669+D652+D654+D683</f>
        <v>382.202739344968</v>
      </c>
      <c r="E687" s="36" t="n">
        <f aca="false">E669+E652+E654+E683</f>
        <v>286.723252269935</v>
      </c>
      <c r="F687" s="36" t="n">
        <f aca="false">F669+F652+F654+F683</f>
        <v>280.289209289968</v>
      </c>
      <c r="G687" s="36" t="n">
        <f aca="false">G669+G652+G654+G683</f>
        <v>245.220473784596</v>
      </c>
      <c r="H687" s="36" t="n">
        <f aca="false">H669+H652+H654+H683</f>
        <v>231.304199947169</v>
      </c>
      <c r="I687" s="36" t="n">
        <f aca="false">I669+I652+I654+I683</f>
        <v>263.599583417683</v>
      </c>
      <c r="J687" s="36" t="n">
        <f aca="false">J669+J652+J654+J683</f>
        <v>250.423184550673</v>
      </c>
      <c r="K687" s="36" t="n">
        <f aca="false">K669+K652+K654+K683</f>
        <v>246.662000464681</v>
      </c>
      <c r="L687" s="36" t="n">
        <f aca="false">L669+L652+L654+L683</f>
        <v>316.782295142703</v>
      </c>
    </row>
    <row r="688" customFormat="false" ht="15" hidden="false" customHeight="false" outlineLevel="0" collapsed="false">
      <c r="A688" s="5" t="s">
        <v>317</v>
      </c>
      <c r="B688" s="12" t="str">
        <f aca="false">IF(AND(B$43&gt;=1,(B679+B680+B681)&gt;0.001),B687/(B679+B680+B681),"")</f>
        <v/>
      </c>
      <c r="C688" s="12" t="n">
        <f aca="false">IF(AND(C$43&gt;=1,(C679+C680+C681)&gt;0.001),C687/(C679+C680+C681),"")</f>
        <v>6.31586801669368</v>
      </c>
      <c r="D688" s="12" t="n">
        <f aca="false">IF(AND(D$43&gt;=1,(D679+D680+D681)&gt;0.001),D687/(D679+D680+D681),"")</f>
        <v>2.08764178749662</v>
      </c>
      <c r="E688" s="12" t="n">
        <f aca="false">IF(AND(E$43&gt;=1,(E679+E680+E681)&gt;0.001),E687/(E679+E680+E681),"")</f>
        <v>1.21320034301532</v>
      </c>
      <c r="F688" s="12" t="n">
        <f aca="false">IF(AND(F$43&gt;=1,(F679+F680+F681)&gt;0.001),F687/(F679+F680+F681),"")</f>
        <v>1.33962088999679</v>
      </c>
      <c r="G688" s="12" t="n">
        <f aca="false">IF(AND(G$43&gt;=1,(G679+G680+G681)&gt;0.001),G687/(G679+G680+G681),"")</f>
        <v>1.33373704360917</v>
      </c>
      <c r="H688" s="12" t="n">
        <f aca="false">IF(AND(H$43&gt;=1,(H679+H680+H681)&gt;0.001),H687/(H679+H680+H681),"")</f>
        <v>1.44446683810398</v>
      </c>
      <c r="I688" s="12" t="n">
        <f aca="false">IF(AND(I$43&gt;=1,(I679+I680+I681)&gt;0.001),I687/(I679+I680+I681),"")</f>
        <v>1.91075127738468</v>
      </c>
      <c r="J688" s="12" t="n">
        <f aca="false">IF(AND(J$43&gt;=1,(J679+J680+J681)&gt;0.001),J687/(J679+J680+J681),"")</f>
        <v>3.85493351522403</v>
      </c>
      <c r="K688" s="12" t="str">
        <f aca="false">IF(AND(K$43&gt;=1,(K679+K680+K681)&gt;0.001),K687/(K679+K680+K681),"")</f>
        <v/>
      </c>
      <c r="L688" s="12" t="str">
        <f aca="false">IF(AND(L$43&gt;=1,(L679+L680+L681)&gt;0.001),L687/(L679+L680+L681),"")</f>
        <v/>
      </c>
    </row>
    <row r="690" customFormat="false" ht="15" hidden="false" customHeight="false" outlineLevel="0" collapsed="false">
      <c r="A690" s="66" t="s">
        <v>641</v>
      </c>
      <c r="B690" s="67"/>
      <c r="C690" s="67"/>
      <c r="D690" s="67"/>
      <c r="E690" s="67"/>
      <c r="F690" s="67"/>
      <c r="G690" s="67"/>
      <c r="H690" s="67"/>
      <c r="I690" s="67"/>
      <c r="J690" s="67"/>
      <c r="K690" s="67"/>
      <c r="L690" s="67"/>
    </row>
    <row r="691" customFormat="false" ht="15" hidden="false" customHeight="false" outlineLevel="0" collapsed="false">
      <c r="A691" s="9" t="s">
        <v>281</v>
      </c>
      <c r="B691" s="33" t="n">
        <f aca="false">CHOOSE($Q$15,Entorno!B$7,Entorno!B$8,Entorno!B$9)</f>
        <v>0.06</v>
      </c>
      <c r="C691" s="33" t="n">
        <f aca="false">CHOOSE($Q$15,Entorno!C$7,Entorno!C$8,Entorno!C$9)</f>
        <v>0.05</v>
      </c>
      <c r="D691" s="33" t="n">
        <f aca="false">CHOOSE($Q$15,Entorno!D$7,Entorno!D$8,Entorno!D$9)</f>
        <v>0.045</v>
      </c>
      <c r="E691" s="33" t="n">
        <f aca="false">CHOOSE($Q$15,Entorno!E$7,Entorno!E$8,Entorno!E$9)</f>
        <v>0.04</v>
      </c>
      <c r="F691" s="33" t="n">
        <f aca="false">CHOOSE($Q$15,Entorno!F$7,Entorno!F$8,Entorno!F$9)</f>
        <v>0.04</v>
      </c>
      <c r="G691" s="33" t="n">
        <f aca="false">CHOOSE($Q$15,Entorno!G$7,Entorno!G$8,Entorno!G$9)</f>
        <v>0.04</v>
      </c>
      <c r="H691" s="33" t="n">
        <f aca="false">CHOOSE($Q$15,Entorno!H$7,Entorno!H$8,Entorno!H$9)</f>
        <v>0.04</v>
      </c>
      <c r="I691" s="33" t="n">
        <f aca="false">CHOOSE($Q$15,Entorno!I$7,Entorno!I$8,Entorno!I$9)</f>
        <v>0.04</v>
      </c>
      <c r="J691" s="33" t="n">
        <f aca="false">CHOOSE($Q$15,Entorno!J$7,Entorno!J$8,Entorno!J$9)</f>
        <v>0.04</v>
      </c>
      <c r="K691" s="33" t="n">
        <f aca="false">CHOOSE($Q$15,Entorno!K$7,Entorno!K$8,Entorno!K$9)</f>
        <v>0.04</v>
      </c>
      <c r="L691" s="33" t="n">
        <f aca="false">CHOOSE($Q$15,Entorno!L$7,Entorno!L$8,Entorno!L$9)</f>
        <v>0.04</v>
      </c>
    </row>
    <row r="692" customFormat="false" ht="15" hidden="false" customHeight="false" outlineLevel="0" collapsed="false">
      <c r="A692" s="9" t="s">
        <v>282</v>
      </c>
      <c r="B692" s="34" t="n">
        <f aca="false">1+B691</f>
        <v>1.06</v>
      </c>
      <c r="C692" s="34" t="n">
        <f aca="false">B692*(1+C691)</f>
        <v>1.113</v>
      </c>
      <c r="D692" s="34" t="n">
        <f aca="false">C692*(1+D691)</f>
        <v>1.163085</v>
      </c>
      <c r="E692" s="34" t="n">
        <f aca="false">D692*(1+E691)</f>
        <v>1.2096084</v>
      </c>
      <c r="F692" s="34" t="n">
        <f aca="false">E692*(1+F691)</f>
        <v>1.257992736</v>
      </c>
      <c r="G692" s="34" t="n">
        <f aca="false">F692*(1+G691)</f>
        <v>1.30831244544</v>
      </c>
      <c r="H692" s="34" t="n">
        <f aca="false">G692*(1+H691)</f>
        <v>1.3606449432576</v>
      </c>
      <c r="I692" s="34" t="n">
        <f aca="false">H692*(1+I691)</f>
        <v>1.4150707409879</v>
      </c>
      <c r="J692" s="34" t="n">
        <f aca="false">I692*(1+J691)</f>
        <v>1.47167357062742</v>
      </c>
      <c r="K692" s="34" t="n">
        <f aca="false">J692*(1+K691)</f>
        <v>1.53054051345252</v>
      </c>
      <c r="L692" s="34" t="n">
        <f aca="false">K692*(1+L691)</f>
        <v>1.59176213399062</v>
      </c>
    </row>
    <row r="693" customFormat="false" ht="15" hidden="false" customHeight="false" outlineLevel="0" collapsed="false">
      <c r="A693" s="9" t="s">
        <v>283</v>
      </c>
      <c r="B693" s="34" t="n">
        <f aca="false">(1+$Q$16)/(1+B691)</f>
        <v>1.02358490566038</v>
      </c>
      <c r="C693" s="34" t="n">
        <f aca="false">B693*(1+Entorno!$B$13)</f>
        <v>1.02870283018868</v>
      </c>
      <c r="D693" s="34" t="n">
        <f aca="false">C693*(1+Entorno!$B$13)</f>
        <v>1.03384634433962</v>
      </c>
      <c r="E693" s="34" t="n">
        <f aca="false">D693*(1+Entorno!$B$13)</f>
        <v>1.03901557606132</v>
      </c>
      <c r="F693" s="34" t="n">
        <f aca="false">E693*(1+Entorno!$B$13)</f>
        <v>1.04421065394163</v>
      </c>
      <c r="G693" s="34" t="n">
        <f aca="false">F693*(1+Entorno!$B$13)</f>
        <v>1.04943170721133</v>
      </c>
      <c r="H693" s="34" t="n">
        <f aca="false">G693*(1+Entorno!$B$13)</f>
        <v>1.05467886574739</v>
      </c>
      <c r="I693" s="34" t="n">
        <f aca="false">H693*(1+Entorno!$B$13)</f>
        <v>1.05995226007613</v>
      </c>
      <c r="J693" s="34" t="n">
        <f aca="false">I693*(1+Entorno!$B$13)</f>
        <v>1.06525202137651</v>
      </c>
      <c r="K693" s="34" t="n">
        <f aca="false">J693*(1+Entorno!$B$13)</f>
        <v>1.07057828148339</v>
      </c>
      <c r="L693" s="34" t="n">
        <f aca="false">K693*(1+Entorno!$B$13)</f>
        <v>1.07593117289081</v>
      </c>
    </row>
    <row r="694" customFormat="false" ht="15" hidden="false" customHeight="false" outlineLevel="0" collapsed="false">
      <c r="A694" s="9" t="s">
        <v>284</v>
      </c>
      <c r="B694" s="34" t="n">
        <f aca="false">1/B692</f>
        <v>0.943396226415094</v>
      </c>
      <c r="C694" s="34" t="n">
        <f aca="false">1/C692</f>
        <v>0.898472596585804</v>
      </c>
      <c r="D694" s="34" t="n">
        <f aca="false">1/D692</f>
        <v>0.859782389077324</v>
      </c>
      <c r="E694" s="34" t="n">
        <f aca="false">1/E692</f>
        <v>0.826713835651273</v>
      </c>
      <c r="F694" s="34" t="n">
        <f aca="false">1/F692</f>
        <v>0.794917149664686</v>
      </c>
      <c r="G694" s="34" t="n">
        <f aca="false">1/G692</f>
        <v>0.764343413139121</v>
      </c>
      <c r="H694" s="34" t="n">
        <f aca="false">1/H692</f>
        <v>0.734945589556847</v>
      </c>
      <c r="I694" s="34" t="n">
        <f aca="false">1/I692</f>
        <v>0.706678451496968</v>
      </c>
      <c r="J694" s="34" t="n">
        <f aca="false">1/J692</f>
        <v>0.679498511054777</v>
      </c>
      <c r="K694" s="34" t="n">
        <f aca="false">1/K692</f>
        <v>0.653363952937286</v>
      </c>
      <c r="L694" s="34" t="n">
        <f aca="false">1/L692</f>
        <v>0.628234570132006</v>
      </c>
    </row>
    <row r="695" customFormat="false" ht="15" hidden="false" customHeight="false" outlineLevel="0" collapsed="false">
      <c r="A695" s="6" t="s">
        <v>202</v>
      </c>
      <c r="B695" s="35" t="n">
        <f aca="false">IF(B$43=0,Quesería!$F$80,IF(B$43=1,Quesería!$F$81*$Q$21,0))*$Q$11</f>
        <v>622.243624322401</v>
      </c>
      <c r="C695" s="35" t="n">
        <f aca="false">IF(C$43=0,Quesería!$F$80,IF(C$43=1,Quesería!$F$81*$Q$21,0))*$Q$11</f>
        <v>645.270088578622</v>
      </c>
      <c r="D695" s="35" t="n">
        <f aca="false">IF(D$43=0,Quesería!$F$80,IF(D$43=1,Quesería!$F$81*$Q$21,0))*$Q$11</f>
        <v>0</v>
      </c>
      <c r="E695" s="35" t="n">
        <f aca="false">IF(E$43=0,Quesería!$F$80,IF(E$43=1,Quesería!$F$81*$Q$21,0))*$Q$11</f>
        <v>0</v>
      </c>
      <c r="F695" s="35" t="n">
        <f aca="false">IF(F$43=0,Quesería!$F$80,IF(F$43=1,Quesería!$F$81*$Q$21,0))*$Q$11</f>
        <v>0</v>
      </c>
      <c r="G695" s="35" t="n">
        <f aca="false">IF(G$43=0,Quesería!$F$80,IF(G$43=1,Quesería!$F$81*$Q$21,0))*$Q$11</f>
        <v>0</v>
      </c>
      <c r="H695" s="35" t="n">
        <f aca="false">IF(H$43=0,Quesería!$F$80,IF(H$43=1,Quesería!$F$81*$Q$21,0))*$Q$11</f>
        <v>0</v>
      </c>
      <c r="I695" s="35" t="n">
        <f aca="false">IF(I$43=0,Quesería!$F$80,IF(I$43=1,Quesería!$F$81*$Q$21,0))*$Q$11</f>
        <v>0</v>
      </c>
      <c r="J695" s="35" t="n">
        <f aca="false">IF(J$43=0,Quesería!$F$80,IF(J$43=1,Quesería!$F$81*$Q$21,0))*$Q$11</f>
        <v>0</v>
      </c>
      <c r="K695" s="35" t="n">
        <f aca="false">IF(K$43=0,Quesería!$F$80,IF(K$43=1,Quesería!$F$81*$Q$21,0))*$Q$11</f>
        <v>0</v>
      </c>
      <c r="L695" s="35" t="n">
        <f aca="false">IF(L$43=0,Quesería!$F$80,IF(L$43=1,Quesería!$F$81*$Q$21,0))*$Q$11</f>
        <v>0</v>
      </c>
    </row>
    <row r="696" customFormat="false" ht="15" hidden="false" customHeight="false" outlineLevel="0" collapsed="false">
      <c r="A696" s="6" t="s">
        <v>285</v>
      </c>
      <c r="B696" s="35" t="n">
        <f aca="false">IF(B$43=5,Quesería!$F$87,IF(B$43=6,Quesería!$F$88,0))*$Q$11</f>
        <v>0</v>
      </c>
      <c r="C696" s="35" t="n">
        <f aca="false">IF(C$43=5,Quesería!$F$87,IF(C$43=6,Quesería!$F$88,0))*$Q$11</f>
        <v>0</v>
      </c>
      <c r="D696" s="35" t="n">
        <f aca="false">IF(D$43=5,Quesería!$F$87,IF(D$43=6,Quesería!$F$88,0))*$Q$11</f>
        <v>0</v>
      </c>
      <c r="E696" s="35" t="n">
        <f aca="false">IF(E$43=5,Quesería!$F$87,IF(E$43=6,Quesería!$F$88,0))*$Q$11</f>
        <v>0</v>
      </c>
      <c r="F696" s="35" t="n">
        <f aca="false">IF(F$43=5,Quesería!$F$87,IF(F$43=6,Quesería!$F$88,0))*$Q$11</f>
        <v>0</v>
      </c>
      <c r="G696" s="35" t="n">
        <f aca="false">IF(G$43=5,Quesería!$F$87,IF(G$43=6,Quesería!$F$88,0))*$Q$11</f>
        <v>26.6666666666667</v>
      </c>
      <c r="H696" s="35" t="n">
        <f aca="false">IF(H$43=5,Quesería!$F$87,IF(H$43=6,Quesería!$F$88,0))*$Q$11</f>
        <v>35.3045530566667</v>
      </c>
      <c r="I696" s="35" t="n">
        <f aca="false">IF(I$43=5,Quesería!$F$87,IF(I$43=6,Quesería!$F$88,0))*$Q$11</f>
        <v>0</v>
      </c>
      <c r="J696" s="35" t="n">
        <f aca="false">IF(J$43=5,Quesería!$F$87,IF(J$43=6,Quesería!$F$88,0))*$Q$11</f>
        <v>0</v>
      </c>
      <c r="K696" s="35" t="n">
        <f aca="false">IF(K$43=5,Quesería!$F$87,IF(K$43=6,Quesería!$F$88,0))*$Q$11</f>
        <v>0</v>
      </c>
      <c r="L696" s="35" t="n">
        <f aca="false">IF(L$43=5,Quesería!$F$87,IF(L$43=6,Quesería!$F$88,0))*$Q$11</f>
        <v>0</v>
      </c>
    </row>
    <row r="697" customFormat="false" ht="15" hidden="false" customHeight="false" outlineLevel="0" collapsed="false">
      <c r="A697" s="6" t="s">
        <v>286</v>
      </c>
      <c r="B697" s="35" t="n">
        <f aca="false">Quesería!$B$36*(IF(B$43=0,SUMPRODUCT((Quesería!$C$62:$C$77=0)*(Quesería!$H$62:$H$77&gt;0)*(Quesería!$J$62:$J$77&gt;0)*Quesería!$F$62:$F$77*(1+Quesería!$I$62:$I$77)),IF(B$43=1,SUMPRODUCT((Quesería!$C$62:$C$77=1)*(Quesería!$H$62:$H$77&gt;0)*(Quesería!$J$62:$J$77&gt;0)*Quesería!$F$62:$F$77*(1+Quesería!$I$62:$I$77))*$Q$21,0))*$Q$11+B696)</f>
        <v>99.347875488093</v>
      </c>
      <c r="C697" s="35" t="n">
        <f aca="false">Quesería!$B$36*(IF(C$43=0,SUMPRODUCT((Quesería!$C$62:$C$77=0)*(Quesería!$H$62:$H$77&gt;0)*(Quesería!$J$62:$J$77&gt;0)*Quesería!$F$62:$F$77*(1+Quesería!$I$62:$I$77)),IF(C$43=1,SUMPRODUCT((Quesería!$C$62:$C$77=1)*(Quesería!$H$62:$H$77&gt;0)*(Quesería!$J$62:$J$77&gt;0)*Quesería!$F$62:$F$77*(1+Quesería!$I$62:$I$77))*$Q$21,0))*$Q$11+C696)</f>
        <v>122.601316829938</v>
      </c>
      <c r="D697" s="35" t="n">
        <f aca="false">Quesería!$B$36*(IF(D$43=0,SUMPRODUCT((Quesería!$C$62:$C$77=0)*(Quesería!$H$62:$H$77&gt;0)*(Quesería!$J$62:$J$77&gt;0)*Quesería!$F$62:$F$77*(1+Quesería!$I$62:$I$77)),IF(D$43=1,SUMPRODUCT((Quesería!$C$62:$C$77=1)*(Quesería!$H$62:$H$77&gt;0)*(Quesería!$J$62:$J$77&gt;0)*Quesería!$F$62:$F$77*(1+Quesería!$I$62:$I$77))*$Q$21,0))*$Q$11+D696)</f>
        <v>0</v>
      </c>
      <c r="E697" s="35" t="n">
        <f aca="false">Quesería!$B$36*(IF(E$43=0,SUMPRODUCT((Quesería!$C$62:$C$77=0)*(Quesería!$H$62:$H$77&gt;0)*(Quesería!$J$62:$J$77&gt;0)*Quesería!$F$62:$F$77*(1+Quesería!$I$62:$I$77)),IF(E$43=1,SUMPRODUCT((Quesería!$C$62:$C$77=1)*(Quesería!$H$62:$H$77&gt;0)*(Quesería!$J$62:$J$77&gt;0)*Quesería!$F$62:$F$77*(1+Quesería!$I$62:$I$77))*$Q$21,0))*$Q$11+E696)</f>
        <v>0</v>
      </c>
      <c r="F697" s="35" t="n">
        <f aca="false">Quesería!$B$36*(IF(F$43=0,SUMPRODUCT((Quesería!$C$62:$C$77=0)*(Quesería!$H$62:$H$77&gt;0)*(Quesería!$J$62:$J$77&gt;0)*Quesería!$F$62:$F$77*(1+Quesería!$I$62:$I$77)),IF(F$43=1,SUMPRODUCT((Quesería!$C$62:$C$77=1)*(Quesería!$H$62:$H$77&gt;0)*(Quesería!$J$62:$J$77&gt;0)*Quesería!$F$62:$F$77*(1+Quesería!$I$62:$I$77))*$Q$21,0))*$Q$11+F696)</f>
        <v>0</v>
      </c>
      <c r="G697" s="35" t="n">
        <f aca="false">Quesería!$B$36*(IF(G$43=0,SUMPRODUCT((Quesería!$C$62:$C$77=0)*(Quesería!$H$62:$H$77&gt;0)*(Quesería!$J$62:$J$77&gt;0)*Quesería!$F$62:$F$77*(1+Quesería!$I$62:$I$77)),IF(G$43=1,SUMPRODUCT((Quesería!$C$62:$C$77=1)*(Quesería!$H$62:$H$77&gt;0)*(Quesería!$J$62:$J$77&gt;0)*Quesería!$F$62:$F$77*(1+Quesería!$I$62:$I$77))*$Q$21,0))*$Q$11+G696)</f>
        <v>5.06666666666667</v>
      </c>
      <c r="H697" s="35" t="n">
        <f aca="false">Quesería!$B$36*(IF(H$43=0,SUMPRODUCT((Quesería!$C$62:$C$77=0)*(Quesería!$H$62:$H$77&gt;0)*(Quesería!$J$62:$J$77&gt;0)*Quesería!$F$62:$F$77*(1+Quesería!$I$62:$I$77)),IF(H$43=1,SUMPRODUCT((Quesería!$C$62:$C$77=1)*(Quesería!$H$62:$H$77&gt;0)*(Quesería!$J$62:$J$77&gt;0)*Quesería!$F$62:$F$77*(1+Quesería!$I$62:$I$77))*$Q$21,0))*$Q$11+H696)</f>
        <v>6.70786508076667</v>
      </c>
      <c r="I697" s="35" t="n">
        <f aca="false">Quesería!$B$36*(IF(I$43=0,SUMPRODUCT((Quesería!$C$62:$C$77=0)*(Quesería!$H$62:$H$77&gt;0)*(Quesería!$J$62:$J$77&gt;0)*Quesería!$F$62:$F$77*(1+Quesería!$I$62:$I$77)),IF(I$43=1,SUMPRODUCT((Quesería!$C$62:$C$77=1)*(Quesería!$H$62:$H$77&gt;0)*(Quesería!$J$62:$J$77&gt;0)*Quesería!$F$62:$F$77*(1+Quesería!$I$62:$I$77))*$Q$21,0))*$Q$11+I696)</f>
        <v>0</v>
      </c>
      <c r="J697" s="35" t="n">
        <f aca="false">Quesería!$B$36*(IF(J$43=0,SUMPRODUCT((Quesería!$C$62:$C$77=0)*(Quesería!$H$62:$H$77&gt;0)*(Quesería!$J$62:$J$77&gt;0)*Quesería!$F$62:$F$77*(1+Quesería!$I$62:$I$77)),IF(J$43=1,SUMPRODUCT((Quesería!$C$62:$C$77=1)*(Quesería!$H$62:$H$77&gt;0)*(Quesería!$J$62:$J$77&gt;0)*Quesería!$F$62:$F$77*(1+Quesería!$I$62:$I$77))*$Q$21,0))*$Q$11+J696)</f>
        <v>0</v>
      </c>
      <c r="K697" s="35" t="n">
        <f aca="false">Quesería!$B$36*(IF(K$43=0,SUMPRODUCT((Quesería!$C$62:$C$77=0)*(Quesería!$H$62:$H$77&gt;0)*(Quesería!$J$62:$J$77&gt;0)*Quesería!$F$62:$F$77*(1+Quesería!$I$62:$I$77)),IF(K$43=1,SUMPRODUCT((Quesería!$C$62:$C$77=1)*(Quesería!$H$62:$H$77&gt;0)*(Quesería!$J$62:$J$77&gt;0)*Quesería!$F$62:$F$77*(1+Quesería!$I$62:$I$77))*$Q$21,0))*$Q$11+K696)</f>
        <v>0</v>
      </c>
      <c r="L697" s="35" t="n">
        <f aca="false">Quesería!$B$36*(IF(L$43=0,SUMPRODUCT((Quesería!$C$62:$C$77=0)*(Quesería!$H$62:$H$77&gt;0)*(Quesería!$J$62:$J$77&gt;0)*Quesería!$F$62:$F$77*(1+Quesería!$I$62:$I$77)),IF(L$43=1,SUMPRODUCT((Quesería!$C$62:$C$77=1)*(Quesería!$H$62:$H$77&gt;0)*(Quesería!$J$62:$J$77&gt;0)*Quesería!$F$62:$F$77*(1+Quesería!$I$62:$I$77))*$Q$21,0))*$Q$11+L696)</f>
        <v>0</v>
      </c>
    </row>
    <row r="698" customFormat="false" ht="15" hidden="false" customHeight="false" outlineLevel="0" collapsed="false">
      <c r="A698" s="6" t="s">
        <v>260</v>
      </c>
      <c r="B698" s="35" t="n">
        <f aca="false">IF(B$43=0,($Q$22*Quesería!$J$109+(1-$Q$22)*Quesería!$E$105)*Quesería!$B$12*Quesería!$B$13/12*$Q$23,(($Q$22*Quesería!$J$109+(1-$Q$22)*Quesería!$E$105)+($Q$22*Quesería!$J$92+(1-$Q$22)*Quesería!$E$92)*(B693-1))*IF(B$43=1,Quesería!$B$12,1))*$Q$10</f>
        <v>45.6373732102639</v>
      </c>
      <c r="C698" s="35" t="n">
        <f aca="false">IF(C$43=0,($Q$22*Quesería!$J$109+(1-$Q$22)*Quesería!$E$105)*Quesería!$B$12*Quesería!$B$13/12*$Q$23,(($Q$22*Quesería!$J$109+(1-$Q$22)*Quesería!$E$105)+($Q$22*Quesería!$J$92+(1-$Q$22)*Quesería!$E$92)*(C693-1))*IF(C$43=1,Quesería!$B$12,1))*$Q$10</f>
        <v>137.165278593056</v>
      </c>
      <c r="D698" s="35" t="n">
        <f aca="false">IF(D$43=0,($Q$22*Quesería!$J$109+(1-$Q$22)*Quesería!$E$105)*Quesería!$B$12*Quesería!$B$13/12*$Q$23,(($Q$22*Quesería!$J$109+(1-$Q$22)*Quesería!$E$105)+($Q$22*Quesería!$J$92+(1-$Q$22)*Quesería!$E$92)*(D693-1))*IF(D$43=1,Quesería!$B$12,1))*$Q$10</f>
        <v>182.947525850489</v>
      </c>
      <c r="E698" s="35" t="n">
        <f aca="false">IF(E$43=0,($Q$22*Quesería!$J$109+(1-$Q$22)*Quesería!$E$105)*Quesería!$B$12*Quesería!$B$13/12*$Q$23,(($Q$22*Quesería!$J$109+(1-$Q$22)*Quesería!$E$105)+($Q$22*Quesería!$J$92+(1-$Q$22)*Quesería!$E$92)*(E693-1))*IF(E$43=1,Quesería!$B$12,1))*$Q$10</f>
        <v>183.008316015537</v>
      </c>
      <c r="F698" s="35" t="n">
        <f aca="false">IF(F$43=0,($Q$22*Quesería!$J$109+(1-$Q$22)*Quesería!$E$105)*Quesería!$B$12*Quesería!$B$13/12*$Q$23,(($Q$22*Quesería!$J$109+(1-$Q$22)*Quesería!$E$105)+($Q$22*Quesería!$J$92+(1-$Q$22)*Quesería!$E$92)*(F693-1))*IF(F$43=1,Quesería!$B$12,1))*$Q$10</f>
        <v>183.069410131409</v>
      </c>
      <c r="G698" s="35" t="n">
        <f aca="false">IF(G$43=0,($Q$22*Quesería!$J$109+(1-$Q$22)*Quesería!$E$105)*Quesería!$B$12*Quesería!$B$13/12*$Q$23,(($Q$22*Quesería!$J$109+(1-$Q$22)*Quesería!$E$105)+($Q$22*Quesería!$J$92+(1-$Q$22)*Quesería!$E$92)*(G693-1))*IF(G$43=1,Quesería!$B$12,1))*$Q$10</f>
        <v>183.130809717861</v>
      </c>
      <c r="H698" s="35" t="n">
        <f aca="false">IF(H$43=0,($Q$22*Quesería!$J$109+(1-$Q$22)*Quesería!$E$105)*Quesería!$B$12*Quesería!$B$13/12*$Q$23,(($Q$22*Quesería!$J$109+(1-$Q$22)*Quesería!$E$105)+($Q$22*Quesería!$J$92+(1-$Q$22)*Quesería!$E$92)*(H693-1))*IF(H$43=1,Quesería!$B$12,1))*$Q$10</f>
        <v>183.192516302245</v>
      </c>
      <c r="I698" s="35" t="n">
        <f aca="false">IF(I$43=0,($Q$22*Quesería!$J$109+(1-$Q$22)*Quesería!$E$105)*Quesería!$B$12*Quesería!$B$13/12*$Q$23,(($Q$22*Quesería!$J$109+(1-$Q$22)*Quesería!$E$105)+($Q$22*Quesería!$J$92+(1-$Q$22)*Quesería!$E$92)*(I693-1))*IF(I$43=1,Quesería!$B$12,1))*$Q$10</f>
        <v>183.254531419551</v>
      </c>
      <c r="J698" s="35" t="n">
        <f aca="false">IF(J$43=0,($Q$22*Quesería!$J$109+(1-$Q$22)*Quesería!$E$105)*Quesería!$B$12*Quesería!$B$13/12*$Q$23,(($Q$22*Quesería!$J$109+(1-$Q$22)*Quesería!$E$105)+($Q$22*Quesería!$J$92+(1-$Q$22)*Quesería!$E$92)*(J693-1))*IF(J$43=1,Quesería!$B$12,1))*$Q$10</f>
        <v>183.316856612443</v>
      </c>
      <c r="K698" s="35" t="n">
        <f aca="false">IF(K$43=0,($Q$22*Quesería!$J$109+(1-$Q$22)*Quesería!$E$105)*Quesería!$B$12*Quesería!$B$13/12*$Q$23,(($Q$22*Quesería!$J$109+(1-$Q$22)*Quesería!$E$105)+($Q$22*Quesería!$J$92+(1-$Q$22)*Quesería!$E$92)*(K693-1))*IF(K$43=1,Quesería!$B$12,1))*$Q$10</f>
        <v>183.3794934313</v>
      </c>
      <c r="L698" s="35" t="n">
        <f aca="false">IF(L$43=0,($Q$22*Quesería!$J$109+(1-$Q$22)*Quesería!$E$105)*Quesería!$B$12*Quesería!$B$13/12*$Q$23,(($Q$22*Quesería!$J$109+(1-$Q$22)*Quesería!$E$105)+($Q$22*Quesería!$J$92+(1-$Q$22)*Quesería!$E$92)*(L693-1))*IF(L$43=1,Quesería!$B$12,1))*$Q$10</f>
        <v>183.442443434251</v>
      </c>
    </row>
    <row r="699" customFormat="false" ht="15" hidden="false" customHeight="false" outlineLevel="0" collapsed="false">
      <c r="A699" s="6" t="s">
        <v>261</v>
      </c>
      <c r="B699" s="35" t="n">
        <f aca="false">IF(B$43&lt;=1,0,((($Q$22*Quesería!$J$110+(1-$Q$22)*Quesería!$E$106)-($Q$22*Quesería!$J$99+(1-$Q$22)*Quesería!$E$99)+$Q$6*($Q$22*Quesería!$J$99+(1-$Q$22)*Quesería!$E$99)-(1-$Q$9)*($Q$22*Quesería!$J$102+(1-$Q$22)*Quesería!$E$102))+($Q$6*($Q$22*Quesería!$J$99+(1-$Q$22)*Quesería!$E$99)+$Q$9*($Q$22*Quesería!$J$102+(1-$Q$22)*Quesería!$E$102))*(B693-1))*IF(B$43=2,Quesería!$B$12,1)+IF(B$43=2,Quesería!$B$14*$Q$9*($Q$22*Quesería!$J$102+(1-$Q$22)*Quesería!$E$102)*B693,0))*$Q$10*$Q$21</f>
        <v>0</v>
      </c>
      <c r="C699" s="35" t="n">
        <f aca="false">IF(C$43&lt;=1,0,((($Q$22*Quesería!$J$110+(1-$Q$22)*Quesería!$E$106)-($Q$22*Quesería!$J$99+(1-$Q$22)*Quesería!$E$99)+$Q$6*($Q$22*Quesería!$J$99+(1-$Q$22)*Quesería!$E$99)-(1-$Q$9)*($Q$22*Quesería!$J$102+(1-$Q$22)*Quesería!$E$102))+($Q$6*($Q$22*Quesería!$J$99+(1-$Q$22)*Quesería!$E$99)+$Q$9*($Q$22*Quesería!$J$102+(1-$Q$22)*Quesería!$E$102))*(C693-1))*IF(C$43=2,Quesería!$B$12,1)+IF(C$43=2,Quesería!$B$14*$Q$9*($Q$22*Quesería!$J$102+(1-$Q$22)*Quesería!$E$102)*C693,0))*$Q$10*$Q$21</f>
        <v>0</v>
      </c>
      <c r="D699" s="35" t="n">
        <f aca="false">IF(D$43&lt;=1,0,((($Q$22*Quesería!$J$110+(1-$Q$22)*Quesería!$E$106)-($Q$22*Quesería!$J$99+(1-$Q$22)*Quesería!$E$99)+$Q$6*($Q$22*Quesería!$J$99+(1-$Q$22)*Quesería!$E$99)-(1-$Q$9)*($Q$22*Quesería!$J$102+(1-$Q$22)*Quesería!$E$102))+($Q$6*($Q$22*Quesería!$J$99+(1-$Q$22)*Quesería!$E$99)+$Q$9*($Q$22*Quesería!$J$102+(1-$Q$22)*Quesería!$E$102))*(D693-1))*IF(D$43=2,Quesería!$B$12,1)+IF(D$43=2,Quesería!$B$14*$Q$9*($Q$22*Quesería!$J$102+(1-$Q$22)*Quesería!$E$102)*D693,0))*$Q$10*$Q$21</f>
        <v>197.837804186257</v>
      </c>
      <c r="E699" s="35" t="n">
        <f aca="false">IF(E$43&lt;=1,0,((($Q$22*Quesería!$J$110+(1-$Q$22)*Quesería!$E$106)-($Q$22*Quesería!$J$99+(1-$Q$22)*Quesería!$E$99)+$Q$6*($Q$22*Quesería!$J$99+(1-$Q$22)*Quesería!$E$99)-(1-$Q$9)*($Q$22*Quesería!$J$102+(1-$Q$22)*Quesería!$E$102))+($Q$6*($Q$22*Quesería!$J$99+(1-$Q$22)*Quesería!$E$99)+$Q$9*($Q$22*Quesería!$J$102+(1-$Q$22)*Quesería!$E$102))*(E693-1))*IF(E$43=2,Quesería!$B$12,1)+IF(E$43=2,Quesería!$B$14*$Q$9*($Q$22*Quesería!$J$102+(1-$Q$22)*Quesería!$E$102)*E693,0))*$Q$10*$Q$21</f>
        <v>234.441939047038</v>
      </c>
      <c r="F699" s="35" t="n">
        <f aca="false">IF(F$43&lt;=1,0,((($Q$22*Quesería!$J$110+(1-$Q$22)*Quesería!$E$106)-($Q$22*Quesería!$J$99+(1-$Q$22)*Quesería!$E$99)+$Q$6*($Q$22*Quesería!$J$99+(1-$Q$22)*Quesería!$E$99)-(1-$Q$9)*($Q$22*Quesería!$J$102+(1-$Q$22)*Quesería!$E$102))+($Q$6*($Q$22*Quesería!$J$99+(1-$Q$22)*Quesería!$E$99)+$Q$9*($Q$22*Quesería!$J$102+(1-$Q$22)*Quesería!$E$102))*(F693-1))*IF(F$43=2,Quesería!$B$12,1)+IF(F$43=2,Quesería!$B$14*$Q$9*($Q$22*Quesería!$J$102+(1-$Q$22)*Quesería!$E$102)*F693,0))*$Q$10*$Q$21</f>
        <v>234.877078770292</v>
      </c>
      <c r="G699" s="35" t="n">
        <f aca="false">IF(G$43&lt;=1,0,((($Q$22*Quesería!$J$110+(1-$Q$22)*Quesería!$E$106)-($Q$22*Quesería!$J$99+(1-$Q$22)*Quesería!$E$99)+$Q$6*($Q$22*Quesería!$J$99+(1-$Q$22)*Quesería!$E$99)-(1-$Q$9)*($Q$22*Quesería!$J$102+(1-$Q$22)*Quesería!$E$102))+($Q$6*($Q$22*Quesería!$J$99+(1-$Q$22)*Quesería!$E$99)+$Q$9*($Q$22*Quesería!$J$102+(1-$Q$22)*Quesería!$E$102))*(G693-1))*IF(G$43=2,Quesería!$B$12,1)+IF(G$43=2,Quesería!$B$14*$Q$9*($Q$22*Quesería!$J$102+(1-$Q$22)*Quesería!$E$102)*G693,0))*$Q$10*$Q$21</f>
        <v>235.314394192163</v>
      </c>
      <c r="H699" s="35" t="n">
        <f aca="false">IF(H$43&lt;=1,0,((($Q$22*Quesería!$J$110+(1-$Q$22)*Quesería!$E$106)-($Q$22*Quesería!$J$99+(1-$Q$22)*Quesería!$E$99)+$Q$6*($Q$22*Quesería!$J$99+(1-$Q$22)*Quesería!$E$99)-(1-$Q$9)*($Q$22*Quesería!$J$102+(1-$Q$22)*Quesería!$E$102))+($Q$6*($Q$22*Quesería!$J$99+(1-$Q$22)*Quesería!$E$99)+$Q$9*($Q$22*Quesería!$J$102+(1-$Q$22)*Quesería!$E$102))*(H693-1))*IF(H$43=2,Quesería!$B$12,1)+IF(H$43=2,Quesería!$B$14*$Q$9*($Q$22*Quesería!$J$102+(1-$Q$22)*Quesería!$E$102)*H693,0))*$Q$10*$Q$21</f>
        <v>235.753896191143</v>
      </c>
      <c r="I699" s="35" t="n">
        <f aca="false">IF(I$43&lt;=1,0,((($Q$22*Quesería!$J$110+(1-$Q$22)*Quesería!$E$106)-($Q$22*Quesería!$J$99+(1-$Q$22)*Quesería!$E$99)+$Q$6*($Q$22*Quesería!$J$99+(1-$Q$22)*Quesería!$E$99)-(1-$Q$9)*($Q$22*Quesería!$J$102+(1-$Q$22)*Quesería!$E$102))+($Q$6*($Q$22*Quesería!$J$99+(1-$Q$22)*Quesería!$E$99)+$Q$9*($Q$22*Quesería!$J$102+(1-$Q$22)*Quesería!$E$102))*(I693-1))*IF(I$43=2,Quesería!$B$12,1)+IF(I$43=2,Quesería!$B$14*$Q$9*($Q$22*Quesería!$J$102+(1-$Q$22)*Quesería!$E$102)*I693,0))*$Q$10*$Q$21</f>
        <v>236.195595700118</v>
      </c>
      <c r="J699" s="35" t="n">
        <f aca="false">IF(J$43&lt;=1,0,((($Q$22*Quesería!$J$110+(1-$Q$22)*Quesería!$E$106)-($Q$22*Quesería!$J$99+(1-$Q$22)*Quesería!$E$99)+$Q$6*($Q$22*Quesería!$J$99+(1-$Q$22)*Quesería!$E$99)-(1-$Q$9)*($Q$22*Quesería!$J$102+(1-$Q$22)*Quesería!$E$102))+($Q$6*($Q$22*Quesería!$J$99+(1-$Q$22)*Quesería!$E$99)+$Q$9*($Q$22*Quesería!$J$102+(1-$Q$22)*Quesería!$E$102))*(J693-1))*IF(J$43=2,Quesería!$B$12,1)+IF(J$43=2,Quesería!$B$14*$Q$9*($Q$22*Quesería!$J$102+(1-$Q$22)*Quesería!$E$102)*J693,0))*$Q$10*$Q$21</f>
        <v>236.639503706638</v>
      </c>
      <c r="K699" s="35" t="n">
        <f aca="false">IF(K$43&lt;=1,0,((($Q$22*Quesería!$J$110+(1-$Q$22)*Quesería!$E$106)-($Q$22*Quesería!$J$99+(1-$Q$22)*Quesería!$E$99)+$Q$6*($Q$22*Quesería!$J$99+(1-$Q$22)*Quesería!$E$99)-(1-$Q$9)*($Q$22*Quesería!$J$102+(1-$Q$22)*Quesería!$E$102))+($Q$6*($Q$22*Quesería!$J$99+(1-$Q$22)*Quesería!$E$99)+$Q$9*($Q$22*Quesería!$J$102+(1-$Q$22)*Quesería!$E$102))*(K693-1))*IF(K$43=2,Quesería!$B$12,1)+IF(K$43=2,Quesería!$B$14*$Q$9*($Q$22*Quesería!$J$102+(1-$Q$22)*Quesería!$E$102)*K693,0))*$Q$10*$Q$21</f>
        <v>237.08563125319</v>
      </c>
      <c r="L699" s="35" t="n">
        <f aca="false">IF(L$43&lt;=1,0,((($Q$22*Quesería!$J$110+(1-$Q$22)*Quesería!$E$106)-($Q$22*Quesería!$J$99+(1-$Q$22)*Quesería!$E$99)+$Q$6*($Q$22*Quesería!$J$99+(1-$Q$22)*Quesería!$E$99)-(1-$Q$9)*($Q$22*Quesería!$J$102+(1-$Q$22)*Quesería!$E$102))+($Q$6*($Q$22*Quesería!$J$99+(1-$Q$22)*Quesería!$E$99)+$Q$9*($Q$22*Quesería!$J$102+(1-$Q$22)*Quesería!$E$102))*(L693-1))*IF(L$43=2,Quesería!$B$12,1)+IF(L$43=2,Quesería!$B$14*$Q$9*($Q$22*Quesería!$J$102+(1-$Q$22)*Quesería!$E$102)*L693,0))*$Q$10*$Q$21</f>
        <v>237.533989437476</v>
      </c>
    </row>
    <row r="700" customFormat="false" ht="15" hidden="false" customHeight="false" outlineLevel="0" collapsed="false">
      <c r="A700" s="5" t="s">
        <v>287</v>
      </c>
      <c r="B700" s="10" t="n">
        <f aca="false">B698+B699</f>
        <v>45.6373732102639</v>
      </c>
      <c r="C700" s="10" t="n">
        <f aca="false">C698+C699</f>
        <v>137.165278593056</v>
      </c>
      <c r="D700" s="10" t="n">
        <f aca="false">D698+D699</f>
        <v>380.785330036747</v>
      </c>
      <c r="E700" s="10" t="n">
        <f aca="false">E698+E699</f>
        <v>417.450255062574</v>
      </c>
      <c r="F700" s="10" t="n">
        <f aca="false">F698+F699</f>
        <v>417.946488901701</v>
      </c>
      <c r="G700" s="10" t="n">
        <f aca="false">G698+G699</f>
        <v>418.445203910024</v>
      </c>
      <c r="H700" s="10" t="n">
        <f aca="false">H698+H699</f>
        <v>418.946412493388</v>
      </c>
      <c r="I700" s="10" t="n">
        <f aca="false">I698+I699</f>
        <v>419.450127119669</v>
      </c>
      <c r="J700" s="10" t="n">
        <f aca="false">J698+J699</f>
        <v>419.956360319081</v>
      </c>
      <c r="K700" s="10" t="n">
        <f aca="false">K698+K699</f>
        <v>420.465124684491</v>
      </c>
      <c r="L700" s="10" t="n">
        <f aca="false">L698+L699</f>
        <v>420.976432871727</v>
      </c>
    </row>
    <row r="701" customFormat="false" ht="15" hidden="false" customHeight="false" outlineLevel="0" collapsed="false">
      <c r="A701" s="6" t="s">
        <v>288</v>
      </c>
      <c r="B701" s="35" t="n">
        <f aca="false">(IF(B$43&gt;=1,(Quesería!$B$21+Quesería!$B$54)*Quesería!$F$82*$Q$11+Quesería!$B$22+'Beneficios y costos'!$B$118,0)+IF(B$43&gt;=2,((Quesería!$B$21+Quesería!$B$54)*Quesería!$F$83*$Q$11+'Beneficios y costos'!$C$118)*$Q$21,0))*$Q$12</f>
        <v>0</v>
      </c>
      <c r="C701" s="35" t="n">
        <f aca="false">(IF(C$43&gt;=1,(Quesería!$B$21+Quesería!$B$54)*Quesería!$F$82*$Q$11+Quesería!$B$22+'Beneficios y costos'!$B$118,0)+IF(C$43&gt;=2,((Quesería!$B$21+Quesería!$B$54)*Quesería!$F$83*$Q$11+'Beneficios y costos'!$C$118)*$Q$21,0))*$Q$12</f>
        <v>36.8921528634167</v>
      </c>
      <c r="D701" s="35" t="n">
        <f aca="false">(IF(D$43&gt;=1,(Quesería!$B$21+Quesería!$B$54)*Quesería!$F$82*$Q$11+Quesería!$B$22+'Beneficios y costos'!$B$118,0)+IF(D$43&gt;=2,((Quesería!$B$21+Quesería!$B$54)*Quesería!$F$83*$Q$11+'Beneficios y costos'!$C$118)*$Q$21,0))*$Q$12</f>
        <v>88.8065043646377</v>
      </c>
      <c r="E701" s="35" t="n">
        <f aca="false">(IF(E$43&gt;=1,(Quesería!$B$21+Quesería!$B$54)*Quesería!$F$82*$Q$11+Quesería!$B$22+'Beneficios y costos'!$B$118,0)+IF(E$43&gt;=2,((Quesería!$B$21+Quesería!$B$54)*Quesería!$F$83*$Q$11+'Beneficios y costos'!$C$118)*$Q$21,0))*$Q$12</f>
        <v>88.8065043646377</v>
      </c>
      <c r="F701" s="35" t="n">
        <f aca="false">(IF(F$43&gt;=1,(Quesería!$B$21+Quesería!$B$54)*Quesería!$F$82*$Q$11+Quesería!$B$22+'Beneficios y costos'!$B$118,0)+IF(F$43&gt;=2,((Quesería!$B$21+Quesería!$B$54)*Quesería!$F$83*$Q$11+'Beneficios y costos'!$C$118)*$Q$21,0))*$Q$12</f>
        <v>88.8065043646377</v>
      </c>
      <c r="G701" s="35" t="n">
        <f aca="false">(IF(G$43&gt;=1,(Quesería!$B$21+Quesería!$B$54)*Quesería!$F$82*$Q$11+Quesería!$B$22+'Beneficios y costos'!$B$118,0)+IF(G$43&gt;=2,((Quesería!$B$21+Quesería!$B$54)*Quesería!$F$83*$Q$11+'Beneficios y costos'!$C$118)*$Q$21,0))*$Q$12</f>
        <v>88.8065043646377</v>
      </c>
      <c r="H701" s="35" t="n">
        <f aca="false">(IF(H$43&gt;=1,(Quesería!$B$21+Quesería!$B$54)*Quesería!$F$82*$Q$11+Quesería!$B$22+'Beneficios y costos'!$B$118,0)+IF(H$43&gt;=2,((Quesería!$B$21+Quesería!$B$54)*Quesería!$F$83*$Q$11+'Beneficios y costos'!$C$118)*$Q$21,0))*$Q$12</f>
        <v>88.8065043646377</v>
      </c>
      <c r="I701" s="35" t="n">
        <f aca="false">(IF(I$43&gt;=1,(Quesería!$B$21+Quesería!$B$54)*Quesería!$F$82*$Q$11+Quesería!$B$22+'Beneficios y costos'!$B$118,0)+IF(I$43&gt;=2,((Quesería!$B$21+Quesería!$B$54)*Quesería!$F$83*$Q$11+'Beneficios y costos'!$C$118)*$Q$21,0))*$Q$12</f>
        <v>88.8065043646377</v>
      </c>
      <c r="J701" s="35" t="n">
        <f aca="false">(IF(J$43&gt;=1,(Quesería!$B$21+Quesería!$B$54)*Quesería!$F$82*$Q$11+Quesería!$B$22+'Beneficios y costos'!$B$118,0)+IF(J$43&gt;=2,((Quesería!$B$21+Quesería!$B$54)*Quesería!$F$83*$Q$11+'Beneficios y costos'!$C$118)*$Q$21,0))*$Q$12</f>
        <v>88.8065043646377</v>
      </c>
      <c r="K701" s="35" t="n">
        <f aca="false">(IF(K$43&gt;=1,(Quesería!$B$21+Quesería!$B$54)*Quesería!$F$82*$Q$11+Quesería!$B$22+'Beneficios y costos'!$B$118,0)+IF(K$43&gt;=2,((Quesería!$B$21+Quesería!$B$54)*Quesería!$F$83*$Q$11+'Beneficios y costos'!$C$118)*$Q$21,0))*$Q$12</f>
        <v>88.8065043646377</v>
      </c>
      <c r="L701" s="35" t="n">
        <f aca="false">(IF(L$43&gt;=1,(Quesería!$B$21+Quesería!$B$54)*Quesería!$F$82*$Q$11+Quesería!$B$22+'Beneficios y costos'!$B$118,0)+IF(L$43&gt;=2,((Quesería!$B$21+Quesería!$B$54)*Quesería!$F$83*$Q$11+'Beneficios y costos'!$C$118)*$Q$21,0))*$Q$12</f>
        <v>88.8065043646377</v>
      </c>
    </row>
    <row r="702" customFormat="false" ht="15" hidden="false" customHeight="false" outlineLevel="0" collapsed="false">
      <c r="A702" s="6" t="s">
        <v>289</v>
      </c>
      <c r="B702" s="35" t="n">
        <f aca="false">IF(B$43=1,2*Quesería!$B$33*Quesería!$B$34/12*B693,0)*$Q$21</f>
        <v>0</v>
      </c>
      <c r="C702" s="35" t="n">
        <f aca="false">IF(C$43=1,2*Quesería!$B$33*Quesería!$B$34/12*C693,0)*$Q$21</f>
        <v>18.5166509433962</v>
      </c>
      <c r="D702" s="35" t="n">
        <f aca="false">IF(D$43=1,2*Quesería!$B$33*Quesería!$B$34/12*D693,0)*$Q$21</f>
        <v>0</v>
      </c>
      <c r="E702" s="35" t="n">
        <f aca="false">IF(E$43=1,2*Quesería!$B$33*Quesería!$B$34/12*E693,0)*$Q$21</f>
        <v>0</v>
      </c>
      <c r="F702" s="35" t="n">
        <f aca="false">IF(F$43=1,2*Quesería!$B$33*Quesería!$B$34/12*F693,0)*$Q$21</f>
        <v>0</v>
      </c>
      <c r="G702" s="35" t="n">
        <f aca="false">IF(G$43=1,2*Quesería!$B$33*Quesería!$B$34/12*G693,0)*$Q$21</f>
        <v>0</v>
      </c>
      <c r="H702" s="35" t="n">
        <f aca="false">IF(H$43=1,2*Quesería!$B$33*Quesería!$B$34/12*H693,0)*$Q$21</f>
        <v>0</v>
      </c>
      <c r="I702" s="35" t="n">
        <f aca="false">IF(I$43=1,2*Quesería!$B$33*Quesería!$B$34/12*I693,0)*$Q$21</f>
        <v>0</v>
      </c>
      <c r="J702" s="35" t="n">
        <f aca="false">IF(J$43=1,2*Quesería!$B$33*Quesería!$B$34/12*J693,0)*$Q$21</f>
        <v>0</v>
      </c>
      <c r="K702" s="35" t="n">
        <f aca="false">IF(K$43=1,2*Quesería!$B$33*Quesería!$B$34/12*K693,0)*$Q$21</f>
        <v>0</v>
      </c>
      <c r="L702" s="35" t="n">
        <f aca="false">IF(L$43=1,2*Quesería!$B$33*Quesería!$B$34/12*L693,0)*$Q$21</f>
        <v>0</v>
      </c>
    </row>
    <row r="703" customFormat="false" ht="15" hidden="false" customHeight="false" outlineLevel="0" collapsed="false">
      <c r="A703" s="6" t="s">
        <v>290</v>
      </c>
      <c r="B703" s="35" t="n">
        <f aca="false">Quesería!$B$45*(B695+B696+B697+B701+B702)</f>
        <v>2.88636599924197</v>
      </c>
      <c r="C703" s="35" t="n">
        <f aca="false">Quesería!$B$45*(C695+C696+C697+C701+C702)</f>
        <v>3.29312083686149</v>
      </c>
      <c r="D703" s="35" t="n">
        <f aca="false">Quesería!$B$45*(D695+D696+D697+D701+D702)</f>
        <v>0.355226017458551</v>
      </c>
      <c r="E703" s="35" t="n">
        <f aca="false">Quesería!$B$45*(E695+E696+E697+E701+E702)</f>
        <v>0.355226017458551</v>
      </c>
      <c r="F703" s="35" t="n">
        <f aca="false">Quesería!$B$45*(F695+F696+F697+F701+F702)</f>
        <v>0.355226017458551</v>
      </c>
      <c r="G703" s="35" t="n">
        <f aca="false">Quesería!$B$45*(G695+G696+G697+G701+G702)</f>
        <v>0.482159350791884</v>
      </c>
      <c r="H703" s="35" t="n">
        <f aca="false">Quesería!$B$45*(H695+H696+H697+H701+H702)</f>
        <v>0.523275690008284</v>
      </c>
      <c r="I703" s="35" t="n">
        <f aca="false">Quesería!$B$45*(I695+I696+I697+I701+I702)</f>
        <v>0.355226017458551</v>
      </c>
      <c r="J703" s="35" t="n">
        <f aca="false">Quesería!$B$45*(J695+J696+J697+J701+J702)</f>
        <v>0.355226017458551</v>
      </c>
      <c r="K703" s="35" t="n">
        <f aca="false">Quesería!$B$45*(K695+K696+K697+K701+K702)</f>
        <v>0.355226017458551</v>
      </c>
      <c r="L703" s="35" t="n">
        <f aca="false">Quesería!$B$45*(L695+L696+L697+L701+L702)</f>
        <v>0.355226017458551</v>
      </c>
    </row>
    <row r="704" customFormat="false" ht="15" hidden="false" customHeight="false" outlineLevel="0" collapsed="false">
      <c r="A704" s="6" t="s">
        <v>291</v>
      </c>
      <c r="B704" s="35" t="n">
        <f aca="false">(IF($Q$19=1,(SUMPRODUCT((Quesería!$C$62:$C$77=0)*(Quesería!$J$62:$J$77&gt;0)*(B$43&gt;=1)*(B$43&lt;=Quesería!$J$62:$J$77)*(Quesería!$H$62:$H$77&gt;0)*Quesería!$F$62:$F$77*(1+Quesería!$I$62:$I$77)/(Quesería!$J$62:$J$77+(Quesería!$J$62:$J$77=0)))+SUMPRODUCT((Quesería!$C$62:$C$77=0)*(Quesería!$J$62:$J$77=0)*(B$43=0)*(Quesería!$H$62:$H$77&gt;0)*Quesería!$F$62:$F$77*(1+Quesería!$I$62:$I$77)))*$B$692+(SUMPRODUCT((Quesería!$C$62:$C$77=1)*(Quesería!$J$62:$J$77&gt;0)*(B$43&gt;=2)*(B$43&lt;=Quesería!$J$62:$J$77+1)*(Quesería!$H$62:$H$77&gt;0)*Quesería!$F$62:$F$77*(1+Quesería!$I$62:$I$77)/(Quesería!$J$62:$J$77+(Quesería!$J$62:$J$77=0)))+SUMPRODUCT((Quesería!$C$62:$C$77=1)*(Quesería!$J$62:$J$77=0)*(B$43=1)*(Quesería!$H$62:$H$77&gt;0)*Quesería!$F$62:$F$77*(1+Quesería!$I$62:$I$77)))*$C$692*$Q$21,IF(AND(B$43&gt;=1,B$43&lt;=Quesería!$B$11),Quesería!$F$80/Quesería!$B$11,0)*$B$692+IF(AND(B$43&gt;=2,B$43&lt;=Quesería!$B$11+1),Quesería!$F$81/Quesería!$B$11,0)*$C$692*$Q$21)*$Q$11+IF(AND(B$43&gt;=6,B$43&lt;=10),$G696*$G692/5,0)+IF(AND(B$43&gt;=7,B$43&lt;=11),$H696*$H692/5,0))*B694</f>
        <v>99.3600691219113</v>
      </c>
      <c r="C704" s="35" t="n">
        <f aca="false">(IF($Q$19=1,(SUMPRODUCT((Quesería!$C$62:$C$77=0)*(Quesería!$J$62:$J$77&gt;0)*(C$43&gt;=1)*(C$43&lt;=Quesería!$J$62:$J$77)*(Quesería!$H$62:$H$77&gt;0)*Quesería!$F$62:$F$77*(1+Quesería!$I$62:$I$77)/(Quesería!$J$62:$J$77+(Quesería!$J$62:$J$77=0)))+SUMPRODUCT((Quesería!$C$62:$C$77=0)*(Quesería!$J$62:$J$77=0)*(C$43=0)*(Quesería!$H$62:$H$77&gt;0)*Quesería!$F$62:$F$77*(1+Quesería!$I$62:$I$77)))*$B$692+(SUMPRODUCT((Quesería!$C$62:$C$77=1)*(Quesería!$J$62:$J$77&gt;0)*(C$43&gt;=2)*(C$43&lt;=Quesería!$J$62:$J$77+1)*(Quesería!$H$62:$H$77&gt;0)*Quesería!$F$62:$F$77*(1+Quesería!$I$62:$I$77)/(Quesería!$J$62:$J$77+(Quesería!$J$62:$J$77=0)))+SUMPRODUCT((Quesería!$C$62:$C$77=1)*(Quesería!$J$62:$J$77=0)*(C$43=1)*(Quesería!$H$62:$H$77&gt;0)*Quesería!$F$62:$F$77*(1+Quesería!$I$62:$I$77)))*$C$692*$Q$21,IF(AND(C$43&gt;=1,C$43&lt;=Quesería!$B$11),Quesería!$F$80/Quesería!$B$11,0)*$B$692+IF(AND(C$43&gt;=2,C$43&lt;=Quesería!$B$11+1),Quesería!$F$81/Quesería!$B$11,0)*$C$692*$Q$21)*$Q$11+IF(AND(C$43&gt;=6,C$43&lt;=10),$G696*$G692/5,0)+IF(AND(C$43&gt;=7,C$43&lt;=11),$H696*$H692/5,0))*C694</f>
        <v>57.1000211302053</v>
      </c>
      <c r="D704" s="35" t="n">
        <f aca="false">(IF($Q$19=1,(SUMPRODUCT((Quesería!$C$62:$C$77=0)*(Quesería!$J$62:$J$77&gt;0)*(D$43&gt;=1)*(D$43&lt;=Quesería!$J$62:$J$77)*(Quesería!$H$62:$H$77&gt;0)*Quesería!$F$62:$F$77*(1+Quesería!$I$62:$I$77)/(Quesería!$J$62:$J$77+(Quesería!$J$62:$J$77=0)))+SUMPRODUCT((Quesería!$C$62:$C$77=0)*(Quesería!$J$62:$J$77=0)*(D$43=0)*(Quesería!$H$62:$H$77&gt;0)*Quesería!$F$62:$F$77*(1+Quesería!$I$62:$I$77)))*$B$692+(SUMPRODUCT((Quesería!$C$62:$C$77=1)*(Quesería!$J$62:$J$77&gt;0)*(D$43&gt;=2)*(D$43&lt;=Quesería!$J$62:$J$77+1)*(Quesería!$H$62:$H$77&gt;0)*Quesería!$F$62:$F$77*(1+Quesería!$I$62:$I$77)/(Quesería!$J$62:$J$77+(Quesería!$J$62:$J$77=0)))+SUMPRODUCT((Quesería!$C$62:$C$77=1)*(Quesería!$J$62:$J$77=0)*(D$43=1)*(Quesería!$H$62:$H$77&gt;0)*Quesería!$F$62:$F$77*(1+Quesería!$I$62:$I$77)))*$C$692*$Q$21,IF(AND(D$43&gt;=1,D$43&lt;=Quesería!$B$11),Quesería!$F$80/Quesería!$B$11,0)*$B$692+IF(AND(D$43&gt;=2,D$43&lt;=Quesería!$B$11+1),Quesería!$F$81/Quesería!$B$11,0)*$C$692*$Q$21)*$Q$11+IF(AND(D$43&gt;=6,D$43&lt;=10),$G696*$G692/5,0)+IF(AND(D$43&gt;=7,D$43&lt;=11),$H696*$H692/5,0))*D694</f>
        <v>116.389502380926</v>
      </c>
      <c r="E704" s="35" t="n">
        <f aca="false">(IF($Q$19=1,(SUMPRODUCT((Quesería!$C$62:$C$77=0)*(Quesería!$J$62:$J$77&gt;0)*(E$43&gt;=1)*(E$43&lt;=Quesería!$J$62:$J$77)*(Quesería!$H$62:$H$77&gt;0)*Quesería!$F$62:$F$77*(1+Quesería!$I$62:$I$77)/(Quesería!$J$62:$J$77+(Quesería!$J$62:$J$77=0)))+SUMPRODUCT((Quesería!$C$62:$C$77=0)*(Quesería!$J$62:$J$77=0)*(E$43=0)*(Quesería!$H$62:$H$77&gt;0)*Quesería!$F$62:$F$77*(1+Quesería!$I$62:$I$77)))*$B$692+(SUMPRODUCT((Quesería!$C$62:$C$77=1)*(Quesería!$J$62:$J$77&gt;0)*(E$43&gt;=2)*(E$43&lt;=Quesería!$J$62:$J$77+1)*(Quesería!$H$62:$H$77&gt;0)*Quesería!$F$62:$F$77*(1+Quesería!$I$62:$I$77)/(Quesería!$J$62:$J$77+(Quesería!$J$62:$J$77=0)))+SUMPRODUCT((Quesería!$C$62:$C$77=1)*(Quesería!$J$62:$J$77=0)*(E$43=1)*(Quesería!$H$62:$H$77&gt;0)*Quesería!$F$62:$F$77*(1+Quesería!$I$62:$I$77)))*$C$692*$Q$21,IF(AND(E$43&gt;=1,E$43&lt;=Quesería!$B$11),Quesería!$F$80/Quesería!$B$11,0)*$B$692+IF(AND(E$43&gt;=2,E$43&lt;=Quesería!$B$11+1),Quesería!$F$81/Quesería!$B$11,0)*$C$692*$Q$21)*$Q$11+IF(AND(E$43&gt;=6,E$43&lt;=10),$G696*$G692/5,0)+IF(AND(E$43&gt;=7,E$43&lt;=11),$H696*$H692/5,0))*E694</f>
        <v>111.912983058583</v>
      </c>
      <c r="F704" s="35" t="n">
        <f aca="false">(IF($Q$19=1,(SUMPRODUCT((Quesería!$C$62:$C$77=0)*(Quesería!$J$62:$J$77&gt;0)*(F$43&gt;=1)*(F$43&lt;=Quesería!$J$62:$J$77)*(Quesería!$H$62:$H$77&gt;0)*Quesería!$F$62:$F$77*(1+Quesería!$I$62:$I$77)/(Quesería!$J$62:$J$77+(Quesería!$J$62:$J$77=0)))+SUMPRODUCT((Quesería!$C$62:$C$77=0)*(Quesería!$J$62:$J$77=0)*(F$43=0)*(Quesería!$H$62:$H$77&gt;0)*Quesería!$F$62:$F$77*(1+Quesería!$I$62:$I$77)))*$B$692+(SUMPRODUCT((Quesería!$C$62:$C$77=1)*(Quesería!$J$62:$J$77&gt;0)*(F$43&gt;=2)*(F$43&lt;=Quesería!$J$62:$J$77+1)*(Quesería!$H$62:$H$77&gt;0)*Quesería!$F$62:$F$77*(1+Quesería!$I$62:$I$77)/(Quesería!$J$62:$J$77+(Quesería!$J$62:$J$77=0)))+SUMPRODUCT((Quesería!$C$62:$C$77=1)*(Quesería!$J$62:$J$77=0)*(F$43=1)*(Quesería!$H$62:$H$77&gt;0)*Quesería!$F$62:$F$77*(1+Quesería!$I$62:$I$77)))*$C$692*$Q$21,IF(AND(F$43&gt;=1,F$43&lt;=Quesería!$B$11),Quesería!$F$80/Quesería!$B$11,0)*$B$692+IF(AND(F$43&gt;=2,F$43&lt;=Quesería!$B$11+1),Quesería!$F$81/Quesería!$B$11,0)*$C$692*$Q$21)*$Q$11+IF(AND(F$43&gt;=6,F$43&lt;=10),$G696*$G692/5,0)+IF(AND(F$43&gt;=7,F$43&lt;=11),$H696*$H692/5,0))*F694</f>
        <v>107.608637556329</v>
      </c>
      <c r="G704" s="35" t="n">
        <f aca="false">(IF($Q$19=1,(SUMPRODUCT((Quesería!$C$62:$C$77=0)*(Quesería!$J$62:$J$77&gt;0)*(G$43&gt;=1)*(G$43&lt;=Quesería!$J$62:$J$77)*(Quesería!$H$62:$H$77&gt;0)*Quesería!$F$62:$F$77*(1+Quesería!$I$62:$I$77)/(Quesería!$J$62:$J$77+(Quesería!$J$62:$J$77=0)))+SUMPRODUCT((Quesería!$C$62:$C$77=0)*(Quesería!$J$62:$J$77=0)*(G$43=0)*(Quesería!$H$62:$H$77&gt;0)*Quesería!$F$62:$F$77*(1+Quesería!$I$62:$I$77)))*$B$692+(SUMPRODUCT((Quesería!$C$62:$C$77=1)*(Quesería!$J$62:$J$77&gt;0)*(G$43&gt;=2)*(G$43&lt;=Quesería!$J$62:$J$77+1)*(Quesería!$H$62:$H$77&gt;0)*Quesería!$F$62:$F$77*(1+Quesería!$I$62:$I$77)/(Quesería!$J$62:$J$77+(Quesería!$J$62:$J$77=0)))+SUMPRODUCT((Quesería!$C$62:$C$77=1)*(Quesería!$J$62:$J$77=0)*(G$43=1)*(Quesería!$H$62:$H$77&gt;0)*Quesería!$F$62:$F$77*(1+Quesería!$I$62:$I$77)))*$C$692*$Q$21,IF(AND(G$43&gt;=1,G$43&lt;=Quesería!$B$11),Quesería!$F$80/Quesería!$B$11,0)*$B$692+IF(AND(G$43&gt;=2,G$43&lt;=Quesería!$B$11+1),Quesería!$F$81/Quesería!$B$11,0)*$C$692*$Q$21)*$Q$11+IF(AND(G$43&gt;=6,G$43&lt;=10),$G696*$G692/5,0)+IF(AND(G$43&gt;=7,G$43&lt;=11),$H696*$H692/5,0))*G694</f>
        <v>103.469843804163</v>
      </c>
      <c r="H704" s="35" t="n">
        <f aca="false">(IF($Q$19=1,(SUMPRODUCT((Quesería!$C$62:$C$77=0)*(Quesería!$J$62:$J$77&gt;0)*(H$43&gt;=1)*(H$43&lt;=Quesería!$J$62:$J$77)*(Quesería!$H$62:$H$77&gt;0)*Quesería!$F$62:$F$77*(1+Quesería!$I$62:$I$77)/(Quesería!$J$62:$J$77+(Quesería!$J$62:$J$77=0)))+SUMPRODUCT((Quesería!$C$62:$C$77=0)*(Quesería!$J$62:$J$77=0)*(H$43=0)*(Quesería!$H$62:$H$77&gt;0)*Quesería!$F$62:$F$77*(1+Quesería!$I$62:$I$77)))*$B$692+(SUMPRODUCT((Quesería!$C$62:$C$77=1)*(Quesería!$J$62:$J$77&gt;0)*(H$43&gt;=2)*(H$43&lt;=Quesería!$J$62:$J$77+1)*(Quesería!$H$62:$H$77&gt;0)*Quesería!$F$62:$F$77*(1+Quesería!$I$62:$I$77)/(Quesería!$J$62:$J$77+(Quesería!$J$62:$J$77=0)))+SUMPRODUCT((Quesería!$C$62:$C$77=1)*(Quesería!$J$62:$J$77=0)*(H$43=1)*(Quesería!$H$62:$H$77&gt;0)*Quesería!$F$62:$F$77*(1+Quesería!$I$62:$I$77)))*$C$692*$Q$21,IF(AND(H$43&gt;=1,H$43&lt;=Quesería!$B$11),Quesería!$F$80/Quesería!$B$11,0)*$B$692+IF(AND(H$43&gt;=2,H$43&lt;=Quesería!$B$11+1),Quesería!$F$81/Quesería!$B$11,0)*$C$692*$Q$21)*$Q$11+IF(AND(H$43&gt;=6,H$43&lt;=10),$G696*$G692/5,0)+IF(AND(H$43&gt;=7,H$43&lt;=11),$H696*$H692/5,0))*H694</f>
        <v>92.6731239063542</v>
      </c>
      <c r="I704" s="35" t="n">
        <f aca="false">(IF($Q$19=1,(SUMPRODUCT((Quesería!$C$62:$C$77=0)*(Quesería!$J$62:$J$77&gt;0)*(I$43&gt;=1)*(I$43&lt;=Quesería!$J$62:$J$77)*(Quesería!$H$62:$H$77&gt;0)*Quesería!$F$62:$F$77*(1+Quesería!$I$62:$I$77)/(Quesería!$J$62:$J$77+(Quesería!$J$62:$J$77=0)))+SUMPRODUCT((Quesería!$C$62:$C$77=0)*(Quesería!$J$62:$J$77=0)*(I$43=0)*(Quesería!$H$62:$H$77&gt;0)*Quesería!$F$62:$F$77*(1+Quesería!$I$62:$I$77)))*$B$692+(SUMPRODUCT((Quesería!$C$62:$C$77=1)*(Quesería!$J$62:$J$77&gt;0)*(I$43&gt;=2)*(I$43&lt;=Quesería!$J$62:$J$77+1)*(Quesería!$H$62:$H$77&gt;0)*Quesería!$F$62:$F$77*(1+Quesería!$I$62:$I$77)/(Quesería!$J$62:$J$77+(Quesería!$J$62:$J$77=0)))+SUMPRODUCT((Quesería!$C$62:$C$77=1)*(Quesería!$J$62:$J$77=0)*(I$43=1)*(Quesería!$H$62:$H$77&gt;0)*Quesería!$F$62:$F$77*(1+Quesería!$I$62:$I$77)))*$C$692*$Q$21,IF(AND(I$43&gt;=1,I$43&lt;=Quesería!$B$11),Quesería!$F$80/Quesería!$B$11,0)*$B$692+IF(AND(I$43&gt;=2,I$43&lt;=Quesería!$B$11+1),Quesería!$F$81/Quesería!$B$11,0)*$C$692*$Q$21)*$Q$11+IF(AND(I$43&gt;=6,I$43&lt;=10),$G696*$G692/5,0)+IF(AND(I$43&gt;=7,I$43&lt;=11),$H696*$H692/5,0))*I694</f>
        <v>95.8981101131611</v>
      </c>
      <c r="J704" s="35" t="n">
        <f aca="false">(IF($Q$19=1,(SUMPRODUCT((Quesería!$C$62:$C$77=0)*(Quesería!$J$62:$J$77&gt;0)*(J$43&gt;=1)*(J$43&lt;=Quesería!$J$62:$J$77)*(Quesería!$H$62:$H$77&gt;0)*Quesería!$F$62:$F$77*(1+Quesería!$I$62:$I$77)/(Quesería!$J$62:$J$77+(Quesería!$J$62:$J$77=0)))+SUMPRODUCT((Quesería!$C$62:$C$77=0)*(Quesería!$J$62:$J$77=0)*(J$43=0)*(Quesería!$H$62:$H$77&gt;0)*Quesería!$F$62:$F$77*(1+Quesería!$I$62:$I$77)))*$B$692+(SUMPRODUCT((Quesería!$C$62:$C$77=1)*(Quesería!$J$62:$J$77&gt;0)*(J$43&gt;=2)*(J$43&lt;=Quesería!$J$62:$J$77+1)*(Quesería!$H$62:$H$77&gt;0)*Quesería!$F$62:$F$77*(1+Quesería!$I$62:$I$77)/(Quesería!$J$62:$J$77+(Quesería!$J$62:$J$77=0)))+SUMPRODUCT((Quesería!$C$62:$C$77=1)*(Quesería!$J$62:$J$77=0)*(J$43=1)*(Quesería!$H$62:$H$77&gt;0)*Quesería!$F$62:$F$77*(1+Quesería!$I$62:$I$77)))*$C$692*$Q$21,IF(AND(J$43&gt;=1,J$43&lt;=Quesería!$B$11),Quesería!$F$80/Quesería!$B$11,0)*$B$692+IF(AND(J$43&gt;=2,J$43&lt;=Quesería!$B$11+1),Quesería!$F$81/Quesería!$B$11,0)*$C$692*$Q$21)*$Q$11+IF(AND(J$43&gt;=6,J$43&lt;=10),$G696*$G692/5,0)+IF(AND(J$43&gt;=7,J$43&lt;=11),$H696*$H692/5,0))*J694</f>
        <v>92.2097212626549</v>
      </c>
      <c r="K704" s="35" t="n">
        <f aca="false">(IF($Q$19=1,(SUMPRODUCT((Quesería!$C$62:$C$77=0)*(Quesería!$J$62:$J$77&gt;0)*(K$43&gt;=1)*(K$43&lt;=Quesería!$J$62:$J$77)*(Quesería!$H$62:$H$77&gt;0)*Quesería!$F$62:$F$77*(1+Quesería!$I$62:$I$77)/(Quesería!$J$62:$J$77+(Quesería!$J$62:$J$77=0)))+SUMPRODUCT((Quesería!$C$62:$C$77=0)*(Quesería!$J$62:$J$77=0)*(K$43=0)*(Quesería!$H$62:$H$77&gt;0)*Quesería!$F$62:$F$77*(1+Quesería!$I$62:$I$77)))*$B$692+(SUMPRODUCT((Quesería!$C$62:$C$77=1)*(Quesería!$J$62:$J$77&gt;0)*(K$43&gt;=2)*(K$43&lt;=Quesería!$J$62:$J$77+1)*(Quesería!$H$62:$H$77&gt;0)*Quesería!$F$62:$F$77*(1+Quesería!$I$62:$I$77)/(Quesería!$J$62:$J$77+(Quesería!$J$62:$J$77=0)))+SUMPRODUCT((Quesería!$C$62:$C$77=1)*(Quesería!$J$62:$J$77=0)*(K$43=1)*(Quesería!$H$62:$H$77&gt;0)*Quesería!$F$62:$F$77*(1+Quesería!$I$62:$I$77)))*$C$692*$Q$21,IF(AND(K$43&gt;=1,K$43&lt;=Quesería!$B$11),Quesería!$F$80/Quesería!$B$11,0)*$B$692+IF(AND(K$43&gt;=2,K$43&lt;=Quesería!$B$11+1),Quesería!$F$81/Quesería!$B$11,0)*$C$692*$Q$21)*$Q$11+IF(AND(K$43&gt;=6,K$43&lt;=10),$G696*$G692/5,0)+IF(AND(K$43&gt;=7,K$43&lt;=11),$H696*$H692/5,0))*K694</f>
        <v>88.6631935217835</v>
      </c>
      <c r="L704" s="35" t="n">
        <f aca="false">(IF($Q$19=1,(SUMPRODUCT((Quesería!$C$62:$C$77=0)*(Quesería!$J$62:$J$77&gt;0)*(L$43&gt;=1)*(L$43&lt;=Quesería!$J$62:$J$77)*(Quesería!$H$62:$H$77&gt;0)*Quesería!$F$62:$F$77*(1+Quesería!$I$62:$I$77)/(Quesería!$J$62:$J$77+(Quesería!$J$62:$J$77=0)))+SUMPRODUCT((Quesería!$C$62:$C$77=0)*(Quesería!$J$62:$J$77=0)*(L$43=0)*(Quesería!$H$62:$H$77&gt;0)*Quesería!$F$62:$F$77*(1+Quesería!$I$62:$I$77)))*$B$692+(SUMPRODUCT((Quesería!$C$62:$C$77=1)*(Quesería!$J$62:$J$77&gt;0)*(L$43&gt;=2)*(L$43&lt;=Quesería!$J$62:$J$77+1)*(Quesería!$H$62:$H$77&gt;0)*Quesería!$F$62:$F$77*(1+Quesería!$I$62:$I$77)/(Quesería!$J$62:$J$77+(Quesería!$J$62:$J$77=0)))+SUMPRODUCT((Quesería!$C$62:$C$77=1)*(Quesería!$J$62:$J$77=0)*(L$43=1)*(Quesería!$H$62:$H$77&gt;0)*Quesería!$F$62:$F$77*(1+Quesería!$I$62:$I$77)))*$C$692*$Q$21,IF(AND(L$43&gt;=1,L$43&lt;=Quesería!$B$11),Quesería!$F$80/Quesería!$B$11,0)*$B$692+IF(AND(L$43&gt;=2,L$43&lt;=Quesería!$B$11+1),Quesería!$F$81/Quesería!$B$11,0)*$C$692*$Q$21)*$Q$11+IF(AND(L$43&gt;=6,L$43&lt;=10),$G696*$G692/5,0)+IF(AND(L$43&gt;=7,L$43&lt;=11),$H696*$H692/5,0))*L694</f>
        <v>85.2530706940226</v>
      </c>
    </row>
    <row r="705" customFormat="false" ht="15" hidden="false" customHeight="false" outlineLevel="0" collapsed="false">
      <c r="A705" s="9" t="s">
        <v>292</v>
      </c>
      <c r="B705" s="36" t="n">
        <f aca="false">IF(B$43=1,MIN($Q$7*Quesería!$B$35*Quesería!$F$75*$Q$11*$Q$21,Quesería!$B$50*Quesería!$B$51),0)</f>
        <v>0</v>
      </c>
      <c r="C705" s="36" t="n">
        <f aca="false">IF(C$43=1,MIN($Q$7*Quesería!$B$35*Quesería!$F$75*$Q$11*$Q$21,Quesería!$B$50*Quesería!$B$51),0)</f>
        <v>20</v>
      </c>
      <c r="D705" s="36" t="n">
        <f aca="false">IF(D$43=1,MIN($Q$7*Quesería!$B$35*Quesería!$F$75*$Q$11*$Q$21,Quesería!$B$50*Quesería!$B$51),0)</f>
        <v>0</v>
      </c>
      <c r="E705" s="36" t="n">
        <f aca="false">IF(E$43=1,MIN($Q$7*Quesería!$B$35*Quesería!$F$75*$Q$11*$Q$21,Quesería!$B$50*Quesería!$B$51),0)</f>
        <v>0</v>
      </c>
      <c r="F705" s="36" t="n">
        <f aca="false">IF(F$43=1,MIN($Q$7*Quesería!$B$35*Quesería!$F$75*$Q$11*$Q$21,Quesería!$B$50*Quesería!$B$51),0)</f>
        <v>0</v>
      </c>
      <c r="G705" s="36" t="n">
        <f aca="false">IF(G$43=1,MIN($Q$7*Quesería!$B$35*Quesería!$F$75*$Q$11*$Q$21,Quesería!$B$50*Quesería!$B$51),0)</f>
        <v>0</v>
      </c>
      <c r="H705" s="36" t="n">
        <f aca="false">IF(H$43=1,MIN($Q$7*Quesería!$B$35*Quesería!$F$75*$Q$11*$Q$21,Quesería!$B$50*Quesería!$B$51),0)</f>
        <v>0</v>
      </c>
      <c r="I705" s="36" t="n">
        <f aca="false">IF(I$43=1,MIN($Q$7*Quesería!$B$35*Quesería!$F$75*$Q$11*$Q$21,Quesería!$B$50*Quesería!$B$51),0)</f>
        <v>0</v>
      </c>
      <c r="J705" s="36" t="n">
        <f aca="false">IF(J$43=1,MIN($Q$7*Quesería!$B$35*Quesería!$F$75*$Q$11*$Q$21,Quesería!$B$50*Quesería!$B$51),0)</f>
        <v>0</v>
      </c>
      <c r="K705" s="36" t="n">
        <f aca="false">IF(K$43=1,MIN($Q$7*Quesería!$B$35*Quesería!$F$75*$Q$11*$Q$21,Quesería!$B$50*Quesería!$B$51),0)</f>
        <v>0</v>
      </c>
      <c r="L705" s="36" t="n">
        <f aca="false">IF(L$43=1,MIN($Q$7*Quesería!$B$35*Quesería!$F$75*$Q$11*$Q$21,Quesería!$B$50*Quesería!$B$51),0)</f>
        <v>0</v>
      </c>
    </row>
    <row r="706" customFormat="false" ht="15" hidden="false" customHeight="false" outlineLevel="0" collapsed="false">
      <c r="A706" s="9" t="s">
        <v>293</v>
      </c>
      <c r="B706" s="36" t="n">
        <v>0</v>
      </c>
      <c r="C706" s="36" t="n">
        <f aca="false">$Q$20*Quesería!$B$52*Quesería!$F$86*$Q$11*$B$692/C692</f>
        <v>166.879881289715</v>
      </c>
      <c r="D706" s="36" t="n">
        <v>0</v>
      </c>
      <c r="E706" s="36" t="n">
        <v>0</v>
      </c>
      <c r="F706" s="36" t="n">
        <v>0</v>
      </c>
      <c r="G706" s="36" t="n">
        <v>0</v>
      </c>
      <c r="H706" s="36" t="n">
        <v>0</v>
      </c>
      <c r="I706" s="36" t="n">
        <v>0</v>
      </c>
      <c r="J706" s="36" t="n">
        <v>0</v>
      </c>
      <c r="K706" s="36" t="n">
        <v>0</v>
      </c>
      <c r="L706" s="36" t="n">
        <v>0</v>
      </c>
    </row>
    <row r="707" customFormat="false" ht="15" hidden="false" customHeight="false" outlineLevel="0" collapsed="false">
      <c r="A707" s="9" t="s">
        <v>294</v>
      </c>
      <c r="B707" s="36" t="n">
        <f aca="false">0</f>
        <v>0</v>
      </c>
      <c r="C707" s="36" t="n">
        <f aca="false">B697*B692/C692</f>
        <v>94.6170242743742</v>
      </c>
      <c r="D707" s="36" t="n">
        <f aca="false">C697*C692/D692</f>
        <v>117.321834287022</v>
      </c>
      <c r="E707" s="36" t="n">
        <f aca="false">D697*D692/E692</f>
        <v>0</v>
      </c>
      <c r="F707" s="36" t="n">
        <f aca="false">E697*E692/F692</f>
        <v>0</v>
      </c>
      <c r="G707" s="36" t="n">
        <f aca="false">F697*F692/G692</f>
        <v>0</v>
      </c>
      <c r="H707" s="36" t="n">
        <f aca="false">G697*G692/H692</f>
        <v>4.87179487179487</v>
      </c>
      <c r="I707" s="36" t="n">
        <f aca="false">H697*H692/I692</f>
        <v>6.44987026996795</v>
      </c>
      <c r="J707" s="36" t="n">
        <f aca="false">I697*I692/J692</f>
        <v>0</v>
      </c>
      <c r="K707" s="36" t="n">
        <f aca="false">J697*J692/K692</f>
        <v>0</v>
      </c>
      <c r="L707" s="36" t="n">
        <f aca="false">K697*K692/L692</f>
        <v>0</v>
      </c>
    </row>
    <row r="708" customFormat="false" ht="15" hidden="false" customHeight="false" outlineLevel="0" collapsed="false">
      <c r="A708" s="6" t="s">
        <v>86</v>
      </c>
      <c r="B708" s="35" t="n">
        <f aca="false">$Q$17*(B700-B701-B702-0.5*B703-B704)-B705-B706-B707</f>
        <v>-16.5497636733805</v>
      </c>
      <c r="C708" s="35" t="n">
        <f aca="false">$Q$17*(C700-C701-C702-0.5*C703-C704)-C705-C706-C707</f>
        <v>-274.593937592808</v>
      </c>
      <c r="D708" s="35" t="n">
        <f aca="false">$Q$17*(D700-D701-D702-0.5*D703-D704)-D705-D706-D707</f>
        <v>-64.698321202286</v>
      </c>
      <c r="E708" s="35" t="n">
        <f aca="false">$Q$17*(E700-E701-E702-0.5*E703-E704)-E705-E706-E707</f>
        <v>64.9659463891874</v>
      </c>
      <c r="F708" s="35" t="n">
        <f aca="false">$Q$17*(F700-F701-F702-0.5*F703-F704)-F705-F706-F707</f>
        <v>66.4061201916015</v>
      </c>
      <c r="G708" s="35" t="n">
        <f aca="false">$Q$17*(G700-G701-G702-0.5*G703-G704)-G705-G706-G707</f>
        <v>67.7783328197481</v>
      </c>
      <c r="H708" s="35" t="n">
        <f aca="false">$Q$17*(H700-H701-H702-0.5*H703-H704)-H705-H706-H707</f>
        <v>66.2897490414227</v>
      </c>
      <c r="I708" s="35" t="n">
        <f aca="false">$Q$17*(I700-I701-I702-0.5*I703-I704)-I705-I706-I707</f>
        <v>63.9204996199743</v>
      </c>
      <c r="J708" s="35" t="n">
        <f aca="false">$Q$17*(J700-J701-J702-0.5*J703-J704)-J705-J706-J707</f>
        <v>71.6287565049178</v>
      </c>
      <c r="K708" s="35" t="n">
        <f aca="false">$Q$17*(K700-K701-K702-0.5*K703-K704)-K705-K706-K707</f>
        <v>72.845344136802</v>
      </c>
      <c r="L708" s="35" t="n">
        <f aca="false">$Q$17*(L700-L701-L702-0.5*L703-L704)-L705-L706-L707</f>
        <v>74.0217734413012</v>
      </c>
    </row>
    <row r="709" customFormat="false" ht="15" hidden="false" customHeight="false" outlineLevel="0" collapsed="false">
      <c r="A709" s="9" t="s">
        <v>295</v>
      </c>
      <c r="B709" s="36" t="n">
        <f aca="false">(IF(B$43&gt;=1,Quesería!$G$107*IF(B$43=1,Quesería!$B$12,1),Quesería!$G$107*Quesería!$B$12*Quesería!$B$13/12*$Q$23)+IF(B$43&gt;=2,Quesería!$G$108*$Q$21*IF(B$43=2,Quesería!$B$12,1),0))*$Q$10</f>
        <v>26.8516916045565</v>
      </c>
      <c r="C709" s="36" t="n">
        <f aca="false">(IF(C$43&gt;=1,Quesería!$G$107*IF(C$43=1,Quesería!$B$12,1),Quesería!$G$107*Quesería!$B$12*Quesería!$B$13/12*$Q$23)+IF(C$43&gt;=2,Quesería!$G$108*$Q$21*IF(C$43=2,Quesería!$B$12,1),0))*$Q$10</f>
        <v>80.5550748136695</v>
      </c>
      <c r="D709" s="36" t="n">
        <f aca="false">(IF(D$43&gt;=1,Quesería!$G$107*IF(D$43=1,Quesería!$B$12,1),Quesería!$G$107*Quesería!$B$12*Quesería!$B$13/12*$Q$23)+IF(D$43&gt;=2,Quesería!$G$108*$Q$21*IF(D$43=2,Quesería!$B$12,1),0))*$Q$10</f>
        <v>189.651223070959</v>
      </c>
      <c r="E709" s="36" t="n">
        <f aca="false">(IF(E$43&gt;=1,Quesería!$G$107*IF(E$43=1,Quesería!$B$12,1),Quesería!$G$107*Quesería!$B$12*Quesería!$B$13/12*$Q$23)+IF(E$43&gt;=2,Quesería!$G$108*$Q$21*IF(E$43=2,Quesería!$B$12,1),0))*$Q$10</f>
        <v>217.066041955203</v>
      </c>
      <c r="F709" s="36" t="n">
        <f aca="false">(IF(F$43&gt;=1,Quesería!$G$107*IF(F$43=1,Quesería!$B$12,1),Quesería!$G$107*Quesería!$B$12*Quesería!$B$13/12*$Q$23)+IF(F$43&gt;=2,Quesería!$G$108*$Q$21*IF(F$43=2,Quesería!$B$12,1),0))*$Q$10</f>
        <v>217.066041955203</v>
      </c>
      <c r="G709" s="36" t="n">
        <f aca="false">(IF(G$43&gt;=1,Quesería!$G$107*IF(G$43=1,Quesería!$B$12,1),Quesería!$G$107*Quesería!$B$12*Quesería!$B$13/12*$Q$23)+IF(G$43&gt;=2,Quesería!$G$108*$Q$21*IF(G$43=2,Quesería!$B$12,1),0))*$Q$10</f>
        <v>217.066041955203</v>
      </c>
      <c r="H709" s="36" t="n">
        <f aca="false">(IF(H$43&gt;=1,Quesería!$G$107*IF(H$43=1,Quesería!$B$12,1),Quesería!$G$107*Quesería!$B$12*Quesería!$B$13/12*$Q$23)+IF(H$43&gt;=2,Quesería!$G$108*$Q$21*IF(H$43=2,Quesería!$B$12,1),0))*$Q$10</f>
        <v>217.066041955203</v>
      </c>
      <c r="I709" s="36" t="n">
        <f aca="false">(IF(I$43&gt;=1,Quesería!$G$107*IF(I$43=1,Quesería!$B$12,1),Quesería!$G$107*Quesería!$B$12*Quesería!$B$13/12*$Q$23)+IF(I$43&gt;=2,Quesería!$G$108*$Q$21*IF(I$43=2,Quesería!$B$12,1),0))*$Q$10</f>
        <v>217.066041955203</v>
      </c>
      <c r="J709" s="36" t="n">
        <f aca="false">(IF(J$43&gt;=1,Quesería!$G$107*IF(J$43=1,Quesería!$B$12,1),Quesería!$G$107*Quesería!$B$12*Quesería!$B$13/12*$Q$23)+IF(J$43&gt;=2,Quesería!$G$108*$Q$21*IF(J$43=2,Quesería!$B$12,1),0))*$Q$10</f>
        <v>217.066041955203</v>
      </c>
      <c r="K709" s="36" t="n">
        <f aca="false">(IF(K$43&gt;=1,Quesería!$G$107*IF(K$43=1,Quesería!$B$12,1),Quesería!$G$107*Quesería!$B$12*Quesería!$B$13/12*$Q$23)+IF(K$43&gt;=2,Quesería!$G$108*$Q$21*IF(K$43=2,Quesería!$B$12,1),0))*$Q$10</f>
        <v>217.066041955203</v>
      </c>
      <c r="L709" s="36" t="n">
        <f aca="false">(IF(L$43&gt;=1,Quesería!$G$107*IF(L$43=1,Quesería!$B$12,1),Quesería!$G$107*Quesería!$B$12*Quesería!$B$13/12*$Q$23)+IF(L$43&gt;=2,Quesería!$G$108*$Q$21*IF(L$43=2,Quesería!$B$12,1),0))*$Q$10</f>
        <v>217.066041955203</v>
      </c>
    </row>
    <row r="710" customFormat="false" ht="15" hidden="false" customHeight="false" outlineLevel="0" collapsed="false">
      <c r="A710" s="6" t="s">
        <v>296</v>
      </c>
      <c r="B710" s="35" t="n">
        <f aca="false">(B709*(Quesería!$B$23+Quesería!$B$25*Quesería!$B$24)/365-B701*Quesería!$B$26/365)</f>
        <v>2.50861009237089</v>
      </c>
      <c r="C710" s="35" t="n">
        <f aca="false">(C709*(Quesería!$B$23+Quesería!$B$25*Quesería!$B$24)/365-C701*Quesería!$B$26/365)-(B709*(Quesería!$B$23+Quesería!$B$25*Quesería!$B$24)/365-B701*Quesería!$B$26/365)*B692/C692</f>
        <v>2.91304119724236</v>
      </c>
      <c r="D710" s="35" t="n">
        <f aca="false">(D709*(Quesería!$B$23+Quesería!$B$25*Quesería!$B$24)/365-D701*Quesería!$B$26/365)-(C709*(Quesería!$B$23+Quesería!$B$25*Quesería!$B$24)/365-C701*Quesería!$B$26/365)*C692/D692</f>
        <v>7.29151021833416</v>
      </c>
      <c r="E710" s="35" t="n">
        <f aca="false">(E709*(Quesería!$B$23+Quesería!$B$25*Quesería!$B$24)/365-E701*Quesería!$B$26/365)-(D709*(Quesería!$B$23+Quesería!$B$25*Quesería!$B$24)/365-D701*Quesería!$B$26/365)*D692/E692</f>
        <v>3.03681159467532</v>
      </c>
      <c r="F710" s="35" t="n">
        <f aca="false">(F709*(Quesería!$B$23+Quesería!$B$25*Quesería!$B$24)/365-F701*Quesería!$B$26/365)-(E709*(Quesería!$B$23+Quesería!$B$25*Quesería!$B$24)/365-E701*Quesería!$B$26/365)*E692/F692</f>
        <v>0.574099993113848</v>
      </c>
      <c r="G710" s="35" t="n">
        <f aca="false">(G709*(Quesería!$B$23+Quesería!$B$25*Quesería!$B$24)/365-G701*Quesería!$B$26/365)-(F709*(Quesería!$B$23+Quesería!$B$25*Quesería!$B$24)/365-F701*Quesería!$B$26/365)*F692/G692</f>
        <v>0.574099993113849</v>
      </c>
      <c r="H710" s="35" t="n">
        <f aca="false">(H709*(Quesería!$B$23+Quesería!$B$25*Quesería!$B$24)/365-H701*Quesería!$B$26/365)-(G709*(Quesería!$B$23+Quesería!$B$25*Quesería!$B$24)/365-G701*Quesería!$B$26/365)*G692/H692</f>
        <v>0.574099993113848</v>
      </c>
      <c r="I710" s="35" t="n">
        <f aca="false">(I709*(Quesería!$B$23+Quesería!$B$25*Quesería!$B$24)/365-I701*Quesería!$B$26/365)-(H709*(Quesería!$B$23+Quesería!$B$25*Quesería!$B$24)/365-H701*Quesería!$B$26/365)*H692/I692</f>
        <v>0.574099993113846</v>
      </c>
      <c r="J710" s="35" t="n">
        <f aca="false">(J709*(Quesería!$B$23+Quesería!$B$25*Quesería!$B$24)/365-J701*Quesería!$B$26/365)-(I709*(Quesería!$B$23+Quesería!$B$25*Quesería!$B$24)/365-I701*Quesería!$B$26/365)*I692/J692</f>
        <v>0.574099993113849</v>
      </c>
      <c r="K710" s="35" t="n">
        <f aca="false">(K709*(Quesería!$B$23+Quesería!$B$25*Quesería!$B$24)/365-K701*Quesería!$B$26/365)-(J709*(Quesería!$B$23+Quesería!$B$25*Quesería!$B$24)/365-J701*Quesería!$B$26/365)*J692/K692</f>
        <v>0.574099993113848</v>
      </c>
      <c r="L710" s="35" t="n">
        <f aca="false">-(K709*(Quesería!$B$23+Quesería!$B$25*Quesería!$B$24)/365-K701*Quesería!$B$26/365)*K692/L692</f>
        <v>-14.3524998278462</v>
      </c>
    </row>
    <row r="711" customFormat="false" ht="15" hidden="false" customHeight="false" outlineLevel="0" collapsed="false">
      <c r="A711" s="6" t="s">
        <v>297</v>
      </c>
      <c r="B711" s="35" t="n">
        <v>0</v>
      </c>
      <c r="C711" s="35" t="n">
        <v>0</v>
      </c>
      <c r="D711" s="35" t="n">
        <v>0</v>
      </c>
      <c r="E711" s="35" t="n">
        <v>0</v>
      </c>
      <c r="F711" s="35" t="n">
        <v>0</v>
      </c>
      <c r="G711" s="35" t="n">
        <v>0</v>
      </c>
      <c r="H711" s="35" t="n">
        <v>0</v>
      </c>
      <c r="I711" s="35" t="n">
        <v>0</v>
      </c>
      <c r="J711" s="35" t="n">
        <v>0</v>
      </c>
      <c r="K711" s="35" t="n">
        <v>0</v>
      </c>
      <c r="L711" s="35" t="n">
        <f aca="false">$Q$8*Quesería!$B$39*(Quesería!$F$82+Quesería!$F$83*$Q$21)*$Q$11*(1-$Q$17)</f>
        <v>60.3618538063333</v>
      </c>
    </row>
    <row r="712" customFormat="false" ht="15" hidden="false" customHeight="false" outlineLevel="0" collapsed="false">
      <c r="A712" s="5" t="s">
        <v>298</v>
      </c>
      <c r="B712" s="37" t="n">
        <f aca="false">B700-B701-B702-B703-B708-B695-B696-B697-B710+B711</f>
        <v>-664.799339018462</v>
      </c>
      <c r="C712" s="37" t="n">
        <f aca="false">C700-C701-C702-C703-C708-C695-C696-C697-C710+C711</f>
        <v>-417.727155063613</v>
      </c>
      <c r="D712" s="37" t="n">
        <f aca="false">D700-D701-D702-D703-D708-D695-D696-D697-D710+D711</f>
        <v>349.030410638602</v>
      </c>
      <c r="E712" s="37" t="n">
        <f aca="false">E700-E701-E702-E703-E708-E695-E696-E697-E710+E711</f>
        <v>260.285766696615</v>
      </c>
      <c r="F712" s="37" t="n">
        <f aca="false">F700-F701-F702-F703-F708-F695-F696-F697-F710+F711</f>
        <v>261.80453833489</v>
      </c>
      <c r="G712" s="37" t="n">
        <f aca="false">G700-G701-G702-G703-G708-G695-G696-G697-G710+G711</f>
        <v>229.070774048399</v>
      </c>
      <c r="H712" s="37" t="n">
        <f aca="false">H700-H701-H702-H703-H708-H695-H696-H697-H710+H711</f>
        <v>220.740365266772</v>
      </c>
      <c r="I712" s="37" t="n">
        <f aca="false">I700-I701-I702-I703-I708-I695-I696-I697-I710+I711</f>
        <v>265.793797124484</v>
      </c>
      <c r="J712" s="37" t="n">
        <f aca="false">J700-J701-J702-J703-J708-J695-J696-J697-J710+J711</f>
        <v>258.591773438953</v>
      </c>
      <c r="K712" s="37" t="n">
        <f aca="false">K700-K701-K702-K703-K708-K695-K696-K697-K710+K711</f>
        <v>257.883950172478</v>
      </c>
      <c r="L712" s="37" t="n">
        <f aca="false">L700-L701-L702-L703-L708-L695-L696-L697-L710+L711</f>
        <v>332.507282682509</v>
      </c>
    </row>
    <row r="713" customFormat="false" ht="15" hidden="false" customHeight="false" outlineLevel="0" collapsed="false">
      <c r="A713" s="9" t="s">
        <v>299</v>
      </c>
      <c r="B713" s="36" t="n">
        <f aca="false">B712*B692</f>
        <v>-704.68729935957</v>
      </c>
      <c r="C713" s="36" t="n">
        <f aca="false">C712*C692</f>
        <v>-464.930323585801</v>
      </c>
      <c r="D713" s="36" t="n">
        <f aca="false">D712*D692</f>
        <v>405.952035157599</v>
      </c>
      <c r="E713" s="36" t="n">
        <f aca="false">E712*E692</f>
        <v>314.843849796666</v>
      </c>
      <c r="F713" s="36" t="n">
        <f aca="false">F712*F692</f>
        <v>329.348207477125</v>
      </c>
      <c r="G713" s="36" t="n">
        <f aca="false">G712*G692</f>
        <v>299.696144574094</v>
      </c>
      <c r="H713" s="36" t="n">
        <f aca="false">H712*H692</f>
        <v>300.349261773069</v>
      </c>
      <c r="I713" s="36" t="n">
        <f aca="false">I712*I692</f>
        <v>376.117025446933</v>
      </c>
      <c r="J713" s="36" t="n">
        <f aca="false">J712*J692</f>
        <v>380.562678551781</v>
      </c>
      <c r="K713" s="36" t="n">
        <f aca="false">K712*K692</f>
        <v>394.701833508149</v>
      </c>
      <c r="L713" s="36" t="n">
        <f aca="false">L712*L692</f>
        <v>529.272501850132</v>
      </c>
    </row>
    <row r="714" customFormat="false" ht="15" hidden="false" customHeight="false" outlineLevel="0" collapsed="false">
      <c r="A714" s="6" t="s">
        <v>300</v>
      </c>
      <c r="B714" s="35" t="n">
        <f aca="false">B712</f>
        <v>-664.799339018462</v>
      </c>
      <c r="C714" s="35" t="n">
        <f aca="false">B714+C712</f>
        <v>-1082.52649408208</v>
      </c>
      <c r="D714" s="35" t="n">
        <f aca="false">C714+D712</f>
        <v>-733.496083443473</v>
      </c>
      <c r="E714" s="35" t="n">
        <f aca="false">D714+E712</f>
        <v>-473.210316746858</v>
      </c>
      <c r="F714" s="35" t="n">
        <f aca="false">E714+F712</f>
        <v>-211.405778411968</v>
      </c>
      <c r="G714" s="35" t="n">
        <f aca="false">F714+G712</f>
        <v>17.6649956364305</v>
      </c>
      <c r="H714" s="35" t="n">
        <f aca="false">G714+H712</f>
        <v>238.405360903203</v>
      </c>
      <c r="I714" s="35" t="n">
        <f aca="false">H714+I712</f>
        <v>504.199158027687</v>
      </c>
      <c r="J714" s="35" t="n">
        <f aca="false">I714+J712</f>
        <v>762.79093146664</v>
      </c>
      <c r="K714" s="35" t="n">
        <f aca="false">J714+K712</f>
        <v>1020.67488163912</v>
      </c>
      <c r="L714" s="35" t="n">
        <f aca="false">K714+L712</f>
        <v>1353.18216432163</v>
      </c>
    </row>
    <row r="715" customFormat="false" ht="15" hidden="false" customHeight="false" outlineLevel="0" collapsed="false">
      <c r="A715" s="9" t="s">
        <v>301</v>
      </c>
      <c r="B715" s="38" t="n">
        <v>0</v>
      </c>
      <c r="C715" s="38" t="n">
        <f aca="false">IF(AND(B714&lt;0,C714&gt;=0),B$43+(-B714)/C712,0)</f>
        <v>0</v>
      </c>
      <c r="D715" s="38" t="n">
        <f aca="false">IF(AND(C714&lt;0,D714&gt;=0),C$43+(-C714)/D712,0)</f>
        <v>0</v>
      </c>
      <c r="E715" s="38" t="n">
        <f aca="false">IF(AND(D714&lt;0,E714&gt;=0),D$43+(-D714)/E712,0)</f>
        <v>0</v>
      </c>
      <c r="F715" s="38" t="n">
        <f aca="false">IF(AND(E714&lt;0,F714&gt;=0),E$43+(-E714)/F712,0)</f>
        <v>0</v>
      </c>
      <c r="G715" s="38" t="n">
        <f aca="false">IF(AND(F714&lt;0,G714&gt;=0),F$43+(-F714)/G712,0)</f>
        <v>4.92288411426637</v>
      </c>
      <c r="H715" s="38" t="n">
        <f aca="false">IF(AND(G714&lt;0,H714&gt;=0),G$43+(-G714)/H712,0)</f>
        <v>0</v>
      </c>
      <c r="I715" s="38" t="n">
        <f aca="false">IF(AND(H714&lt;0,I714&gt;=0),H$43+(-H714)/I712,0)</f>
        <v>0</v>
      </c>
      <c r="J715" s="38" t="n">
        <f aca="false">IF(AND(I714&lt;0,J714&gt;=0),I$43+(-I714)/J712,0)</f>
        <v>0</v>
      </c>
      <c r="K715" s="38" t="n">
        <f aca="false">IF(AND(J714&lt;0,K714&gt;=0),J$43+(-J714)/K712,0)</f>
        <v>0</v>
      </c>
      <c r="L715" s="38" t="n">
        <f aca="false">IF(AND(K714&lt;0,L714&gt;=0),K$43+(-K714)/L712,0)</f>
        <v>0</v>
      </c>
    </row>
    <row r="716" customFormat="false" ht="15" hidden="false" customHeight="false" outlineLevel="0" collapsed="false">
      <c r="A716" s="9" t="s">
        <v>302</v>
      </c>
      <c r="B716" s="34" t="n">
        <f aca="false">(B692/$B$692)/(1+$Q$25)^B$43</f>
        <v>1</v>
      </c>
      <c r="C716" s="34" t="n">
        <f aca="false">(C692/$B$692)/(1+$Q$25)^C$43</f>
        <v>0.917759966436207</v>
      </c>
      <c r="D716" s="34" t="n">
        <f aca="false">(D692/$B$692)/(1+$Q$25)^D$43</f>
        <v>0.838272482869212</v>
      </c>
      <c r="E716" s="34" t="n">
        <f aca="false">(E692/$B$692)/(1+$Q$25)^E$43</f>
        <v>0.762005945497277</v>
      </c>
      <c r="F716" s="34" t="n">
        <f aca="false">(F692/$B$692)/(1+$Q$25)^F$43</f>
        <v>0.692678183811735</v>
      </c>
      <c r="G716" s="34" t="n">
        <f aca="false">(G692/$B$692)/(1+$Q$25)^G$43</f>
        <v>0.62965790380495</v>
      </c>
      <c r="H716" s="34" t="n">
        <f aca="false">(H692/$B$692)/(1+$Q$25)^H$43</f>
        <v>0.572371246979825</v>
      </c>
      <c r="I716" s="34" t="n">
        <f aca="false">(I692/$B$692)/(1+$Q$25)^I$43</f>
        <v>0.520296564832328</v>
      </c>
      <c r="J716" s="34" t="n">
        <f aca="false">(J692/$B$692)/(1+$Q$25)^J$43</f>
        <v>0.472959668754749</v>
      </c>
      <c r="K716" s="34" t="n">
        <f aca="false">(K692/$B$692)/(1+$Q$25)^K$43</f>
        <v>0.429929512105638</v>
      </c>
      <c r="L716" s="34" t="n">
        <f aca="false">(L692/$B$692)/(1+$Q$25)^L$43</f>
        <v>0.390814265127624</v>
      </c>
    </row>
    <row r="717" customFormat="false" ht="15" hidden="false" customHeight="false" outlineLevel="0" collapsed="false">
      <c r="A717" s="9" t="s">
        <v>303</v>
      </c>
      <c r="B717" s="36" t="n">
        <f aca="false">B712*B716</f>
        <v>-664.799339018462</v>
      </c>
      <c r="C717" s="36" t="n">
        <f aca="false">C712*C716</f>
        <v>-383.373259810674</v>
      </c>
      <c r="D717" s="36" t="n">
        <f aca="false">D712*D716</f>
        <v>292.582588922881</v>
      </c>
      <c r="E717" s="36" t="n">
        <f aca="false">E712*E716</f>
        <v>198.339301751138</v>
      </c>
      <c r="F717" s="36" t="n">
        <f aca="false">F712*F716</f>
        <v>181.346292127481</v>
      </c>
      <c r="G717" s="36" t="n">
        <f aca="false">G712*G716</f>
        <v>144.236223410292</v>
      </c>
      <c r="H717" s="36" t="n">
        <f aca="false">H712*H716</f>
        <v>126.345438126524</v>
      </c>
      <c r="I717" s="36" t="n">
        <f aca="false">I712*I716</f>
        <v>138.29159959761</v>
      </c>
      <c r="J717" s="36" t="n">
        <f aca="false">J712*J716</f>
        <v>122.30347950839</v>
      </c>
      <c r="K717" s="36" t="n">
        <f aca="false">K712*K716</f>
        <v>110.871920877528</v>
      </c>
      <c r="L717" s="36" t="n">
        <f aca="false">L712*L716</f>
        <v>129.948589331148</v>
      </c>
    </row>
    <row r="718" customFormat="false" ht="15" hidden="false" customHeight="false" outlineLevel="0" collapsed="false">
      <c r="A718" s="9" t="s">
        <v>304</v>
      </c>
      <c r="B718" s="36" t="n">
        <f aca="false">B717</f>
        <v>-664.799339018462</v>
      </c>
      <c r="C718" s="36" t="n">
        <f aca="false">B718+C717</f>
        <v>-1048.17259882914</v>
      </c>
      <c r="D718" s="36" t="n">
        <f aca="false">C718+D717</f>
        <v>-755.590009906254</v>
      </c>
      <c r="E718" s="36" t="n">
        <f aca="false">D718+E717</f>
        <v>-557.250708155116</v>
      </c>
      <c r="F718" s="36" t="n">
        <f aca="false">E718+F717</f>
        <v>-375.904416027635</v>
      </c>
      <c r="G718" s="36" t="n">
        <f aca="false">F718+G717</f>
        <v>-231.668192617343</v>
      </c>
      <c r="H718" s="36" t="n">
        <f aca="false">G718+H717</f>
        <v>-105.322754490819</v>
      </c>
      <c r="I718" s="36" t="n">
        <f aca="false">H718+I717</f>
        <v>32.968845106791</v>
      </c>
      <c r="J718" s="36" t="n">
        <f aca="false">I718+J717</f>
        <v>155.272324615181</v>
      </c>
      <c r="K718" s="36" t="n">
        <f aca="false">J718+K717</f>
        <v>266.14424549271</v>
      </c>
      <c r="L718" s="36" t="n">
        <f aca="false">K718+L717</f>
        <v>396.092834823857</v>
      </c>
    </row>
    <row r="719" customFormat="false" ht="15" hidden="false" customHeight="false" outlineLevel="0" collapsed="false">
      <c r="A719" s="9" t="s">
        <v>305</v>
      </c>
      <c r="B719" s="38" t="n">
        <v>0</v>
      </c>
      <c r="C719" s="38" t="n">
        <f aca="false">IF(AND(B718&lt;0,C718&gt;=0),B$43+(-B718)/C717,0)</f>
        <v>0</v>
      </c>
      <c r="D719" s="38" t="n">
        <f aca="false">IF(AND(C718&lt;0,D718&gt;=0),C$43+(-C718)/D717,0)</f>
        <v>0</v>
      </c>
      <c r="E719" s="38" t="n">
        <f aca="false">IF(AND(D718&lt;0,E718&gt;=0),D$43+(-D718)/E717,0)</f>
        <v>0</v>
      </c>
      <c r="F719" s="38" t="n">
        <f aca="false">IF(AND(E718&lt;0,F718&gt;=0),E$43+(-E718)/F717,0)</f>
        <v>0</v>
      </c>
      <c r="G719" s="38" t="n">
        <f aca="false">IF(AND(F718&lt;0,G718&gt;=0),F$43+(-F718)/G717,0)</f>
        <v>0</v>
      </c>
      <c r="H719" s="38" t="n">
        <f aca="false">IF(AND(G718&lt;0,H718&gt;=0),G$43+(-G718)/H717,0)</f>
        <v>0</v>
      </c>
      <c r="I719" s="38" t="n">
        <f aca="false">IF(AND(H718&lt;0,I718&gt;=0),H$43+(-H718)/I717,0)</f>
        <v>6.76159907613535</v>
      </c>
      <c r="J719" s="38" t="n">
        <f aca="false">IF(AND(I718&lt;0,J718&gt;=0),I$43+(-I718)/J717,0)</f>
        <v>0</v>
      </c>
      <c r="K719" s="38" t="n">
        <f aca="false">IF(AND(J718&lt;0,K718&gt;=0),J$43+(-J718)/K717,0)</f>
        <v>0</v>
      </c>
      <c r="L719" s="38" t="n">
        <f aca="false">IF(AND(K718&lt;0,L718&gt;=0),K$43+(-K718)/L717,0)</f>
        <v>0</v>
      </c>
    </row>
    <row r="720" customFormat="false" ht="15" hidden="false" customHeight="false" outlineLevel="0" collapsed="false">
      <c r="A720" s="9" t="s">
        <v>306</v>
      </c>
      <c r="B720" s="36" t="n">
        <f aca="false">IF(B$43&lt;0,0,(Quesería!$B$40*$B$695*$B$692)*(1-MAX(0,MIN(B$43-0-Quesería!$B$43,(Quesería!$B$42-Quesería!$B$43)))/(Quesería!$B$42-Quesería!$B$43)))+IF(B$43&lt;1,0,(Quesería!$B$40*$C$695*$C$692)*(1-MAX(0,MIN(B$43-1-Quesería!$B$43,(Quesería!$B$42-Quesería!$B$43)))/(Quesería!$B$42-Quesería!$B$43)))</f>
        <v>461.704769247221</v>
      </c>
      <c r="C720" s="36" t="n">
        <f aca="false">IF(C$43&lt;0,0,(Quesería!$B$40*$B$695*$B$692)*(1-MAX(0,MIN(C$43-0-Quesería!$B$43,(Quesería!$B$42-Quesería!$B$43)))/(Quesería!$B$42-Quesería!$B$43)))+IF(C$43&lt;1,0,(Quesería!$B$40*$C$695*$C$692)*(1-MAX(0,MIN(C$43-1-Quesería!$B$43,(Quesería!$B$42-Quesería!$B$43)))/(Quesería!$B$42-Quesería!$B$43)))</f>
        <v>964.434695258825</v>
      </c>
      <c r="D720" s="36" t="n">
        <f aca="false">IF(D$43&lt;0,0,(Quesería!$B$40*$B$695*$B$692)*(1-MAX(0,MIN(D$43-0-Quesería!$B$43,(Quesería!$B$42-Quesería!$B$43)))/(Quesería!$B$42-Quesería!$B$43)))+IF(D$43&lt;1,0,(Quesería!$B$40*$C$695*$C$692)*(1-MAX(0,MIN(D$43-1-Quesería!$B$43,(Quesería!$B$42-Quesería!$B$43)))/(Quesería!$B$42-Quesería!$B$43)))</f>
        <v>887.483900384289</v>
      </c>
      <c r="E720" s="36" t="n">
        <f aca="false">IF(E$43&lt;0,0,(Quesería!$B$40*$B$695*$B$692)*(1-MAX(0,MIN(E$43-0-Quesería!$B$43,(Quesería!$B$42-Quesería!$B$43)))/(Quesería!$B$42-Quesería!$B$43)))+IF(E$43&lt;1,0,(Quesería!$B$40*$C$695*$C$692)*(1-MAX(0,MIN(E$43-1-Quesería!$B$43,(Quesería!$B$42-Quesería!$B$43)))/(Quesería!$B$42-Quesería!$B$43)))</f>
        <v>726.744784507818</v>
      </c>
      <c r="F720" s="36" t="n">
        <f aca="false">IF(F$43&lt;0,0,(Quesería!$B$40*$B$695*$B$692)*(1-MAX(0,MIN(F$43-0-Quesería!$B$43,(Quesería!$B$42-Quesería!$B$43)))/(Quesería!$B$42-Quesería!$B$43)))+IF(F$43&lt;1,0,(Quesería!$B$40*$C$695*$C$692)*(1-MAX(0,MIN(F$43-1-Quesería!$B$43,(Quesería!$B$42-Quesería!$B$43)))/(Quesería!$B$42-Quesería!$B$43)))</f>
        <v>566.005668631347</v>
      </c>
      <c r="G720" s="36" t="n">
        <f aca="false">IF(G$43&lt;0,0,(Quesería!$B$40*$B$695*$B$692)*(1-MAX(0,MIN(G$43-0-Quesería!$B$43,(Quesería!$B$42-Quesería!$B$43)))/(Quesería!$B$42-Quesería!$B$43)))+IF(G$43&lt;1,0,(Quesería!$B$40*$C$695*$C$692)*(1-MAX(0,MIN(G$43-1-Quesería!$B$43,(Quesería!$B$42-Quesería!$B$43)))/(Quesería!$B$42-Quesería!$B$43)))</f>
        <v>405.266552754876</v>
      </c>
      <c r="H720" s="36" t="n">
        <f aca="false">IF(H$43&lt;0,0,(Quesería!$B$40*$B$695*$B$692)*(1-MAX(0,MIN(H$43-0-Quesería!$B$43,(Quesería!$B$42-Quesería!$B$43)))/(Quesería!$B$42-Quesería!$B$43)))+IF(H$43&lt;1,0,(Quesería!$B$40*$C$695*$C$692)*(1-MAX(0,MIN(H$43-1-Quesería!$B$43,(Quesería!$B$42-Quesería!$B$43)))/(Quesería!$B$42-Quesería!$B$43)))</f>
        <v>244.527436878405</v>
      </c>
      <c r="I720" s="36" t="n">
        <f aca="false">IF(I$43&lt;0,0,(Quesería!$B$40*$B$695*$B$692)*(1-MAX(0,MIN(I$43-0-Quesería!$B$43,(Quesería!$B$42-Quesería!$B$43)))/(Quesería!$B$42-Quesería!$B$43)))+IF(I$43&lt;1,0,(Quesería!$B$40*$C$695*$C$692)*(1-MAX(0,MIN(I$43-1-Quesería!$B$43,(Quesería!$B$42-Quesería!$B$43)))/(Quesería!$B$42-Quesería!$B$43)))</f>
        <v>83.788321001934</v>
      </c>
      <c r="J720" s="36" t="n">
        <f aca="false">IF(J$43&lt;0,0,(Quesería!$B$40*$B$695*$B$692)*(1-MAX(0,MIN(J$43-0-Quesería!$B$43,(Quesería!$B$42-Quesería!$B$43)))/(Quesería!$B$42-Quesería!$B$43)))+IF(J$43&lt;1,0,(Quesería!$B$40*$C$695*$C$692)*(1-MAX(0,MIN(J$43-1-Quesería!$B$43,(Quesería!$B$42-Quesería!$B$43)))/(Quesería!$B$42-Quesería!$B$43)))</f>
        <v>0</v>
      </c>
      <c r="K720" s="36" t="n">
        <f aca="false">IF(K$43&lt;0,0,(Quesería!$B$40*$B$695*$B$692)*(1-MAX(0,MIN(K$43-0-Quesería!$B$43,(Quesería!$B$42-Quesería!$B$43)))/(Quesería!$B$42-Quesería!$B$43)))+IF(K$43&lt;1,0,(Quesería!$B$40*$C$695*$C$692)*(1-MAX(0,MIN(K$43-1-Quesería!$B$43,(Quesería!$B$42-Quesería!$B$43)))/(Quesería!$B$42-Quesería!$B$43)))</f>
        <v>0</v>
      </c>
      <c r="L720" s="36" t="n">
        <f aca="false">IF(L$43&lt;0,0,(Quesería!$B$40*$B$695*$B$692)*(1-MAX(0,MIN(L$43-0-Quesería!$B$43,(Quesería!$B$42-Quesería!$B$43)))/(Quesería!$B$42-Quesería!$B$43)))+IF(L$43&lt;1,0,(Quesería!$B$40*$C$695*$C$692)*(1-MAX(0,MIN(L$43-1-Quesería!$B$43,(Quesería!$B$42-Quesería!$B$43)))/(Quesería!$B$42-Quesería!$B$43)))</f>
        <v>0</v>
      </c>
    </row>
    <row r="721" customFormat="false" ht="15" hidden="false" customHeight="false" outlineLevel="0" collapsed="false">
      <c r="A721" s="6" t="s">
        <v>307</v>
      </c>
      <c r="B721" s="35" t="n">
        <f aca="false">Quesería!$B$40*B695</f>
        <v>435.57053702568</v>
      </c>
      <c r="C721" s="35" t="n">
        <f aca="false">Quesería!$B$40*C695</f>
        <v>451.689062005035</v>
      </c>
      <c r="D721" s="35" t="n">
        <f aca="false">Quesería!$B$40*D695</f>
        <v>0</v>
      </c>
      <c r="E721" s="35" t="n">
        <f aca="false">Quesería!$B$40*E695</f>
        <v>0</v>
      </c>
      <c r="F721" s="35" t="n">
        <f aca="false">Quesería!$B$40*F695</f>
        <v>0</v>
      </c>
      <c r="G721" s="35" t="n">
        <f aca="false">Quesería!$B$40*G695</f>
        <v>0</v>
      </c>
      <c r="H721" s="35" t="n">
        <f aca="false">Quesería!$B$40*H695</f>
        <v>0</v>
      </c>
      <c r="I721" s="35" t="n">
        <f aca="false">Quesería!$B$40*I695</f>
        <v>0</v>
      </c>
      <c r="J721" s="35" t="n">
        <f aca="false">Quesería!$B$40*J695</f>
        <v>0</v>
      </c>
      <c r="K721" s="35" t="n">
        <f aca="false">Quesería!$B$40*K695</f>
        <v>0</v>
      </c>
      <c r="L721" s="35" t="n">
        <f aca="false">Quesería!$B$40*L695</f>
        <v>0</v>
      </c>
    </row>
    <row r="722" customFormat="false" ht="15" hidden="false" customHeight="false" outlineLevel="0" collapsed="false">
      <c r="A722" s="6" t="s">
        <v>308</v>
      </c>
      <c r="B722" s="35" t="n">
        <f aca="false">(IF(AND(B$43&gt;0,B$43&lt;=0+Quesería!$B$42),($Q$14+$Q$24)*((Quesería!$B$40*$B$695*$B$692)-(Quesería!$B$40*$B$695*$B$692)/(Quesería!$B$42-Quesería!$B$43)*MAX(0,MIN(B$43-1-0-Quesería!$B$43,(Quesería!$B$42-Quesería!$B$43)))),0)+IF(AND(B$43&gt;1,B$43&lt;=1+Quesería!$B$42),($Q$14+$Q$24)*((Quesería!$B$40*$C$695*$C$692)-(Quesería!$B$40*$C$695*$C$692)/(Quesería!$B$42-Quesería!$B$43)*MAX(0,MIN(B$43-1-1-Quesería!$B$43,(Quesería!$B$42-Quesería!$B$43)))),0))*B694</f>
        <v>0</v>
      </c>
      <c r="C722" s="35" t="n">
        <f aca="false">(IF(AND(C$43&gt;0,C$43&lt;=0+Quesería!$B$42),($Q$14+$Q$24)*((Quesería!$B$40*$B$695*$B$692)-(Quesería!$B$40*$B$695*$B$692)/(Quesería!$B$42-Quesería!$B$43)*MAX(0,MIN(C$43-1-0-Quesería!$B$43,(Quesería!$B$42-Quesería!$B$43)))),0)+IF(AND(C$43&gt;1,C$43&lt;=1+Quesería!$B$42),($Q$14+$Q$24)*((Quesería!$B$40*$C$695*$C$692)-(Quesería!$B$40*$C$695*$C$692)/(Quesería!$B$42-Quesería!$B$43)*MAX(0,MIN(C$43-1-1-Quesería!$B$43,(Quesería!$B$42-Quesería!$B$43)))),0))*C694</f>
        <v>58.4909006863056</v>
      </c>
      <c r="D722" s="35" t="n">
        <f aca="false">(IF(AND(D$43&gt;0,D$43&lt;=0+Quesería!$B$42),($Q$14+$Q$24)*((Quesería!$B$40*$B$695*$B$692)-(Quesería!$B$40*$B$695*$B$692)/(Quesería!$B$42-Quesería!$B$43)*MAX(0,MIN(D$43-1-0-Quesería!$B$43,(Quesería!$B$42-Quesería!$B$43)))),0)+IF(AND(D$43&gt;1,D$43&lt;=1+Quesería!$B$42),($Q$14+$Q$24)*((Quesería!$B$40*$C$695*$C$692)-(Quesería!$B$40*$C$695*$C$692)/(Quesería!$B$42-Quesería!$B$43)*MAX(0,MIN(D$43-1-1-Quesería!$B$43,(Quesería!$B$42-Quesería!$B$43)))),0))*D694</f>
        <v>116.917759262216</v>
      </c>
      <c r="E722" s="35" t="n">
        <f aca="false">(IF(AND(E$43&gt;0,E$43&lt;=0+Quesería!$B$42),($Q$14+$Q$24)*((Quesería!$B$40*$B$695*$B$692)-(Quesería!$B$40*$B$695*$B$692)/(Quesería!$B$42-Quesería!$B$43)*MAX(0,MIN(E$43-1-0-Quesería!$B$43,(Quesería!$B$42-Quesería!$B$43)))),0)+IF(AND(E$43&gt;1,E$43&lt;=1+Quesería!$B$42),($Q$14+$Q$24)*((Quesería!$B$40*$C$695*$C$692)-(Quesería!$B$40*$C$695*$C$692)/(Quesería!$B$42-Quesería!$B$43)*MAX(0,MIN(E$43-1-1-Quesería!$B$43,(Quesería!$B$42-Quesería!$B$43)))),0))*E694</f>
        <v>103.451025930528</v>
      </c>
      <c r="F722" s="35" t="n">
        <f aca="false">(IF(AND(F$43&gt;0,F$43&lt;=0+Quesería!$B$42),($Q$14+$Q$24)*((Quesería!$B$40*$B$695*$B$692)-(Quesería!$B$40*$B$695*$B$692)/(Quesería!$B$42-Quesería!$B$43)*MAX(0,MIN(F$43-1-0-Quesería!$B$43,(Quesería!$B$42-Quesería!$B$43)))),0)+IF(AND(F$43&gt;1,F$43&lt;=1+Quesería!$B$42),($Q$14+$Q$24)*((Quesería!$B$40*$C$695*$C$692)-(Quesería!$B$40*$C$695*$C$692)/(Quesería!$B$42-Quesería!$B$43)*MAX(0,MIN(F$43-1-1-Quesería!$B$43,(Quesería!$B$42-Quesería!$B$43)))),0))*F694</f>
        <v>81.455966861483</v>
      </c>
      <c r="G722" s="35" t="n">
        <f aca="false">(IF(AND(G$43&gt;0,G$43&lt;=0+Quesería!$B$42),($Q$14+$Q$24)*((Quesería!$B$40*$B$695*$B$692)-(Quesería!$B$40*$B$695*$B$692)/(Quesería!$B$42-Quesería!$B$43)*MAX(0,MIN(G$43-1-0-Quesería!$B$43,(Quesería!$B$42-Quesería!$B$43)))),0)+IF(AND(G$43&gt;1,G$43&lt;=1+Quesería!$B$42),($Q$14+$Q$24)*((Quesería!$B$40*$C$695*$C$692)-(Quesería!$B$40*$C$695*$C$692)/(Quesería!$B$42-Quesería!$B$43)*MAX(0,MIN(G$43-1-1-Quesería!$B$43,(Quesería!$B$42-Quesería!$B$43)))),0))*G694</f>
        <v>60.9998013511061</v>
      </c>
      <c r="H722" s="35" t="n">
        <f aca="false">(IF(AND(H$43&gt;0,H$43&lt;=0+Quesería!$B$42),($Q$14+$Q$24)*((Quesería!$B$40*$B$695*$B$692)-(Quesería!$B$40*$B$695*$B$692)/(Quesería!$B$42-Quesería!$B$43)*MAX(0,MIN(H$43-1-0-Quesería!$B$43,(Quesería!$B$42-Quesería!$B$43)))),0)+IF(AND(H$43&gt;1,H$43&lt;=1+Quesería!$B$42),($Q$14+$Q$24)*((Quesería!$B$40*$C$695*$C$692)-(Quesería!$B$40*$C$695*$C$692)/(Quesería!$B$42-Quesería!$B$43)*MAX(0,MIN(H$43-1-1-Quesería!$B$43,(Quesería!$B$42-Quesería!$B$43)))),0))*H694</f>
        <v>41.9966900414366</v>
      </c>
      <c r="I722" s="35" t="n">
        <f aca="false">(IF(AND(I$43&gt;0,I$43&lt;=0+Quesería!$B$42),($Q$14+$Q$24)*((Quesería!$B$40*$B$695*$B$692)-(Quesería!$B$40*$B$695*$B$692)/(Quesería!$B$42-Quesería!$B$43)*MAX(0,MIN(I$43-1-0-Quesería!$B$43,(Quesería!$B$42-Quesería!$B$43)))),0)+IF(AND(I$43&gt;1,I$43&lt;=1+Quesería!$B$42),($Q$14+$Q$24)*((Quesería!$B$40*$C$695*$C$692)-(Quesería!$B$40*$C$695*$C$692)/(Quesería!$B$42-Quesería!$B$43)*MAX(0,MIN(I$43-1-1-Quesería!$B$43,(Quesería!$B$42-Quesería!$B$43)))),0))*I694</f>
        <v>24.3651201322873</v>
      </c>
      <c r="J722" s="35" t="n">
        <f aca="false">(IF(AND(J$43&gt;0,J$43&lt;=0+Quesería!$B$42),($Q$14+$Q$24)*((Quesería!$B$40*$B$695*$B$692)-(Quesería!$B$40*$B$695*$B$692)/(Quesería!$B$42-Quesería!$B$43)*MAX(0,MIN(J$43-1-0-Quesería!$B$43,(Quesería!$B$42-Quesería!$B$43)))),0)+IF(AND(J$43&gt;1,J$43&lt;=1+Quesería!$B$42),($Q$14+$Q$24)*((Quesería!$B$40*$C$695*$C$692)-(Quesería!$B$40*$C$695*$C$692)/(Quesería!$B$42-Quesería!$B$43)*MAX(0,MIN(J$43-1-1-Quesería!$B$43,(Quesería!$B$42-Quesería!$B$43)))),0))*J694</f>
        <v>8.02769955040774</v>
      </c>
      <c r="K722" s="35" t="n">
        <f aca="false">(IF(AND(K$43&gt;0,K$43&lt;=0+Quesería!$B$42),($Q$14+$Q$24)*((Quesería!$B$40*$B$695*$B$692)-(Quesería!$B$40*$B$695*$B$692)/(Quesería!$B$42-Quesería!$B$43)*MAX(0,MIN(K$43-1-0-Quesería!$B$43,(Quesería!$B$42-Quesería!$B$43)))),0)+IF(AND(K$43&gt;1,K$43&lt;=1+Quesería!$B$42),($Q$14+$Q$24)*((Quesería!$B$40*$C$695*$C$692)-(Quesería!$B$40*$C$695*$C$692)/(Quesería!$B$42-Quesería!$B$43)*MAX(0,MIN(K$43-1-1-Quesería!$B$43,(Quesería!$B$42-Quesería!$B$43)))),0))*K694</f>
        <v>0</v>
      </c>
      <c r="L722" s="35" t="n">
        <f aca="false">(IF(AND(L$43&gt;0,L$43&lt;=0+Quesería!$B$42),($Q$14+$Q$24)*((Quesería!$B$40*$B$695*$B$692)-(Quesería!$B$40*$B$695*$B$692)/(Quesería!$B$42-Quesería!$B$43)*MAX(0,MIN(L$43-1-0-Quesería!$B$43,(Quesería!$B$42-Quesería!$B$43)))),0)+IF(AND(L$43&gt;1,L$43&lt;=1+Quesería!$B$42),($Q$14+$Q$24)*((Quesería!$B$40*$C$695*$C$692)-(Quesería!$B$40*$C$695*$C$692)/(Quesería!$B$42-Quesería!$B$43)*MAX(0,MIN(L$43-1-1-Quesería!$B$43,(Quesería!$B$42-Quesería!$B$43)))),0))*L694</f>
        <v>0</v>
      </c>
    </row>
    <row r="723" customFormat="false" ht="15" hidden="false" customHeight="false" outlineLevel="0" collapsed="false">
      <c r="A723" s="6" t="s">
        <v>309</v>
      </c>
      <c r="B723" s="35" t="n">
        <f aca="false">(IF(AND(B$43&gt;0+Quesería!$B$43,B$43&lt;=0+Quesería!$B$42),(Quesería!$B$40*$B$695*$B$692)/(Quesería!$B$42-Quesería!$B$43),0)+IF(AND(B$43&gt;1+Quesería!$B$43,B$43&lt;=1+Quesería!$B$42),(Quesería!$B$40*$C$695*$C$692)/(Quesería!$B$42-Quesería!$B$43),0))*B694</f>
        <v>0</v>
      </c>
      <c r="C723" s="35" t="n">
        <f aca="false">(IF(AND(C$43&gt;0+Quesería!$B$43,C$43&lt;=0+Quesería!$B$42),(Quesería!$B$40*$B$695*$B$692)/(Quesería!$B$42-Quesería!$B$43),0)+IF(AND(C$43&gt;1+Quesería!$B$43,C$43&lt;=1+Quesería!$B$42),(Quesería!$B$40*$C$695*$C$692)/(Quesería!$B$42-Quesería!$B$43),0))*C694</f>
        <v>0</v>
      </c>
      <c r="D723" s="35" t="n">
        <f aca="false">(IF(AND(D$43&gt;0+Quesería!$B$43,D$43&lt;=0+Quesería!$B$42),(Quesería!$B$40*$B$695*$B$692)/(Quesería!$B$42-Quesería!$B$43),0)+IF(AND(D$43&gt;1+Quesería!$B$43,D$43&lt;=1+Quesería!$B$42),(Quesería!$B$40*$C$695*$C$692)/(Quesería!$B$42-Quesería!$B$43),0))*D694</f>
        <v>66.1609382586284</v>
      </c>
      <c r="E723" s="35" t="n">
        <f aca="false">(IF(AND(E$43&gt;0+Quesería!$B$43,E$43&lt;=0+Quesería!$B$42),(Quesería!$B$40*$B$695*$B$692)/(Quesería!$B$42-Quesería!$B$43),0)+IF(AND(E$43&gt;1+Quesería!$B$43,E$43&lt;=1+Quesería!$B$42),(Quesería!$B$40*$C$695*$C$692)/(Quesería!$B$42-Quesería!$B$43),0))*E694</f>
        <v>132.885251025432</v>
      </c>
      <c r="F723" s="35" t="n">
        <f aca="false">(IF(AND(F$43&gt;0+Quesería!$B$43,F$43&lt;=0+Quesería!$B$42),(Quesería!$B$40*$B$695*$B$692)/(Quesería!$B$42-Quesería!$B$43),0)+IF(AND(F$43&gt;1+Quesería!$B$43,F$43&lt;=1+Quesería!$B$42),(Quesería!$B$40*$C$695*$C$692)/(Quesería!$B$42-Quesería!$B$43),0))*F694</f>
        <v>127.774279832146</v>
      </c>
      <c r="G723" s="35" t="n">
        <f aca="false">(IF(AND(G$43&gt;0+Quesería!$B$43,G$43&lt;=0+Quesería!$B$42),(Quesería!$B$40*$B$695*$B$692)/(Quesería!$B$42-Quesería!$B$43),0)+IF(AND(G$43&gt;1+Quesería!$B$43,G$43&lt;=1+Quesería!$B$42),(Quesería!$B$40*$C$695*$C$692)/(Quesería!$B$42-Quesería!$B$43),0))*G694</f>
        <v>122.859884453986</v>
      </c>
      <c r="H723" s="35" t="n">
        <f aca="false">(IF(AND(H$43&gt;0+Quesería!$B$43,H$43&lt;=0+Quesería!$B$42),(Quesería!$B$40*$B$695*$B$692)/(Quesería!$B$42-Quesería!$B$43),0)+IF(AND(H$43&gt;1+Quesería!$B$43,H$43&lt;=1+Quesería!$B$42),(Quesería!$B$40*$C$695*$C$692)/(Quesería!$B$42-Quesería!$B$43),0))*H694</f>
        <v>118.134504282679</v>
      </c>
      <c r="I723" s="35" t="n">
        <f aca="false">(IF(AND(I$43&gt;0+Quesería!$B$43,I$43&lt;=0+Quesería!$B$42),(Quesería!$B$40*$B$695*$B$692)/(Quesería!$B$42-Quesería!$B$43),0)+IF(AND(I$43&gt;1+Quesería!$B$43,I$43&lt;=1+Quesería!$B$42),(Quesería!$B$40*$C$695*$C$692)/(Quesería!$B$42-Quesería!$B$43),0))*I694</f>
        <v>113.590869502576</v>
      </c>
      <c r="J723" s="35" t="n">
        <f aca="false">(IF(AND(J$43&gt;0+Quesería!$B$43,J$43&lt;=0+Quesería!$B$42),(Quesería!$B$40*$B$695*$B$692)/(Quesería!$B$42-Quesería!$B$43),0)+IF(AND(J$43&gt;1+Quesería!$B$43,J$43&lt;=1+Quesería!$B$42),(Quesería!$B$40*$C$695*$C$692)/(Quesería!$B$42-Quesería!$B$43),0))*J694</f>
        <v>56.9340393645939</v>
      </c>
      <c r="K723" s="35" t="n">
        <f aca="false">(IF(AND(K$43&gt;0+Quesería!$B$43,K$43&lt;=0+Quesería!$B$42),(Quesería!$B$40*$B$695*$B$692)/(Quesería!$B$42-Quesería!$B$43),0)+IF(AND(K$43&gt;1+Quesería!$B$43,K$43&lt;=1+Quesería!$B$42),(Quesería!$B$40*$C$695*$C$692)/(Quesería!$B$42-Quesería!$B$43),0))*K694</f>
        <v>0</v>
      </c>
      <c r="L723" s="35" t="n">
        <f aca="false">(IF(AND(L$43&gt;0+Quesería!$B$43,L$43&lt;=0+Quesería!$B$42),(Quesería!$B$40*$B$695*$B$692)/(Quesería!$B$42-Quesería!$B$43),0)+IF(AND(L$43&gt;1+Quesería!$B$43,L$43&lt;=1+Quesería!$B$42),(Quesería!$B$40*$C$695*$C$692)/(Quesería!$B$42-Quesería!$B$43),0))*L694</f>
        <v>0</v>
      </c>
    </row>
    <row r="724" customFormat="false" ht="15" hidden="false" customHeight="false" outlineLevel="0" collapsed="false">
      <c r="A724" s="6" t="s">
        <v>310</v>
      </c>
      <c r="B724" s="35" t="n">
        <f aca="false">$Q$13*Quesería!$B$44*(1+0.19)*B720*B694+(1-$Q$13)*IF(B$43=0,Quesería!$B$53,0)</f>
        <v>4</v>
      </c>
      <c r="C724" s="35" t="n">
        <f aca="false">$Q$13*Quesería!$B$44*(1+0.19)*C720*C694+(1-$Q$13)*IF(C$43=0,Quesería!$B$53,0)</f>
        <v>0</v>
      </c>
      <c r="D724" s="35" t="n">
        <f aca="false">$Q$13*Quesería!$B$44*(1+0.19)*D720*D694+(1-$Q$13)*IF(D$43=0,Quesería!$B$53,0)</f>
        <v>0</v>
      </c>
      <c r="E724" s="35" t="n">
        <f aca="false">$Q$13*Quesería!$B$44*(1+0.19)*E720*E694+(1-$Q$13)*IF(E$43=0,Quesería!$B$53,0)</f>
        <v>0</v>
      </c>
      <c r="F724" s="35" t="n">
        <f aca="false">$Q$13*Quesería!$B$44*(1+0.19)*F720*F694+(1-$Q$13)*IF(F$43=0,Quesería!$B$53,0)</f>
        <v>0</v>
      </c>
      <c r="G724" s="35" t="n">
        <f aca="false">$Q$13*Quesería!$B$44*(1+0.19)*G720*G694+(1-$Q$13)*IF(G$43=0,Quesería!$B$53,0)</f>
        <v>0</v>
      </c>
      <c r="H724" s="35" t="n">
        <f aca="false">$Q$13*Quesería!$B$44*(1+0.19)*H720*H694+(1-$Q$13)*IF(H$43=0,Quesería!$B$53,0)</f>
        <v>0</v>
      </c>
      <c r="I724" s="35" t="n">
        <f aca="false">$Q$13*Quesería!$B$44*(1+0.19)*I720*I694+(1-$Q$13)*IF(I$43=0,Quesería!$B$53,0)</f>
        <v>0</v>
      </c>
      <c r="J724" s="35" t="n">
        <f aca="false">$Q$13*Quesería!$B$44*(1+0.19)*J720*J694+(1-$Q$13)*IF(J$43=0,Quesería!$B$53,0)</f>
        <v>0</v>
      </c>
      <c r="K724" s="35" t="n">
        <f aca="false">$Q$13*Quesería!$B$44*(1+0.19)*K720*K694+(1-$Q$13)*IF(K$43=0,Quesería!$B$53,0)</f>
        <v>0</v>
      </c>
      <c r="L724" s="35" t="n">
        <f aca="false">$Q$13*Quesería!$B$44*(1+0.19)*L720*L694+(1-$Q$13)*IF(L$43=0,Quesería!$B$53,0)</f>
        <v>0</v>
      </c>
    </row>
    <row r="725" customFormat="false" ht="15" hidden="false" customHeight="false" outlineLevel="0" collapsed="false">
      <c r="A725" s="6" t="s">
        <v>311</v>
      </c>
      <c r="B725" s="35" t="n">
        <f aca="false">Quesería!$B$45*(B722+B723+B724)</f>
        <v>0.016</v>
      </c>
      <c r="C725" s="35" t="n">
        <f aca="false">Quesería!$B$45*(C722+C723+C724)</f>
        <v>0.233963602745223</v>
      </c>
      <c r="D725" s="35" t="n">
        <f aca="false">Quesería!$B$45*(D722+D723+D724)</f>
        <v>0.732314790083377</v>
      </c>
      <c r="E725" s="35" t="n">
        <f aca="false">Quesería!$B$45*(E722+E723+E724)</f>
        <v>0.94534510782384</v>
      </c>
      <c r="F725" s="35" t="n">
        <f aca="false">Quesería!$B$45*(F722+F723+F724)</f>
        <v>0.836920986774515</v>
      </c>
      <c r="G725" s="35" t="n">
        <f aca="false">Quesería!$B$45*(G722+G723+G724)</f>
        <v>0.73543874322037</v>
      </c>
      <c r="H725" s="35" t="n">
        <f aca="false">Quesería!$B$45*(H722+H723+H724)</f>
        <v>0.640524777296463</v>
      </c>
      <c r="I725" s="35" t="n">
        <f aca="false">Quesería!$B$45*(I722+I723+I724)</f>
        <v>0.551823958539454</v>
      </c>
      <c r="J725" s="35" t="n">
        <f aca="false">Quesería!$B$45*(J722+J723+J724)</f>
        <v>0.259846955660007</v>
      </c>
      <c r="K725" s="35" t="n">
        <f aca="false">Quesería!$B$45*(K722+K723+K724)</f>
        <v>0</v>
      </c>
      <c r="L725" s="35" t="n">
        <f aca="false">Quesería!$B$45*(L722+L723+L724)</f>
        <v>0</v>
      </c>
    </row>
    <row r="726" customFormat="false" ht="15" hidden="false" customHeight="false" outlineLevel="0" collapsed="false">
      <c r="A726" s="6" t="s">
        <v>312</v>
      </c>
      <c r="B726" s="35" t="n">
        <f aca="false">$Q$17*(B722+B724+0.5*B725)</f>
        <v>1.2024</v>
      </c>
      <c r="C726" s="35" t="n">
        <f aca="false">$Q$17*(C722+C724+0.5*C725)</f>
        <v>17.5823647463035</v>
      </c>
      <c r="D726" s="35" t="n">
        <f aca="false">$Q$17*(D722+D724+0.5*D725)</f>
        <v>35.1851749971773</v>
      </c>
      <c r="E726" s="35" t="n">
        <f aca="false">$Q$17*(E722+E724+0.5*E725)</f>
        <v>31.177109545332</v>
      </c>
      <c r="F726" s="35" t="n">
        <f aca="false">$Q$17*(F722+F724+0.5*F725)</f>
        <v>24.5623282064611</v>
      </c>
      <c r="G726" s="35" t="n">
        <f aca="false">$Q$17*(G722+G724+0.5*G725)</f>
        <v>18.4102562168149</v>
      </c>
      <c r="H726" s="35" t="n">
        <f aca="false">$Q$17*(H722+H724+0.5*H725)</f>
        <v>12.6950857290254</v>
      </c>
      <c r="I726" s="35" t="n">
        <f aca="false">$Q$17*(I722+I724+0.5*I725)</f>
        <v>7.39230963346711</v>
      </c>
      <c r="J726" s="35" t="n">
        <f aca="false">$Q$17*(J722+J724+0.5*J725)</f>
        <v>2.44728690847132</v>
      </c>
      <c r="K726" s="35" t="n">
        <f aca="false">$Q$17*(K722+K724+0.5*K725)</f>
        <v>0</v>
      </c>
      <c r="L726" s="35" t="n">
        <f aca="false">$Q$17*(L722+L724+0.5*L725)</f>
        <v>0</v>
      </c>
    </row>
    <row r="727" customFormat="false" ht="15" hidden="false" customHeight="false" outlineLevel="0" collapsed="false">
      <c r="A727" s="5" t="s">
        <v>313</v>
      </c>
      <c r="B727" s="37" t="n">
        <f aca="false">B712+B721-B722-B723-B724-B725+B726</f>
        <v>-232.042401992782</v>
      </c>
      <c r="C727" s="37" t="n">
        <f aca="false">C712+C721-C722-C723-C724-C725+C726</f>
        <v>-7.18059260132533</v>
      </c>
      <c r="D727" s="37" t="n">
        <f aca="false">D712+D721-D722-D723-D724-D725+D726</f>
        <v>200.404573324852</v>
      </c>
      <c r="E727" s="37" t="n">
        <f aca="false">E712+E721-E722-E723-E724-E725+E726</f>
        <v>54.1812541781635</v>
      </c>
      <c r="F727" s="37" t="n">
        <f aca="false">F712+F721-F722-F723-F724-F725+F726</f>
        <v>76.2996988609473</v>
      </c>
      <c r="G727" s="37" t="n">
        <f aca="false">G712+G721-G722-G723-G724-G725+G726</f>
        <v>62.8859057169007</v>
      </c>
      <c r="H727" s="37" t="n">
        <f aca="false">H712+H721-H722-H723-H724-H725+H726</f>
        <v>72.6637318943851</v>
      </c>
      <c r="I727" s="37" t="n">
        <f aca="false">I712+I721-I722-I723-I724-I725+I726</f>
        <v>134.678293164548</v>
      </c>
      <c r="J727" s="37" t="n">
        <f aca="false">J712+J721-J722-J723-J724-J725+J726</f>
        <v>195.817474476763</v>
      </c>
      <c r="K727" s="37" t="n">
        <f aca="false">K712+K721-K722-K723-K724-K725+K726</f>
        <v>257.883950172478</v>
      </c>
      <c r="L727" s="37" t="n">
        <f aca="false">L712+L721-L722-L723-L724-L725+L726</f>
        <v>332.507282682509</v>
      </c>
    </row>
    <row r="728" customFormat="false" ht="15" hidden="false" customHeight="false" outlineLevel="0" collapsed="false">
      <c r="A728" s="9" t="s">
        <v>314</v>
      </c>
      <c r="B728" s="36" t="n">
        <f aca="false">B727*B692</f>
        <v>-245.964946112348</v>
      </c>
      <c r="C728" s="36" t="n">
        <f aca="false">C727*C692</f>
        <v>-7.9919995652751</v>
      </c>
      <c r="D728" s="36" t="n">
        <f aca="false">D727*D692</f>
        <v>233.087553165535</v>
      </c>
      <c r="E728" s="36" t="n">
        <f aca="false">E727*E692</f>
        <v>65.5381001764417</v>
      </c>
      <c r="F728" s="36" t="n">
        <f aca="false">F727*F692</f>
        <v>95.9844669260592</v>
      </c>
      <c r="G728" s="36" t="n">
        <f aca="false">G727*G692</f>
        <v>82.2744130921876</v>
      </c>
      <c r="H728" s="36" t="n">
        <f aca="false">H727*H692</f>
        <v>98.8695393603211</v>
      </c>
      <c r="I728" s="36" t="n">
        <f aca="false">I727*I692</f>
        <v>190.579312103344</v>
      </c>
      <c r="J728" s="36" t="n">
        <f aca="false">J727*J692</f>
        <v>288.179401854461</v>
      </c>
      <c r="K728" s="36" t="n">
        <f aca="false">K727*K692</f>
        <v>394.701833508149</v>
      </c>
      <c r="L728" s="36" t="n">
        <f aca="false">L727*L692</f>
        <v>529.272501850132</v>
      </c>
    </row>
    <row r="729" customFormat="false" ht="15" hidden="false" customHeight="false" outlineLevel="0" collapsed="false">
      <c r="A729" s="9" t="s">
        <v>315</v>
      </c>
      <c r="B729" s="34" t="n">
        <f aca="false">(B692/$B$692)/(1+Quesería!$B$46+$Q$24)^B$43</f>
        <v>1</v>
      </c>
      <c r="C729" s="34" t="n">
        <f aca="false">(C692/$B$692)/(1+Quesería!$B$46+$Q$24)^C$43</f>
        <v>0.84</v>
      </c>
      <c r="D729" s="34" t="n">
        <f aca="false">(D692/$B$692)/(1+Quesería!$B$46+$Q$24)^D$43</f>
        <v>0.70224</v>
      </c>
      <c r="E729" s="34" t="n">
        <f aca="false">(E692/$B$692)/(1+Quesería!$B$46+$Q$24)^E$43</f>
        <v>0.58426368</v>
      </c>
      <c r="F729" s="34" t="n">
        <f aca="false">(F692/$B$692)/(1+Quesería!$B$46+$Q$24)^F$43</f>
        <v>0.48610738176</v>
      </c>
      <c r="G729" s="34" t="n">
        <f aca="false">(G692/$B$692)/(1+Quesería!$B$46+$Q$24)^G$43</f>
        <v>0.40444134162432</v>
      </c>
      <c r="H729" s="34" t="n">
        <f aca="false">(H692/$B$692)/(1+Quesería!$B$46+$Q$24)^H$43</f>
        <v>0.336495196231434</v>
      </c>
      <c r="I729" s="34" t="n">
        <f aca="false">(I692/$B$692)/(1+Quesería!$B$46+$Q$24)^I$43</f>
        <v>0.279964003264553</v>
      </c>
      <c r="J729" s="34" t="n">
        <f aca="false">(J692/$B$692)/(1+Quesería!$B$46+$Q$24)^J$43</f>
        <v>0.232930050716108</v>
      </c>
      <c r="K729" s="34" t="n">
        <f aca="false">(K692/$B$692)/(1+Quesería!$B$46+$Q$24)^K$43</f>
        <v>0.193797802195802</v>
      </c>
      <c r="L729" s="34" t="n">
        <f aca="false">(L692/$B$692)/(1+Quesería!$B$46+$Q$24)^L$43</f>
        <v>0.161239771426907</v>
      </c>
    </row>
    <row r="730" customFormat="false" ht="15" hidden="false" customHeight="false" outlineLevel="0" collapsed="false">
      <c r="A730" s="9" t="s">
        <v>316</v>
      </c>
      <c r="B730" s="36" t="n">
        <f aca="false">B712+B695+B697+B726</f>
        <v>57.9945607920316</v>
      </c>
      <c r="C730" s="36" t="n">
        <f aca="false">C712+C695+C697+C726</f>
        <v>367.72661509125</v>
      </c>
      <c r="D730" s="36" t="n">
        <f aca="false">D712+D695+D697+D726</f>
        <v>384.215585635779</v>
      </c>
      <c r="E730" s="36" t="n">
        <f aca="false">E712+E695+E697+E726</f>
        <v>291.462876241947</v>
      </c>
      <c r="F730" s="36" t="n">
        <f aca="false">F712+F695+F697+F726</f>
        <v>286.366866541351</v>
      </c>
      <c r="G730" s="36" t="n">
        <f aca="false">G712+G695+G697+G726</f>
        <v>252.54769693188</v>
      </c>
      <c r="H730" s="36" t="n">
        <f aca="false">H712+H695+H697+H726</f>
        <v>240.143316076564</v>
      </c>
      <c r="I730" s="36" t="n">
        <f aca="false">I712+I695+I697+I726</f>
        <v>273.186106757951</v>
      </c>
      <c r="J730" s="36" t="n">
        <f aca="false">J712+J695+J697+J726</f>
        <v>261.039060347425</v>
      </c>
      <c r="K730" s="36" t="n">
        <f aca="false">K712+K695+K697+K726</f>
        <v>257.883950172478</v>
      </c>
      <c r="L730" s="36" t="n">
        <f aca="false">L712+L695+L697+L726</f>
        <v>332.507282682509</v>
      </c>
    </row>
    <row r="731" customFormat="false" ht="15" hidden="false" customHeight="false" outlineLevel="0" collapsed="false">
      <c r="A731" s="5" t="s">
        <v>317</v>
      </c>
      <c r="B731" s="12" t="str">
        <f aca="false">IF(AND(B$43&gt;=1,(B722+B723+B724)&gt;0.001),B730/(B722+B723+B724),"")</f>
        <v/>
      </c>
      <c r="C731" s="12" t="n">
        <f aca="false">IF(AND(C$43&gt;=1,(C722+C723+C724)&gt;0.001),C730/(C722+C723+C724),"")</f>
        <v>6.28690293321719</v>
      </c>
      <c r="D731" s="12" t="n">
        <f aca="false">IF(AND(D$43&gt;=1,(D722+D723+D724)&gt;0.001),D730/(D722+D723+D724),"")</f>
        <v>2.09863621949809</v>
      </c>
      <c r="E731" s="12" t="n">
        <f aca="false">IF(AND(E$43&gt;=1,(E722+E723+E724)&gt;0.001),E730/(E722+E723+E724),"")</f>
        <v>1.23325491962565</v>
      </c>
      <c r="F731" s="12" t="n">
        <f aca="false">IF(AND(F$43&gt;=1,(F722+F723+F724)&gt;0.001),F730/(F722+F723+F724),"")</f>
        <v>1.36866858911021</v>
      </c>
      <c r="G731" s="12" t="n">
        <f aca="false">IF(AND(G$43&gt;=1,(G722+G723+G724)&gt;0.001),G730/(G722+G723+G724),"")</f>
        <v>1.37358929895922</v>
      </c>
      <c r="H731" s="12" t="n">
        <f aca="false">IF(AND(H$43&gt;=1,(H722+H723+H724)&gt;0.001),H730/(H722+H723+H724),"")</f>
        <v>1.49966605251503</v>
      </c>
      <c r="I731" s="12" t="n">
        <f aca="false">IF(AND(I$43&gt;=1,(I722+I723+I724)&gt;0.001),I730/(I722+I723+I724),"")</f>
        <v>1.98024099918394</v>
      </c>
      <c r="J731" s="12" t="n">
        <f aca="false">IF(AND(J$43&gt;=1,(J722+J723+J724)&gt;0.001),J730/(J722+J723+J724),"")</f>
        <v>4.01835087402722</v>
      </c>
      <c r="K731" s="12" t="str">
        <f aca="false">IF(AND(K$43&gt;=1,(K722+K723+K724)&gt;0.001),K730/(K722+K723+K724),"")</f>
        <v/>
      </c>
      <c r="L731" s="12" t="str">
        <f aca="false">IF(AND(L$43&gt;=1,(L722+L723+L724)&gt;0.001),L730/(L722+L723+L724),"")</f>
        <v/>
      </c>
    </row>
    <row r="733" customFormat="false" ht="15" hidden="false" customHeight="false" outlineLevel="0" collapsed="false">
      <c r="A733" s="66" t="s">
        <v>642</v>
      </c>
      <c r="B733" s="67"/>
      <c r="C733" s="67"/>
      <c r="D733" s="67"/>
      <c r="E733" s="67"/>
      <c r="F733" s="67"/>
      <c r="G733" s="67"/>
      <c r="H733" s="67"/>
      <c r="I733" s="67"/>
      <c r="J733" s="67"/>
      <c r="K733" s="67"/>
      <c r="L733" s="67"/>
    </row>
    <row r="734" customFormat="false" ht="15" hidden="false" customHeight="false" outlineLevel="0" collapsed="false">
      <c r="A734" s="9" t="s">
        <v>281</v>
      </c>
      <c r="B734" s="33" t="n">
        <f aca="false">CHOOSE($R$15,Entorno!B$7,Entorno!B$8,Entorno!B$9)</f>
        <v>0.06</v>
      </c>
      <c r="C734" s="33" t="n">
        <f aca="false">CHOOSE($R$15,Entorno!C$7,Entorno!C$8,Entorno!C$9)</f>
        <v>0.05</v>
      </c>
      <c r="D734" s="33" t="n">
        <f aca="false">CHOOSE($R$15,Entorno!D$7,Entorno!D$8,Entorno!D$9)</f>
        <v>0.045</v>
      </c>
      <c r="E734" s="33" t="n">
        <f aca="false">CHOOSE($R$15,Entorno!E$7,Entorno!E$8,Entorno!E$9)</f>
        <v>0.04</v>
      </c>
      <c r="F734" s="33" t="n">
        <f aca="false">CHOOSE($R$15,Entorno!F$7,Entorno!F$8,Entorno!F$9)</f>
        <v>0.04</v>
      </c>
      <c r="G734" s="33" t="n">
        <f aca="false">CHOOSE($R$15,Entorno!G$7,Entorno!G$8,Entorno!G$9)</f>
        <v>0.04</v>
      </c>
      <c r="H734" s="33" t="n">
        <f aca="false">CHOOSE($R$15,Entorno!H$7,Entorno!H$8,Entorno!H$9)</f>
        <v>0.04</v>
      </c>
      <c r="I734" s="33" t="n">
        <f aca="false">CHOOSE($R$15,Entorno!I$7,Entorno!I$8,Entorno!I$9)</f>
        <v>0.04</v>
      </c>
      <c r="J734" s="33" t="n">
        <f aca="false">CHOOSE($R$15,Entorno!J$7,Entorno!J$8,Entorno!J$9)</f>
        <v>0.04</v>
      </c>
      <c r="K734" s="33" t="n">
        <f aca="false">CHOOSE($R$15,Entorno!K$7,Entorno!K$8,Entorno!K$9)</f>
        <v>0.04</v>
      </c>
      <c r="L734" s="33" t="n">
        <f aca="false">CHOOSE($R$15,Entorno!L$7,Entorno!L$8,Entorno!L$9)</f>
        <v>0.04</v>
      </c>
    </row>
    <row r="735" customFormat="false" ht="15" hidden="false" customHeight="false" outlineLevel="0" collapsed="false">
      <c r="A735" s="9" t="s">
        <v>282</v>
      </c>
      <c r="B735" s="34" t="n">
        <f aca="false">1+B734</f>
        <v>1.06</v>
      </c>
      <c r="C735" s="34" t="n">
        <f aca="false">B735*(1+C734)</f>
        <v>1.113</v>
      </c>
      <c r="D735" s="34" t="n">
        <f aca="false">C735*(1+D734)</f>
        <v>1.163085</v>
      </c>
      <c r="E735" s="34" t="n">
        <f aca="false">D735*(1+E734)</f>
        <v>1.2096084</v>
      </c>
      <c r="F735" s="34" t="n">
        <f aca="false">E735*(1+F734)</f>
        <v>1.257992736</v>
      </c>
      <c r="G735" s="34" t="n">
        <f aca="false">F735*(1+G734)</f>
        <v>1.30831244544</v>
      </c>
      <c r="H735" s="34" t="n">
        <f aca="false">G735*(1+H734)</f>
        <v>1.3606449432576</v>
      </c>
      <c r="I735" s="34" t="n">
        <f aca="false">H735*(1+I734)</f>
        <v>1.4150707409879</v>
      </c>
      <c r="J735" s="34" t="n">
        <f aca="false">I735*(1+J734)</f>
        <v>1.47167357062742</v>
      </c>
      <c r="K735" s="34" t="n">
        <f aca="false">J735*(1+K734)</f>
        <v>1.53054051345252</v>
      </c>
      <c r="L735" s="34" t="n">
        <f aca="false">K735*(1+L734)</f>
        <v>1.59176213399062</v>
      </c>
    </row>
    <row r="736" customFormat="false" ht="15" hidden="false" customHeight="false" outlineLevel="0" collapsed="false">
      <c r="A736" s="9" t="s">
        <v>283</v>
      </c>
      <c r="B736" s="34" t="n">
        <f aca="false">(1+$R$16)/(1+B734)</f>
        <v>1.02358490566038</v>
      </c>
      <c r="C736" s="34" t="n">
        <f aca="false">B736*(1+Entorno!$B$13)</f>
        <v>1.02870283018868</v>
      </c>
      <c r="D736" s="34" t="n">
        <f aca="false">C736*(1+Entorno!$B$13)</f>
        <v>1.03384634433962</v>
      </c>
      <c r="E736" s="34" t="n">
        <f aca="false">D736*(1+Entorno!$B$13)</f>
        <v>1.03901557606132</v>
      </c>
      <c r="F736" s="34" t="n">
        <f aca="false">E736*(1+Entorno!$B$13)</f>
        <v>1.04421065394163</v>
      </c>
      <c r="G736" s="34" t="n">
        <f aca="false">F736*(1+Entorno!$B$13)</f>
        <v>1.04943170721133</v>
      </c>
      <c r="H736" s="34" t="n">
        <f aca="false">G736*(1+Entorno!$B$13)</f>
        <v>1.05467886574739</v>
      </c>
      <c r="I736" s="34" t="n">
        <f aca="false">H736*(1+Entorno!$B$13)</f>
        <v>1.05995226007613</v>
      </c>
      <c r="J736" s="34" t="n">
        <f aca="false">I736*(1+Entorno!$B$13)</f>
        <v>1.06525202137651</v>
      </c>
      <c r="K736" s="34" t="n">
        <f aca="false">J736*(1+Entorno!$B$13)</f>
        <v>1.07057828148339</v>
      </c>
      <c r="L736" s="34" t="n">
        <f aca="false">K736*(1+Entorno!$B$13)</f>
        <v>1.07593117289081</v>
      </c>
    </row>
    <row r="737" customFormat="false" ht="15" hidden="false" customHeight="false" outlineLevel="0" collapsed="false">
      <c r="A737" s="9" t="s">
        <v>284</v>
      </c>
      <c r="B737" s="34" t="n">
        <f aca="false">1/B735</f>
        <v>0.943396226415094</v>
      </c>
      <c r="C737" s="34" t="n">
        <f aca="false">1/C735</f>
        <v>0.898472596585804</v>
      </c>
      <c r="D737" s="34" t="n">
        <f aca="false">1/D735</f>
        <v>0.859782389077324</v>
      </c>
      <c r="E737" s="34" t="n">
        <f aca="false">1/E735</f>
        <v>0.826713835651273</v>
      </c>
      <c r="F737" s="34" t="n">
        <f aca="false">1/F735</f>
        <v>0.794917149664686</v>
      </c>
      <c r="G737" s="34" t="n">
        <f aca="false">1/G735</f>
        <v>0.764343413139121</v>
      </c>
      <c r="H737" s="34" t="n">
        <f aca="false">1/H735</f>
        <v>0.734945589556847</v>
      </c>
      <c r="I737" s="34" t="n">
        <f aca="false">1/I735</f>
        <v>0.706678451496968</v>
      </c>
      <c r="J737" s="34" t="n">
        <f aca="false">1/J735</f>
        <v>0.679498511054777</v>
      </c>
      <c r="K737" s="34" t="n">
        <f aca="false">1/K735</f>
        <v>0.653363952937286</v>
      </c>
      <c r="L737" s="34" t="n">
        <f aca="false">1/L735</f>
        <v>0.628234570132006</v>
      </c>
    </row>
    <row r="738" customFormat="false" ht="15" hidden="false" customHeight="false" outlineLevel="0" collapsed="false">
      <c r="A738" s="6" t="s">
        <v>202</v>
      </c>
      <c r="B738" s="35" t="n">
        <f aca="false">IF(B$43=0,Quesería!$F$80,IF(B$43=1,Quesería!$F$81*$R$21,0))*$R$11</f>
        <v>622.243624322401</v>
      </c>
      <c r="C738" s="35" t="n">
        <f aca="false">IF(C$43=0,Quesería!$F$80,IF(C$43=1,Quesería!$F$81*$R$21,0))*$R$11</f>
        <v>645.270088578622</v>
      </c>
      <c r="D738" s="35" t="n">
        <f aca="false">IF(D$43=0,Quesería!$F$80,IF(D$43=1,Quesería!$F$81*$R$21,0))*$R$11</f>
        <v>0</v>
      </c>
      <c r="E738" s="35" t="n">
        <f aca="false">IF(E$43=0,Quesería!$F$80,IF(E$43=1,Quesería!$F$81*$R$21,0))*$R$11</f>
        <v>0</v>
      </c>
      <c r="F738" s="35" t="n">
        <f aca="false">IF(F$43=0,Quesería!$F$80,IF(F$43=1,Quesería!$F$81*$R$21,0))*$R$11</f>
        <v>0</v>
      </c>
      <c r="G738" s="35" t="n">
        <f aca="false">IF(G$43=0,Quesería!$F$80,IF(G$43=1,Quesería!$F$81*$R$21,0))*$R$11</f>
        <v>0</v>
      </c>
      <c r="H738" s="35" t="n">
        <f aca="false">IF(H$43=0,Quesería!$F$80,IF(H$43=1,Quesería!$F$81*$R$21,0))*$R$11</f>
        <v>0</v>
      </c>
      <c r="I738" s="35" t="n">
        <f aca="false">IF(I$43=0,Quesería!$F$80,IF(I$43=1,Quesería!$F$81*$R$21,0))*$R$11</f>
        <v>0</v>
      </c>
      <c r="J738" s="35" t="n">
        <f aca="false">IF(J$43=0,Quesería!$F$80,IF(J$43=1,Quesería!$F$81*$R$21,0))*$R$11</f>
        <v>0</v>
      </c>
      <c r="K738" s="35" t="n">
        <f aca="false">IF(K$43=0,Quesería!$F$80,IF(K$43=1,Quesería!$F$81*$R$21,0))*$R$11</f>
        <v>0</v>
      </c>
      <c r="L738" s="35" t="n">
        <f aca="false">IF(L$43=0,Quesería!$F$80,IF(L$43=1,Quesería!$F$81*$R$21,0))*$R$11</f>
        <v>0</v>
      </c>
    </row>
    <row r="739" customFormat="false" ht="15" hidden="false" customHeight="false" outlineLevel="0" collapsed="false">
      <c r="A739" s="6" t="s">
        <v>285</v>
      </c>
      <c r="B739" s="35" t="n">
        <f aca="false">IF(B$43=5,Quesería!$F$87,IF(B$43=6,Quesería!$F$88,0))*$R$11</f>
        <v>0</v>
      </c>
      <c r="C739" s="35" t="n">
        <f aca="false">IF(C$43=5,Quesería!$F$87,IF(C$43=6,Quesería!$F$88,0))*$R$11</f>
        <v>0</v>
      </c>
      <c r="D739" s="35" t="n">
        <f aca="false">IF(D$43=5,Quesería!$F$87,IF(D$43=6,Quesería!$F$88,0))*$R$11</f>
        <v>0</v>
      </c>
      <c r="E739" s="35" t="n">
        <f aca="false">IF(E$43=5,Quesería!$F$87,IF(E$43=6,Quesería!$F$88,0))*$R$11</f>
        <v>0</v>
      </c>
      <c r="F739" s="35" t="n">
        <f aca="false">IF(F$43=5,Quesería!$F$87,IF(F$43=6,Quesería!$F$88,0))*$R$11</f>
        <v>0</v>
      </c>
      <c r="G739" s="35" t="n">
        <f aca="false">IF(G$43=5,Quesería!$F$87,IF(G$43=6,Quesería!$F$88,0))*$R$11</f>
        <v>26.6666666666667</v>
      </c>
      <c r="H739" s="35" t="n">
        <f aca="false">IF(H$43=5,Quesería!$F$87,IF(H$43=6,Quesería!$F$88,0))*$R$11</f>
        <v>35.3045530566667</v>
      </c>
      <c r="I739" s="35" t="n">
        <f aca="false">IF(I$43=5,Quesería!$F$87,IF(I$43=6,Quesería!$F$88,0))*$R$11</f>
        <v>0</v>
      </c>
      <c r="J739" s="35" t="n">
        <f aca="false">IF(J$43=5,Quesería!$F$87,IF(J$43=6,Quesería!$F$88,0))*$R$11</f>
        <v>0</v>
      </c>
      <c r="K739" s="35" t="n">
        <f aca="false">IF(K$43=5,Quesería!$F$87,IF(K$43=6,Quesería!$F$88,0))*$R$11</f>
        <v>0</v>
      </c>
      <c r="L739" s="35" t="n">
        <f aca="false">IF(L$43=5,Quesería!$F$87,IF(L$43=6,Quesería!$F$88,0))*$R$11</f>
        <v>0</v>
      </c>
    </row>
    <row r="740" customFormat="false" ht="15" hidden="false" customHeight="false" outlineLevel="0" collapsed="false">
      <c r="A740" s="6" t="s">
        <v>286</v>
      </c>
      <c r="B740" s="35" t="n">
        <f aca="false">Quesería!$B$36*(IF(B$43=0,SUMPRODUCT((Quesería!$C$62:$C$77=0)*(Quesería!$H$62:$H$77&gt;0)*(Quesería!$J$62:$J$77&gt;0)*Quesería!$F$62:$F$77*(1+Quesería!$I$62:$I$77)),IF(B$43=1,SUMPRODUCT((Quesería!$C$62:$C$77=1)*(Quesería!$H$62:$H$77&gt;0)*(Quesería!$J$62:$J$77&gt;0)*Quesería!$F$62:$F$77*(1+Quesería!$I$62:$I$77))*$R$21,0))*$R$11+B739)</f>
        <v>99.347875488093</v>
      </c>
      <c r="C740" s="35" t="n">
        <f aca="false">Quesería!$B$36*(IF(C$43=0,SUMPRODUCT((Quesería!$C$62:$C$77=0)*(Quesería!$H$62:$H$77&gt;0)*(Quesería!$J$62:$J$77&gt;0)*Quesería!$F$62:$F$77*(1+Quesería!$I$62:$I$77)),IF(C$43=1,SUMPRODUCT((Quesería!$C$62:$C$77=1)*(Quesería!$H$62:$H$77&gt;0)*(Quesería!$J$62:$J$77&gt;0)*Quesería!$F$62:$F$77*(1+Quesería!$I$62:$I$77))*$R$21,0))*$R$11+C739)</f>
        <v>122.601316829938</v>
      </c>
      <c r="D740" s="35" t="n">
        <f aca="false">Quesería!$B$36*(IF(D$43=0,SUMPRODUCT((Quesería!$C$62:$C$77=0)*(Quesería!$H$62:$H$77&gt;0)*(Quesería!$J$62:$J$77&gt;0)*Quesería!$F$62:$F$77*(1+Quesería!$I$62:$I$77)),IF(D$43=1,SUMPRODUCT((Quesería!$C$62:$C$77=1)*(Quesería!$H$62:$H$77&gt;0)*(Quesería!$J$62:$J$77&gt;0)*Quesería!$F$62:$F$77*(1+Quesería!$I$62:$I$77))*$R$21,0))*$R$11+D739)</f>
        <v>0</v>
      </c>
      <c r="E740" s="35" t="n">
        <f aca="false">Quesería!$B$36*(IF(E$43=0,SUMPRODUCT((Quesería!$C$62:$C$77=0)*(Quesería!$H$62:$H$77&gt;0)*(Quesería!$J$62:$J$77&gt;0)*Quesería!$F$62:$F$77*(1+Quesería!$I$62:$I$77)),IF(E$43=1,SUMPRODUCT((Quesería!$C$62:$C$77=1)*(Quesería!$H$62:$H$77&gt;0)*(Quesería!$J$62:$J$77&gt;0)*Quesería!$F$62:$F$77*(1+Quesería!$I$62:$I$77))*$R$21,0))*$R$11+E739)</f>
        <v>0</v>
      </c>
      <c r="F740" s="35" t="n">
        <f aca="false">Quesería!$B$36*(IF(F$43=0,SUMPRODUCT((Quesería!$C$62:$C$77=0)*(Quesería!$H$62:$H$77&gt;0)*(Quesería!$J$62:$J$77&gt;0)*Quesería!$F$62:$F$77*(1+Quesería!$I$62:$I$77)),IF(F$43=1,SUMPRODUCT((Quesería!$C$62:$C$77=1)*(Quesería!$H$62:$H$77&gt;0)*(Quesería!$J$62:$J$77&gt;0)*Quesería!$F$62:$F$77*(1+Quesería!$I$62:$I$77))*$R$21,0))*$R$11+F739)</f>
        <v>0</v>
      </c>
      <c r="G740" s="35" t="n">
        <f aca="false">Quesería!$B$36*(IF(G$43=0,SUMPRODUCT((Quesería!$C$62:$C$77=0)*(Quesería!$H$62:$H$77&gt;0)*(Quesería!$J$62:$J$77&gt;0)*Quesería!$F$62:$F$77*(1+Quesería!$I$62:$I$77)),IF(G$43=1,SUMPRODUCT((Quesería!$C$62:$C$77=1)*(Quesería!$H$62:$H$77&gt;0)*(Quesería!$J$62:$J$77&gt;0)*Quesería!$F$62:$F$77*(1+Quesería!$I$62:$I$77))*$R$21,0))*$R$11+G739)</f>
        <v>5.06666666666667</v>
      </c>
      <c r="H740" s="35" t="n">
        <f aca="false">Quesería!$B$36*(IF(H$43=0,SUMPRODUCT((Quesería!$C$62:$C$77=0)*(Quesería!$H$62:$H$77&gt;0)*(Quesería!$J$62:$J$77&gt;0)*Quesería!$F$62:$F$77*(1+Quesería!$I$62:$I$77)),IF(H$43=1,SUMPRODUCT((Quesería!$C$62:$C$77=1)*(Quesería!$H$62:$H$77&gt;0)*(Quesería!$J$62:$J$77&gt;0)*Quesería!$F$62:$F$77*(1+Quesería!$I$62:$I$77))*$R$21,0))*$R$11+H739)</f>
        <v>6.70786508076667</v>
      </c>
      <c r="I740" s="35" t="n">
        <f aca="false">Quesería!$B$36*(IF(I$43=0,SUMPRODUCT((Quesería!$C$62:$C$77=0)*(Quesería!$H$62:$H$77&gt;0)*(Quesería!$J$62:$J$77&gt;0)*Quesería!$F$62:$F$77*(1+Quesería!$I$62:$I$77)),IF(I$43=1,SUMPRODUCT((Quesería!$C$62:$C$77=1)*(Quesería!$H$62:$H$77&gt;0)*(Quesería!$J$62:$J$77&gt;0)*Quesería!$F$62:$F$77*(1+Quesería!$I$62:$I$77))*$R$21,0))*$R$11+I739)</f>
        <v>0</v>
      </c>
      <c r="J740" s="35" t="n">
        <f aca="false">Quesería!$B$36*(IF(J$43=0,SUMPRODUCT((Quesería!$C$62:$C$77=0)*(Quesería!$H$62:$H$77&gt;0)*(Quesería!$J$62:$J$77&gt;0)*Quesería!$F$62:$F$77*(1+Quesería!$I$62:$I$77)),IF(J$43=1,SUMPRODUCT((Quesería!$C$62:$C$77=1)*(Quesería!$H$62:$H$77&gt;0)*(Quesería!$J$62:$J$77&gt;0)*Quesería!$F$62:$F$77*(1+Quesería!$I$62:$I$77))*$R$21,0))*$R$11+J739)</f>
        <v>0</v>
      </c>
      <c r="K740" s="35" t="n">
        <f aca="false">Quesería!$B$36*(IF(K$43=0,SUMPRODUCT((Quesería!$C$62:$C$77=0)*(Quesería!$H$62:$H$77&gt;0)*(Quesería!$J$62:$J$77&gt;0)*Quesería!$F$62:$F$77*(1+Quesería!$I$62:$I$77)),IF(K$43=1,SUMPRODUCT((Quesería!$C$62:$C$77=1)*(Quesería!$H$62:$H$77&gt;0)*(Quesería!$J$62:$J$77&gt;0)*Quesería!$F$62:$F$77*(1+Quesería!$I$62:$I$77))*$R$21,0))*$R$11+K739)</f>
        <v>0</v>
      </c>
      <c r="L740" s="35" t="n">
        <f aca="false">Quesería!$B$36*(IF(L$43=0,SUMPRODUCT((Quesería!$C$62:$C$77=0)*(Quesería!$H$62:$H$77&gt;0)*(Quesería!$J$62:$J$77&gt;0)*Quesería!$F$62:$F$77*(1+Quesería!$I$62:$I$77)),IF(L$43=1,SUMPRODUCT((Quesería!$C$62:$C$77=1)*(Quesería!$H$62:$H$77&gt;0)*(Quesería!$J$62:$J$77&gt;0)*Quesería!$F$62:$F$77*(1+Quesería!$I$62:$I$77))*$R$21,0))*$R$11+L739)</f>
        <v>0</v>
      </c>
    </row>
    <row r="741" customFormat="false" ht="15" hidden="false" customHeight="false" outlineLevel="0" collapsed="false">
      <c r="A741" s="6" t="s">
        <v>260</v>
      </c>
      <c r="B741" s="35" t="n">
        <f aca="false">IF(B$43=0,($R$22*Quesería!$J$109+(1-$R$22)*Quesería!$E$105)*Quesería!$B$12*Quesería!$B$13/12*$R$23,(($R$22*Quesería!$J$109+(1-$R$22)*Quesería!$E$105)+($R$22*Quesería!$J$92+(1-$R$22)*Quesería!$E$92)*(B736-1))*IF(B$43=1,Quesería!$B$12,1))*$R$10</f>
        <v>45.6373732102639</v>
      </c>
      <c r="C741" s="35" t="n">
        <f aca="false">IF(C$43=0,($R$22*Quesería!$J$109+(1-$R$22)*Quesería!$E$105)*Quesería!$B$12*Quesería!$B$13/12*$R$23,(($R$22*Quesería!$J$109+(1-$R$22)*Quesería!$E$105)+($R$22*Quesería!$J$92+(1-$R$22)*Quesería!$E$92)*(C736-1))*IF(C$43=1,Quesería!$B$12,1))*$R$10</f>
        <v>137.165278593056</v>
      </c>
      <c r="D741" s="35" t="n">
        <f aca="false">IF(D$43=0,($R$22*Quesería!$J$109+(1-$R$22)*Quesería!$E$105)*Quesería!$B$12*Quesería!$B$13/12*$R$23,(($R$22*Quesería!$J$109+(1-$R$22)*Quesería!$E$105)+($R$22*Quesería!$J$92+(1-$R$22)*Quesería!$E$92)*(D736-1))*IF(D$43=1,Quesería!$B$12,1))*$R$10</f>
        <v>182.947525850489</v>
      </c>
      <c r="E741" s="35" t="n">
        <f aca="false">IF(E$43=0,($R$22*Quesería!$J$109+(1-$R$22)*Quesería!$E$105)*Quesería!$B$12*Quesería!$B$13/12*$R$23,(($R$22*Quesería!$J$109+(1-$R$22)*Quesería!$E$105)+($R$22*Quesería!$J$92+(1-$R$22)*Quesería!$E$92)*(E736-1))*IF(E$43=1,Quesería!$B$12,1))*$R$10</f>
        <v>183.008316015537</v>
      </c>
      <c r="F741" s="35" t="n">
        <f aca="false">IF(F$43=0,($R$22*Quesería!$J$109+(1-$R$22)*Quesería!$E$105)*Quesería!$B$12*Quesería!$B$13/12*$R$23,(($R$22*Quesería!$J$109+(1-$R$22)*Quesería!$E$105)+($R$22*Quesería!$J$92+(1-$R$22)*Quesería!$E$92)*(F736-1))*IF(F$43=1,Quesería!$B$12,1))*$R$10</f>
        <v>183.069410131409</v>
      </c>
      <c r="G741" s="35" t="n">
        <f aca="false">IF(G$43=0,($R$22*Quesería!$J$109+(1-$R$22)*Quesería!$E$105)*Quesería!$B$12*Quesería!$B$13/12*$R$23,(($R$22*Quesería!$J$109+(1-$R$22)*Quesería!$E$105)+($R$22*Quesería!$J$92+(1-$R$22)*Quesería!$E$92)*(G736-1))*IF(G$43=1,Quesería!$B$12,1))*$R$10</f>
        <v>183.130809717861</v>
      </c>
      <c r="H741" s="35" t="n">
        <f aca="false">IF(H$43=0,($R$22*Quesería!$J$109+(1-$R$22)*Quesería!$E$105)*Quesería!$B$12*Quesería!$B$13/12*$R$23,(($R$22*Quesería!$J$109+(1-$R$22)*Quesería!$E$105)+($R$22*Quesería!$J$92+(1-$R$22)*Quesería!$E$92)*(H736-1))*IF(H$43=1,Quesería!$B$12,1))*$R$10</f>
        <v>183.192516302245</v>
      </c>
      <c r="I741" s="35" t="n">
        <f aca="false">IF(I$43=0,($R$22*Quesería!$J$109+(1-$R$22)*Quesería!$E$105)*Quesería!$B$12*Quesería!$B$13/12*$R$23,(($R$22*Quesería!$J$109+(1-$R$22)*Quesería!$E$105)+($R$22*Quesería!$J$92+(1-$R$22)*Quesería!$E$92)*(I736-1))*IF(I$43=1,Quesería!$B$12,1))*$R$10</f>
        <v>183.254531419551</v>
      </c>
      <c r="J741" s="35" t="n">
        <f aca="false">IF(J$43=0,($R$22*Quesería!$J$109+(1-$R$22)*Quesería!$E$105)*Quesería!$B$12*Quesería!$B$13/12*$R$23,(($R$22*Quesería!$J$109+(1-$R$22)*Quesería!$E$105)+($R$22*Quesería!$J$92+(1-$R$22)*Quesería!$E$92)*(J736-1))*IF(J$43=1,Quesería!$B$12,1))*$R$10</f>
        <v>183.316856612443</v>
      </c>
      <c r="K741" s="35" t="n">
        <f aca="false">IF(K$43=0,($R$22*Quesería!$J$109+(1-$R$22)*Quesería!$E$105)*Quesería!$B$12*Quesería!$B$13/12*$R$23,(($R$22*Quesería!$J$109+(1-$R$22)*Quesería!$E$105)+($R$22*Quesería!$J$92+(1-$R$22)*Quesería!$E$92)*(K736-1))*IF(K$43=1,Quesería!$B$12,1))*$R$10</f>
        <v>183.3794934313</v>
      </c>
      <c r="L741" s="35" t="n">
        <f aca="false">IF(L$43=0,($R$22*Quesería!$J$109+(1-$R$22)*Quesería!$E$105)*Quesería!$B$12*Quesería!$B$13/12*$R$23,(($R$22*Quesería!$J$109+(1-$R$22)*Quesería!$E$105)+($R$22*Quesería!$J$92+(1-$R$22)*Quesería!$E$92)*(L736-1))*IF(L$43=1,Quesería!$B$12,1))*$R$10</f>
        <v>183.442443434251</v>
      </c>
    </row>
    <row r="742" customFormat="false" ht="15" hidden="false" customHeight="false" outlineLevel="0" collapsed="false">
      <c r="A742" s="6" t="s">
        <v>261</v>
      </c>
      <c r="B742" s="35" t="n">
        <f aca="false">IF(B$43&lt;=1,0,((($R$22*Quesería!$J$110+(1-$R$22)*Quesería!$E$106)-($R$22*Quesería!$J$99+(1-$R$22)*Quesería!$E$99)+$R$6*($R$22*Quesería!$J$99+(1-$R$22)*Quesería!$E$99)-(1-$R$9)*($R$22*Quesería!$J$102+(1-$R$22)*Quesería!$E$102))+($R$6*($R$22*Quesería!$J$99+(1-$R$22)*Quesería!$E$99)+$R$9*($R$22*Quesería!$J$102+(1-$R$22)*Quesería!$E$102))*(B736-1))*IF(B$43=2,Quesería!$B$12,1)+IF(B$43=2,Quesería!$B$14*$R$9*($R$22*Quesería!$J$102+(1-$R$22)*Quesería!$E$102)*B736,0))*$R$10*$R$21</f>
        <v>0</v>
      </c>
      <c r="C742" s="35" t="n">
        <f aca="false">IF(C$43&lt;=1,0,((($R$22*Quesería!$J$110+(1-$R$22)*Quesería!$E$106)-($R$22*Quesería!$J$99+(1-$R$22)*Quesería!$E$99)+$R$6*($R$22*Quesería!$J$99+(1-$R$22)*Quesería!$E$99)-(1-$R$9)*($R$22*Quesería!$J$102+(1-$R$22)*Quesería!$E$102))+($R$6*($R$22*Quesería!$J$99+(1-$R$22)*Quesería!$E$99)+$R$9*($R$22*Quesería!$J$102+(1-$R$22)*Quesería!$E$102))*(C736-1))*IF(C$43=2,Quesería!$B$12,1)+IF(C$43=2,Quesería!$B$14*$R$9*($R$22*Quesería!$J$102+(1-$R$22)*Quesería!$E$102)*C736,0))*$R$10*$R$21</f>
        <v>0</v>
      </c>
      <c r="D742" s="35" t="n">
        <f aca="false">IF(D$43&lt;=1,0,((($R$22*Quesería!$J$110+(1-$R$22)*Quesería!$E$106)-($R$22*Quesería!$J$99+(1-$R$22)*Quesería!$E$99)+$R$6*($R$22*Quesería!$J$99+(1-$R$22)*Quesería!$E$99)-(1-$R$9)*($R$22*Quesería!$J$102+(1-$R$22)*Quesería!$E$102))+($R$6*($R$22*Quesería!$J$99+(1-$R$22)*Quesería!$E$99)+$R$9*($R$22*Quesería!$J$102+(1-$R$22)*Quesería!$E$102))*(D736-1))*IF(D$43=2,Quesería!$B$12,1)+IF(D$43=2,Quesería!$B$14*$R$9*($R$22*Quesería!$J$102+(1-$R$22)*Quesería!$E$102)*D736,0))*$R$10*$R$21</f>
        <v>197.837804186257</v>
      </c>
      <c r="E742" s="35" t="n">
        <f aca="false">IF(E$43&lt;=1,0,((($R$22*Quesería!$J$110+(1-$R$22)*Quesería!$E$106)-($R$22*Quesería!$J$99+(1-$R$22)*Quesería!$E$99)+$R$6*($R$22*Quesería!$J$99+(1-$R$22)*Quesería!$E$99)-(1-$R$9)*($R$22*Quesería!$J$102+(1-$R$22)*Quesería!$E$102))+($R$6*($R$22*Quesería!$J$99+(1-$R$22)*Quesería!$E$99)+$R$9*($R$22*Quesería!$J$102+(1-$R$22)*Quesería!$E$102))*(E736-1))*IF(E$43=2,Quesería!$B$12,1)+IF(E$43=2,Quesería!$B$14*$R$9*($R$22*Quesería!$J$102+(1-$R$22)*Quesería!$E$102)*E736,0))*$R$10*$R$21</f>
        <v>234.441939047038</v>
      </c>
      <c r="F742" s="35" t="n">
        <f aca="false">IF(F$43&lt;=1,0,((($R$22*Quesería!$J$110+(1-$R$22)*Quesería!$E$106)-($R$22*Quesería!$J$99+(1-$R$22)*Quesería!$E$99)+$R$6*($R$22*Quesería!$J$99+(1-$R$22)*Quesería!$E$99)-(1-$R$9)*($R$22*Quesería!$J$102+(1-$R$22)*Quesería!$E$102))+($R$6*($R$22*Quesería!$J$99+(1-$R$22)*Quesería!$E$99)+$R$9*($R$22*Quesería!$J$102+(1-$R$22)*Quesería!$E$102))*(F736-1))*IF(F$43=2,Quesería!$B$12,1)+IF(F$43=2,Quesería!$B$14*$R$9*($R$22*Quesería!$J$102+(1-$R$22)*Quesería!$E$102)*F736,0))*$R$10*$R$21</f>
        <v>234.877078770292</v>
      </c>
      <c r="G742" s="35" t="n">
        <f aca="false">IF(G$43&lt;=1,0,((($R$22*Quesería!$J$110+(1-$R$22)*Quesería!$E$106)-($R$22*Quesería!$J$99+(1-$R$22)*Quesería!$E$99)+$R$6*($R$22*Quesería!$J$99+(1-$R$22)*Quesería!$E$99)-(1-$R$9)*($R$22*Quesería!$J$102+(1-$R$22)*Quesería!$E$102))+($R$6*($R$22*Quesería!$J$99+(1-$R$22)*Quesería!$E$99)+$R$9*($R$22*Quesería!$J$102+(1-$R$22)*Quesería!$E$102))*(G736-1))*IF(G$43=2,Quesería!$B$12,1)+IF(G$43=2,Quesería!$B$14*$R$9*($R$22*Quesería!$J$102+(1-$R$22)*Quesería!$E$102)*G736,0))*$R$10*$R$21</f>
        <v>235.314394192163</v>
      </c>
      <c r="H742" s="35" t="n">
        <f aca="false">IF(H$43&lt;=1,0,((($R$22*Quesería!$J$110+(1-$R$22)*Quesería!$E$106)-($R$22*Quesería!$J$99+(1-$R$22)*Quesería!$E$99)+$R$6*($R$22*Quesería!$J$99+(1-$R$22)*Quesería!$E$99)-(1-$R$9)*($R$22*Quesería!$J$102+(1-$R$22)*Quesería!$E$102))+($R$6*($R$22*Quesería!$J$99+(1-$R$22)*Quesería!$E$99)+$R$9*($R$22*Quesería!$J$102+(1-$R$22)*Quesería!$E$102))*(H736-1))*IF(H$43=2,Quesería!$B$12,1)+IF(H$43=2,Quesería!$B$14*$R$9*($R$22*Quesería!$J$102+(1-$R$22)*Quesería!$E$102)*H736,0))*$R$10*$R$21</f>
        <v>235.753896191143</v>
      </c>
      <c r="I742" s="35" t="n">
        <f aca="false">IF(I$43&lt;=1,0,((($R$22*Quesería!$J$110+(1-$R$22)*Quesería!$E$106)-($R$22*Quesería!$J$99+(1-$R$22)*Quesería!$E$99)+$R$6*($R$22*Quesería!$J$99+(1-$R$22)*Quesería!$E$99)-(1-$R$9)*($R$22*Quesería!$J$102+(1-$R$22)*Quesería!$E$102))+($R$6*($R$22*Quesería!$J$99+(1-$R$22)*Quesería!$E$99)+$R$9*($R$22*Quesería!$J$102+(1-$R$22)*Quesería!$E$102))*(I736-1))*IF(I$43=2,Quesería!$B$12,1)+IF(I$43=2,Quesería!$B$14*$R$9*($R$22*Quesería!$J$102+(1-$R$22)*Quesería!$E$102)*I736,0))*$R$10*$R$21</f>
        <v>236.195595700118</v>
      </c>
      <c r="J742" s="35" t="n">
        <f aca="false">IF(J$43&lt;=1,0,((($R$22*Quesería!$J$110+(1-$R$22)*Quesería!$E$106)-($R$22*Quesería!$J$99+(1-$R$22)*Quesería!$E$99)+$R$6*($R$22*Quesería!$J$99+(1-$R$22)*Quesería!$E$99)-(1-$R$9)*($R$22*Quesería!$J$102+(1-$R$22)*Quesería!$E$102))+($R$6*($R$22*Quesería!$J$99+(1-$R$22)*Quesería!$E$99)+$R$9*($R$22*Quesería!$J$102+(1-$R$22)*Quesería!$E$102))*(J736-1))*IF(J$43=2,Quesería!$B$12,1)+IF(J$43=2,Quesería!$B$14*$R$9*($R$22*Quesería!$J$102+(1-$R$22)*Quesería!$E$102)*J736,0))*$R$10*$R$21</f>
        <v>236.639503706638</v>
      </c>
      <c r="K742" s="35" t="n">
        <f aca="false">IF(K$43&lt;=1,0,((($R$22*Quesería!$J$110+(1-$R$22)*Quesería!$E$106)-($R$22*Quesería!$J$99+(1-$R$22)*Quesería!$E$99)+$R$6*($R$22*Quesería!$J$99+(1-$R$22)*Quesería!$E$99)-(1-$R$9)*($R$22*Quesería!$J$102+(1-$R$22)*Quesería!$E$102))+($R$6*($R$22*Quesería!$J$99+(1-$R$22)*Quesería!$E$99)+$R$9*($R$22*Quesería!$J$102+(1-$R$22)*Quesería!$E$102))*(K736-1))*IF(K$43=2,Quesería!$B$12,1)+IF(K$43=2,Quesería!$B$14*$R$9*($R$22*Quesería!$J$102+(1-$R$22)*Quesería!$E$102)*K736,0))*$R$10*$R$21</f>
        <v>237.08563125319</v>
      </c>
      <c r="L742" s="35" t="n">
        <f aca="false">IF(L$43&lt;=1,0,((($R$22*Quesería!$J$110+(1-$R$22)*Quesería!$E$106)-($R$22*Quesería!$J$99+(1-$R$22)*Quesería!$E$99)+$R$6*($R$22*Quesería!$J$99+(1-$R$22)*Quesería!$E$99)-(1-$R$9)*($R$22*Quesería!$J$102+(1-$R$22)*Quesería!$E$102))+($R$6*($R$22*Quesería!$J$99+(1-$R$22)*Quesería!$E$99)+$R$9*($R$22*Quesería!$J$102+(1-$R$22)*Quesería!$E$102))*(L736-1))*IF(L$43=2,Quesería!$B$12,1)+IF(L$43=2,Quesería!$B$14*$R$9*($R$22*Quesería!$J$102+(1-$R$22)*Quesería!$E$102)*L736,0))*$R$10*$R$21</f>
        <v>237.533989437476</v>
      </c>
    </row>
    <row r="743" customFormat="false" ht="15" hidden="false" customHeight="false" outlineLevel="0" collapsed="false">
      <c r="A743" s="5" t="s">
        <v>287</v>
      </c>
      <c r="B743" s="10" t="n">
        <f aca="false">B741+B742</f>
        <v>45.6373732102639</v>
      </c>
      <c r="C743" s="10" t="n">
        <f aca="false">C741+C742</f>
        <v>137.165278593056</v>
      </c>
      <c r="D743" s="10" t="n">
        <f aca="false">D741+D742</f>
        <v>380.785330036747</v>
      </c>
      <c r="E743" s="10" t="n">
        <f aca="false">E741+E742</f>
        <v>417.450255062574</v>
      </c>
      <c r="F743" s="10" t="n">
        <f aca="false">F741+F742</f>
        <v>417.946488901701</v>
      </c>
      <c r="G743" s="10" t="n">
        <f aca="false">G741+G742</f>
        <v>418.445203910024</v>
      </c>
      <c r="H743" s="10" t="n">
        <f aca="false">H741+H742</f>
        <v>418.946412493388</v>
      </c>
      <c r="I743" s="10" t="n">
        <f aca="false">I741+I742</f>
        <v>419.450127119669</v>
      </c>
      <c r="J743" s="10" t="n">
        <f aca="false">J741+J742</f>
        <v>419.956360319081</v>
      </c>
      <c r="K743" s="10" t="n">
        <f aca="false">K741+K742</f>
        <v>420.465124684491</v>
      </c>
      <c r="L743" s="10" t="n">
        <f aca="false">L741+L742</f>
        <v>420.976432871727</v>
      </c>
    </row>
    <row r="744" customFormat="false" ht="15" hidden="false" customHeight="false" outlineLevel="0" collapsed="false">
      <c r="A744" s="6" t="s">
        <v>288</v>
      </c>
      <c r="B744" s="35" t="n">
        <f aca="false">(IF(B$43&gt;=1,(Quesería!$B$21+Quesería!$B$54)*Quesería!$F$82*$R$11+Quesería!$B$22+'Beneficios y costos'!$B$118,0)+IF(B$43&gt;=2,((Quesería!$B$21+Quesería!$B$54)*Quesería!$F$83*$R$11+'Beneficios y costos'!$C$118)*$R$21,0))*$R$12</f>
        <v>0</v>
      </c>
      <c r="C744" s="35" t="n">
        <f aca="false">(IF(C$43&gt;=1,(Quesería!$B$21+Quesería!$B$54)*Quesería!$F$82*$R$11+Quesería!$B$22+'Beneficios y costos'!$B$118,0)+IF(C$43&gt;=2,((Quesería!$B$21+Quesería!$B$54)*Quesería!$F$83*$R$11+'Beneficios y costos'!$C$118)*$R$21,0))*$R$12</f>
        <v>36.8921528634167</v>
      </c>
      <c r="D744" s="35" t="n">
        <f aca="false">(IF(D$43&gt;=1,(Quesería!$B$21+Quesería!$B$54)*Quesería!$F$82*$R$11+Quesería!$B$22+'Beneficios y costos'!$B$118,0)+IF(D$43&gt;=2,((Quesería!$B$21+Quesería!$B$54)*Quesería!$F$83*$R$11+'Beneficios y costos'!$C$118)*$R$21,0))*$R$12</f>
        <v>88.8065043646377</v>
      </c>
      <c r="E744" s="35" t="n">
        <f aca="false">(IF(E$43&gt;=1,(Quesería!$B$21+Quesería!$B$54)*Quesería!$F$82*$R$11+Quesería!$B$22+'Beneficios y costos'!$B$118,0)+IF(E$43&gt;=2,((Quesería!$B$21+Quesería!$B$54)*Quesería!$F$83*$R$11+'Beneficios y costos'!$C$118)*$R$21,0))*$R$12</f>
        <v>88.8065043646377</v>
      </c>
      <c r="F744" s="35" t="n">
        <f aca="false">(IF(F$43&gt;=1,(Quesería!$B$21+Quesería!$B$54)*Quesería!$F$82*$R$11+Quesería!$B$22+'Beneficios y costos'!$B$118,0)+IF(F$43&gt;=2,((Quesería!$B$21+Quesería!$B$54)*Quesería!$F$83*$R$11+'Beneficios y costos'!$C$118)*$R$21,0))*$R$12</f>
        <v>88.8065043646377</v>
      </c>
      <c r="G744" s="35" t="n">
        <f aca="false">(IF(G$43&gt;=1,(Quesería!$B$21+Quesería!$B$54)*Quesería!$F$82*$R$11+Quesería!$B$22+'Beneficios y costos'!$B$118,0)+IF(G$43&gt;=2,((Quesería!$B$21+Quesería!$B$54)*Quesería!$F$83*$R$11+'Beneficios y costos'!$C$118)*$R$21,0))*$R$12</f>
        <v>88.8065043646377</v>
      </c>
      <c r="H744" s="35" t="n">
        <f aca="false">(IF(H$43&gt;=1,(Quesería!$B$21+Quesería!$B$54)*Quesería!$F$82*$R$11+Quesería!$B$22+'Beneficios y costos'!$B$118,0)+IF(H$43&gt;=2,((Quesería!$B$21+Quesería!$B$54)*Quesería!$F$83*$R$11+'Beneficios y costos'!$C$118)*$R$21,0))*$R$12</f>
        <v>88.8065043646377</v>
      </c>
      <c r="I744" s="35" t="n">
        <f aca="false">(IF(I$43&gt;=1,(Quesería!$B$21+Quesería!$B$54)*Quesería!$F$82*$R$11+Quesería!$B$22+'Beneficios y costos'!$B$118,0)+IF(I$43&gt;=2,((Quesería!$B$21+Quesería!$B$54)*Quesería!$F$83*$R$11+'Beneficios y costos'!$C$118)*$R$21,0))*$R$12</f>
        <v>88.8065043646377</v>
      </c>
      <c r="J744" s="35" t="n">
        <f aca="false">(IF(J$43&gt;=1,(Quesería!$B$21+Quesería!$B$54)*Quesería!$F$82*$R$11+Quesería!$B$22+'Beneficios y costos'!$B$118,0)+IF(J$43&gt;=2,((Quesería!$B$21+Quesería!$B$54)*Quesería!$F$83*$R$11+'Beneficios y costos'!$C$118)*$R$21,0))*$R$12</f>
        <v>88.8065043646377</v>
      </c>
      <c r="K744" s="35" t="n">
        <f aca="false">(IF(K$43&gt;=1,(Quesería!$B$21+Quesería!$B$54)*Quesería!$F$82*$R$11+Quesería!$B$22+'Beneficios y costos'!$B$118,0)+IF(K$43&gt;=2,((Quesería!$B$21+Quesería!$B$54)*Quesería!$F$83*$R$11+'Beneficios y costos'!$C$118)*$R$21,0))*$R$12</f>
        <v>88.8065043646377</v>
      </c>
      <c r="L744" s="35" t="n">
        <f aca="false">(IF(L$43&gt;=1,(Quesería!$B$21+Quesería!$B$54)*Quesería!$F$82*$R$11+Quesería!$B$22+'Beneficios y costos'!$B$118,0)+IF(L$43&gt;=2,((Quesería!$B$21+Quesería!$B$54)*Quesería!$F$83*$R$11+'Beneficios y costos'!$C$118)*$R$21,0))*$R$12</f>
        <v>88.8065043646377</v>
      </c>
    </row>
    <row r="745" customFormat="false" ht="15" hidden="false" customHeight="false" outlineLevel="0" collapsed="false">
      <c r="A745" s="6" t="s">
        <v>289</v>
      </c>
      <c r="B745" s="35" t="n">
        <f aca="false">IF(B$43=1,2*Quesería!$B$33*Quesería!$B$34/12*B736,0)*$R$21</f>
        <v>0</v>
      </c>
      <c r="C745" s="35" t="n">
        <f aca="false">IF(C$43=1,2*Quesería!$B$33*Quesería!$B$34/12*C736,0)*$R$21</f>
        <v>18.5166509433962</v>
      </c>
      <c r="D745" s="35" t="n">
        <f aca="false">IF(D$43=1,2*Quesería!$B$33*Quesería!$B$34/12*D736,0)*$R$21</f>
        <v>0</v>
      </c>
      <c r="E745" s="35" t="n">
        <f aca="false">IF(E$43=1,2*Quesería!$B$33*Quesería!$B$34/12*E736,0)*$R$21</f>
        <v>0</v>
      </c>
      <c r="F745" s="35" t="n">
        <f aca="false">IF(F$43=1,2*Quesería!$B$33*Quesería!$B$34/12*F736,0)*$R$21</f>
        <v>0</v>
      </c>
      <c r="G745" s="35" t="n">
        <f aca="false">IF(G$43=1,2*Quesería!$B$33*Quesería!$B$34/12*G736,0)*$R$21</f>
        <v>0</v>
      </c>
      <c r="H745" s="35" t="n">
        <f aca="false">IF(H$43=1,2*Quesería!$B$33*Quesería!$B$34/12*H736,0)*$R$21</f>
        <v>0</v>
      </c>
      <c r="I745" s="35" t="n">
        <f aca="false">IF(I$43=1,2*Quesería!$B$33*Quesería!$B$34/12*I736,0)*$R$21</f>
        <v>0</v>
      </c>
      <c r="J745" s="35" t="n">
        <f aca="false">IF(J$43=1,2*Quesería!$B$33*Quesería!$B$34/12*J736,0)*$R$21</f>
        <v>0</v>
      </c>
      <c r="K745" s="35" t="n">
        <f aca="false">IF(K$43=1,2*Quesería!$B$33*Quesería!$B$34/12*K736,0)*$R$21</f>
        <v>0</v>
      </c>
      <c r="L745" s="35" t="n">
        <f aca="false">IF(L$43=1,2*Quesería!$B$33*Quesería!$B$34/12*L736,0)*$R$21</f>
        <v>0</v>
      </c>
    </row>
    <row r="746" customFormat="false" ht="15" hidden="false" customHeight="false" outlineLevel="0" collapsed="false">
      <c r="A746" s="6" t="s">
        <v>290</v>
      </c>
      <c r="B746" s="35" t="n">
        <f aca="false">Quesería!$B$45*(B738+B739+B740+B744+B745)</f>
        <v>2.88636599924197</v>
      </c>
      <c r="C746" s="35" t="n">
        <f aca="false">Quesería!$B$45*(C738+C739+C740+C744+C745)</f>
        <v>3.29312083686149</v>
      </c>
      <c r="D746" s="35" t="n">
        <f aca="false">Quesería!$B$45*(D738+D739+D740+D744+D745)</f>
        <v>0.355226017458551</v>
      </c>
      <c r="E746" s="35" t="n">
        <f aca="false">Quesería!$B$45*(E738+E739+E740+E744+E745)</f>
        <v>0.355226017458551</v>
      </c>
      <c r="F746" s="35" t="n">
        <f aca="false">Quesería!$B$45*(F738+F739+F740+F744+F745)</f>
        <v>0.355226017458551</v>
      </c>
      <c r="G746" s="35" t="n">
        <f aca="false">Quesería!$B$45*(G738+G739+G740+G744+G745)</f>
        <v>0.482159350791884</v>
      </c>
      <c r="H746" s="35" t="n">
        <f aca="false">Quesería!$B$45*(H738+H739+H740+H744+H745)</f>
        <v>0.523275690008284</v>
      </c>
      <c r="I746" s="35" t="n">
        <f aca="false">Quesería!$B$45*(I738+I739+I740+I744+I745)</f>
        <v>0.355226017458551</v>
      </c>
      <c r="J746" s="35" t="n">
        <f aca="false">Quesería!$B$45*(J738+J739+J740+J744+J745)</f>
        <v>0.355226017458551</v>
      </c>
      <c r="K746" s="35" t="n">
        <f aca="false">Quesería!$B$45*(K738+K739+K740+K744+K745)</f>
        <v>0.355226017458551</v>
      </c>
      <c r="L746" s="35" t="n">
        <f aca="false">Quesería!$B$45*(L738+L739+L740+L744+L745)</f>
        <v>0.355226017458551</v>
      </c>
    </row>
    <row r="747" customFormat="false" ht="15" hidden="false" customHeight="false" outlineLevel="0" collapsed="false">
      <c r="A747" s="6" t="s">
        <v>291</v>
      </c>
      <c r="B747" s="35" t="n">
        <f aca="false">(IF($R$19=1,(SUMPRODUCT((Quesería!$C$62:$C$77=0)*(Quesería!$J$62:$J$77&gt;0)*(B$43&gt;=1)*(B$43&lt;=Quesería!$J$62:$J$77)*(Quesería!$H$62:$H$77&gt;0)*Quesería!$F$62:$F$77*(1+Quesería!$I$62:$I$77)/(Quesería!$J$62:$J$77+(Quesería!$J$62:$J$77=0)))+SUMPRODUCT((Quesería!$C$62:$C$77=0)*(Quesería!$J$62:$J$77=0)*(B$43=0)*(Quesería!$H$62:$H$77&gt;0)*Quesería!$F$62:$F$77*(1+Quesería!$I$62:$I$77)))*$B$735+(SUMPRODUCT((Quesería!$C$62:$C$77=1)*(Quesería!$J$62:$J$77&gt;0)*(B$43&gt;=2)*(B$43&lt;=Quesería!$J$62:$J$77+1)*(Quesería!$H$62:$H$77&gt;0)*Quesería!$F$62:$F$77*(1+Quesería!$I$62:$I$77)/(Quesería!$J$62:$J$77+(Quesería!$J$62:$J$77=0)))+SUMPRODUCT((Quesería!$C$62:$C$77=1)*(Quesería!$J$62:$J$77=0)*(B$43=1)*(Quesería!$H$62:$H$77&gt;0)*Quesería!$F$62:$F$77*(1+Quesería!$I$62:$I$77)))*$C$735*$R$21,IF(AND(B$43&gt;=1,B$43&lt;=Quesería!$B$11),Quesería!$F$80/Quesería!$B$11,0)*$B$735+IF(AND(B$43&gt;=2,B$43&lt;=Quesería!$B$11+1),Quesería!$F$81/Quesería!$B$11,0)*$C$735*$R$21)*$R$11+IF(AND(B$43&gt;=6,B$43&lt;=10),$G739*$G735/5,0)+IF(AND(B$43&gt;=7,B$43&lt;=11),$H739*$H735/5,0))*B737</f>
        <v>99.3600691219113</v>
      </c>
      <c r="C747" s="35" t="n">
        <f aca="false">(IF($R$19=1,(SUMPRODUCT((Quesería!$C$62:$C$77=0)*(Quesería!$J$62:$J$77&gt;0)*(C$43&gt;=1)*(C$43&lt;=Quesería!$J$62:$J$77)*(Quesería!$H$62:$H$77&gt;0)*Quesería!$F$62:$F$77*(1+Quesería!$I$62:$I$77)/(Quesería!$J$62:$J$77+(Quesería!$J$62:$J$77=0)))+SUMPRODUCT((Quesería!$C$62:$C$77=0)*(Quesería!$J$62:$J$77=0)*(C$43=0)*(Quesería!$H$62:$H$77&gt;0)*Quesería!$F$62:$F$77*(1+Quesería!$I$62:$I$77)))*$B$735+(SUMPRODUCT((Quesería!$C$62:$C$77=1)*(Quesería!$J$62:$J$77&gt;0)*(C$43&gt;=2)*(C$43&lt;=Quesería!$J$62:$J$77+1)*(Quesería!$H$62:$H$77&gt;0)*Quesería!$F$62:$F$77*(1+Quesería!$I$62:$I$77)/(Quesería!$J$62:$J$77+(Quesería!$J$62:$J$77=0)))+SUMPRODUCT((Quesería!$C$62:$C$77=1)*(Quesería!$J$62:$J$77=0)*(C$43=1)*(Quesería!$H$62:$H$77&gt;0)*Quesería!$F$62:$F$77*(1+Quesería!$I$62:$I$77)))*$C$735*$R$21,IF(AND(C$43&gt;=1,C$43&lt;=Quesería!$B$11),Quesería!$F$80/Quesería!$B$11,0)*$B$735+IF(AND(C$43&gt;=2,C$43&lt;=Quesería!$B$11+1),Quesería!$F$81/Quesería!$B$11,0)*$C$735*$R$21)*$R$11+IF(AND(C$43&gt;=6,C$43&lt;=10),$G739*$G735/5,0)+IF(AND(C$43&gt;=7,C$43&lt;=11),$H739*$H735/5,0))*C737</f>
        <v>57.1000211302053</v>
      </c>
      <c r="D747" s="35" t="n">
        <f aca="false">(IF($R$19=1,(SUMPRODUCT((Quesería!$C$62:$C$77=0)*(Quesería!$J$62:$J$77&gt;0)*(D$43&gt;=1)*(D$43&lt;=Quesería!$J$62:$J$77)*(Quesería!$H$62:$H$77&gt;0)*Quesería!$F$62:$F$77*(1+Quesería!$I$62:$I$77)/(Quesería!$J$62:$J$77+(Quesería!$J$62:$J$77=0)))+SUMPRODUCT((Quesería!$C$62:$C$77=0)*(Quesería!$J$62:$J$77=0)*(D$43=0)*(Quesería!$H$62:$H$77&gt;0)*Quesería!$F$62:$F$77*(1+Quesería!$I$62:$I$77)))*$B$735+(SUMPRODUCT((Quesería!$C$62:$C$77=1)*(Quesería!$J$62:$J$77&gt;0)*(D$43&gt;=2)*(D$43&lt;=Quesería!$J$62:$J$77+1)*(Quesería!$H$62:$H$77&gt;0)*Quesería!$F$62:$F$77*(1+Quesería!$I$62:$I$77)/(Quesería!$J$62:$J$77+(Quesería!$J$62:$J$77=0)))+SUMPRODUCT((Quesería!$C$62:$C$77=1)*(Quesería!$J$62:$J$77=0)*(D$43=1)*(Quesería!$H$62:$H$77&gt;0)*Quesería!$F$62:$F$77*(1+Quesería!$I$62:$I$77)))*$C$735*$R$21,IF(AND(D$43&gt;=1,D$43&lt;=Quesería!$B$11),Quesería!$F$80/Quesería!$B$11,0)*$B$735+IF(AND(D$43&gt;=2,D$43&lt;=Quesería!$B$11+1),Quesería!$F$81/Quesería!$B$11,0)*$C$735*$R$21)*$R$11+IF(AND(D$43&gt;=6,D$43&lt;=10),$G739*$G735/5,0)+IF(AND(D$43&gt;=7,D$43&lt;=11),$H739*$H735/5,0))*D737</f>
        <v>116.389502380926</v>
      </c>
      <c r="E747" s="35" t="n">
        <f aca="false">(IF($R$19=1,(SUMPRODUCT((Quesería!$C$62:$C$77=0)*(Quesería!$J$62:$J$77&gt;0)*(E$43&gt;=1)*(E$43&lt;=Quesería!$J$62:$J$77)*(Quesería!$H$62:$H$77&gt;0)*Quesería!$F$62:$F$77*(1+Quesería!$I$62:$I$77)/(Quesería!$J$62:$J$77+(Quesería!$J$62:$J$77=0)))+SUMPRODUCT((Quesería!$C$62:$C$77=0)*(Quesería!$J$62:$J$77=0)*(E$43=0)*(Quesería!$H$62:$H$77&gt;0)*Quesería!$F$62:$F$77*(1+Quesería!$I$62:$I$77)))*$B$735+(SUMPRODUCT((Quesería!$C$62:$C$77=1)*(Quesería!$J$62:$J$77&gt;0)*(E$43&gt;=2)*(E$43&lt;=Quesería!$J$62:$J$77+1)*(Quesería!$H$62:$H$77&gt;0)*Quesería!$F$62:$F$77*(1+Quesería!$I$62:$I$77)/(Quesería!$J$62:$J$77+(Quesería!$J$62:$J$77=0)))+SUMPRODUCT((Quesería!$C$62:$C$77=1)*(Quesería!$J$62:$J$77=0)*(E$43=1)*(Quesería!$H$62:$H$77&gt;0)*Quesería!$F$62:$F$77*(1+Quesería!$I$62:$I$77)))*$C$735*$R$21,IF(AND(E$43&gt;=1,E$43&lt;=Quesería!$B$11),Quesería!$F$80/Quesería!$B$11,0)*$B$735+IF(AND(E$43&gt;=2,E$43&lt;=Quesería!$B$11+1),Quesería!$F$81/Quesería!$B$11,0)*$C$735*$R$21)*$R$11+IF(AND(E$43&gt;=6,E$43&lt;=10),$G739*$G735/5,0)+IF(AND(E$43&gt;=7,E$43&lt;=11),$H739*$H735/5,0))*E737</f>
        <v>111.912983058583</v>
      </c>
      <c r="F747" s="35" t="n">
        <f aca="false">(IF($R$19=1,(SUMPRODUCT((Quesería!$C$62:$C$77=0)*(Quesería!$J$62:$J$77&gt;0)*(F$43&gt;=1)*(F$43&lt;=Quesería!$J$62:$J$77)*(Quesería!$H$62:$H$77&gt;0)*Quesería!$F$62:$F$77*(1+Quesería!$I$62:$I$77)/(Quesería!$J$62:$J$77+(Quesería!$J$62:$J$77=0)))+SUMPRODUCT((Quesería!$C$62:$C$77=0)*(Quesería!$J$62:$J$77=0)*(F$43=0)*(Quesería!$H$62:$H$77&gt;0)*Quesería!$F$62:$F$77*(1+Quesería!$I$62:$I$77)))*$B$735+(SUMPRODUCT((Quesería!$C$62:$C$77=1)*(Quesería!$J$62:$J$77&gt;0)*(F$43&gt;=2)*(F$43&lt;=Quesería!$J$62:$J$77+1)*(Quesería!$H$62:$H$77&gt;0)*Quesería!$F$62:$F$77*(1+Quesería!$I$62:$I$77)/(Quesería!$J$62:$J$77+(Quesería!$J$62:$J$77=0)))+SUMPRODUCT((Quesería!$C$62:$C$77=1)*(Quesería!$J$62:$J$77=0)*(F$43=1)*(Quesería!$H$62:$H$77&gt;0)*Quesería!$F$62:$F$77*(1+Quesería!$I$62:$I$77)))*$C$735*$R$21,IF(AND(F$43&gt;=1,F$43&lt;=Quesería!$B$11),Quesería!$F$80/Quesería!$B$11,0)*$B$735+IF(AND(F$43&gt;=2,F$43&lt;=Quesería!$B$11+1),Quesería!$F$81/Quesería!$B$11,0)*$C$735*$R$21)*$R$11+IF(AND(F$43&gt;=6,F$43&lt;=10),$G739*$G735/5,0)+IF(AND(F$43&gt;=7,F$43&lt;=11),$H739*$H735/5,0))*F737</f>
        <v>107.608637556329</v>
      </c>
      <c r="G747" s="35" t="n">
        <f aca="false">(IF($R$19=1,(SUMPRODUCT((Quesería!$C$62:$C$77=0)*(Quesería!$J$62:$J$77&gt;0)*(G$43&gt;=1)*(G$43&lt;=Quesería!$J$62:$J$77)*(Quesería!$H$62:$H$77&gt;0)*Quesería!$F$62:$F$77*(1+Quesería!$I$62:$I$77)/(Quesería!$J$62:$J$77+(Quesería!$J$62:$J$77=0)))+SUMPRODUCT((Quesería!$C$62:$C$77=0)*(Quesería!$J$62:$J$77=0)*(G$43=0)*(Quesería!$H$62:$H$77&gt;0)*Quesería!$F$62:$F$77*(1+Quesería!$I$62:$I$77)))*$B$735+(SUMPRODUCT((Quesería!$C$62:$C$77=1)*(Quesería!$J$62:$J$77&gt;0)*(G$43&gt;=2)*(G$43&lt;=Quesería!$J$62:$J$77+1)*(Quesería!$H$62:$H$77&gt;0)*Quesería!$F$62:$F$77*(1+Quesería!$I$62:$I$77)/(Quesería!$J$62:$J$77+(Quesería!$J$62:$J$77=0)))+SUMPRODUCT((Quesería!$C$62:$C$77=1)*(Quesería!$J$62:$J$77=0)*(G$43=1)*(Quesería!$H$62:$H$77&gt;0)*Quesería!$F$62:$F$77*(1+Quesería!$I$62:$I$77)))*$C$735*$R$21,IF(AND(G$43&gt;=1,G$43&lt;=Quesería!$B$11),Quesería!$F$80/Quesería!$B$11,0)*$B$735+IF(AND(G$43&gt;=2,G$43&lt;=Quesería!$B$11+1),Quesería!$F$81/Quesería!$B$11,0)*$C$735*$R$21)*$R$11+IF(AND(G$43&gt;=6,G$43&lt;=10),$G739*$G735/5,0)+IF(AND(G$43&gt;=7,G$43&lt;=11),$H739*$H735/5,0))*G737</f>
        <v>103.469843804163</v>
      </c>
      <c r="H747" s="35" t="n">
        <f aca="false">(IF($R$19=1,(SUMPRODUCT((Quesería!$C$62:$C$77=0)*(Quesería!$J$62:$J$77&gt;0)*(H$43&gt;=1)*(H$43&lt;=Quesería!$J$62:$J$77)*(Quesería!$H$62:$H$77&gt;0)*Quesería!$F$62:$F$77*(1+Quesería!$I$62:$I$77)/(Quesería!$J$62:$J$77+(Quesería!$J$62:$J$77=0)))+SUMPRODUCT((Quesería!$C$62:$C$77=0)*(Quesería!$J$62:$J$77=0)*(H$43=0)*(Quesería!$H$62:$H$77&gt;0)*Quesería!$F$62:$F$77*(1+Quesería!$I$62:$I$77)))*$B$735+(SUMPRODUCT((Quesería!$C$62:$C$77=1)*(Quesería!$J$62:$J$77&gt;0)*(H$43&gt;=2)*(H$43&lt;=Quesería!$J$62:$J$77+1)*(Quesería!$H$62:$H$77&gt;0)*Quesería!$F$62:$F$77*(1+Quesería!$I$62:$I$77)/(Quesería!$J$62:$J$77+(Quesería!$J$62:$J$77=0)))+SUMPRODUCT((Quesería!$C$62:$C$77=1)*(Quesería!$J$62:$J$77=0)*(H$43=1)*(Quesería!$H$62:$H$77&gt;0)*Quesería!$F$62:$F$77*(1+Quesería!$I$62:$I$77)))*$C$735*$R$21,IF(AND(H$43&gt;=1,H$43&lt;=Quesería!$B$11),Quesería!$F$80/Quesería!$B$11,0)*$B$735+IF(AND(H$43&gt;=2,H$43&lt;=Quesería!$B$11+1),Quesería!$F$81/Quesería!$B$11,0)*$C$735*$R$21)*$R$11+IF(AND(H$43&gt;=6,H$43&lt;=10),$G739*$G735/5,0)+IF(AND(H$43&gt;=7,H$43&lt;=11),$H739*$H735/5,0))*H737</f>
        <v>92.6731239063542</v>
      </c>
      <c r="I747" s="35" t="n">
        <f aca="false">(IF($R$19=1,(SUMPRODUCT((Quesería!$C$62:$C$77=0)*(Quesería!$J$62:$J$77&gt;0)*(I$43&gt;=1)*(I$43&lt;=Quesería!$J$62:$J$77)*(Quesería!$H$62:$H$77&gt;0)*Quesería!$F$62:$F$77*(1+Quesería!$I$62:$I$77)/(Quesería!$J$62:$J$77+(Quesería!$J$62:$J$77=0)))+SUMPRODUCT((Quesería!$C$62:$C$77=0)*(Quesería!$J$62:$J$77=0)*(I$43=0)*(Quesería!$H$62:$H$77&gt;0)*Quesería!$F$62:$F$77*(1+Quesería!$I$62:$I$77)))*$B$735+(SUMPRODUCT((Quesería!$C$62:$C$77=1)*(Quesería!$J$62:$J$77&gt;0)*(I$43&gt;=2)*(I$43&lt;=Quesería!$J$62:$J$77+1)*(Quesería!$H$62:$H$77&gt;0)*Quesería!$F$62:$F$77*(1+Quesería!$I$62:$I$77)/(Quesería!$J$62:$J$77+(Quesería!$J$62:$J$77=0)))+SUMPRODUCT((Quesería!$C$62:$C$77=1)*(Quesería!$J$62:$J$77=0)*(I$43=1)*(Quesería!$H$62:$H$77&gt;0)*Quesería!$F$62:$F$77*(1+Quesería!$I$62:$I$77)))*$C$735*$R$21,IF(AND(I$43&gt;=1,I$43&lt;=Quesería!$B$11),Quesería!$F$80/Quesería!$B$11,0)*$B$735+IF(AND(I$43&gt;=2,I$43&lt;=Quesería!$B$11+1),Quesería!$F$81/Quesería!$B$11,0)*$C$735*$R$21)*$R$11+IF(AND(I$43&gt;=6,I$43&lt;=10),$G739*$G735/5,0)+IF(AND(I$43&gt;=7,I$43&lt;=11),$H739*$H735/5,0))*I737</f>
        <v>95.8981101131611</v>
      </c>
      <c r="J747" s="35" t="n">
        <f aca="false">(IF($R$19=1,(SUMPRODUCT((Quesería!$C$62:$C$77=0)*(Quesería!$J$62:$J$77&gt;0)*(J$43&gt;=1)*(J$43&lt;=Quesería!$J$62:$J$77)*(Quesería!$H$62:$H$77&gt;0)*Quesería!$F$62:$F$77*(1+Quesería!$I$62:$I$77)/(Quesería!$J$62:$J$77+(Quesería!$J$62:$J$77=0)))+SUMPRODUCT((Quesería!$C$62:$C$77=0)*(Quesería!$J$62:$J$77=0)*(J$43=0)*(Quesería!$H$62:$H$77&gt;0)*Quesería!$F$62:$F$77*(1+Quesería!$I$62:$I$77)))*$B$735+(SUMPRODUCT((Quesería!$C$62:$C$77=1)*(Quesería!$J$62:$J$77&gt;0)*(J$43&gt;=2)*(J$43&lt;=Quesería!$J$62:$J$77+1)*(Quesería!$H$62:$H$77&gt;0)*Quesería!$F$62:$F$77*(1+Quesería!$I$62:$I$77)/(Quesería!$J$62:$J$77+(Quesería!$J$62:$J$77=0)))+SUMPRODUCT((Quesería!$C$62:$C$77=1)*(Quesería!$J$62:$J$77=0)*(J$43=1)*(Quesería!$H$62:$H$77&gt;0)*Quesería!$F$62:$F$77*(1+Quesería!$I$62:$I$77)))*$C$735*$R$21,IF(AND(J$43&gt;=1,J$43&lt;=Quesería!$B$11),Quesería!$F$80/Quesería!$B$11,0)*$B$735+IF(AND(J$43&gt;=2,J$43&lt;=Quesería!$B$11+1),Quesería!$F$81/Quesería!$B$11,0)*$C$735*$R$21)*$R$11+IF(AND(J$43&gt;=6,J$43&lt;=10),$G739*$G735/5,0)+IF(AND(J$43&gt;=7,J$43&lt;=11),$H739*$H735/5,0))*J737</f>
        <v>92.2097212626549</v>
      </c>
      <c r="K747" s="35" t="n">
        <f aca="false">(IF($R$19=1,(SUMPRODUCT((Quesería!$C$62:$C$77=0)*(Quesería!$J$62:$J$77&gt;0)*(K$43&gt;=1)*(K$43&lt;=Quesería!$J$62:$J$77)*(Quesería!$H$62:$H$77&gt;0)*Quesería!$F$62:$F$77*(1+Quesería!$I$62:$I$77)/(Quesería!$J$62:$J$77+(Quesería!$J$62:$J$77=0)))+SUMPRODUCT((Quesería!$C$62:$C$77=0)*(Quesería!$J$62:$J$77=0)*(K$43=0)*(Quesería!$H$62:$H$77&gt;0)*Quesería!$F$62:$F$77*(1+Quesería!$I$62:$I$77)))*$B$735+(SUMPRODUCT((Quesería!$C$62:$C$77=1)*(Quesería!$J$62:$J$77&gt;0)*(K$43&gt;=2)*(K$43&lt;=Quesería!$J$62:$J$77+1)*(Quesería!$H$62:$H$77&gt;0)*Quesería!$F$62:$F$77*(1+Quesería!$I$62:$I$77)/(Quesería!$J$62:$J$77+(Quesería!$J$62:$J$77=0)))+SUMPRODUCT((Quesería!$C$62:$C$77=1)*(Quesería!$J$62:$J$77=0)*(K$43=1)*(Quesería!$H$62:$H$77&gt;0)*Quesería!$F$62:$F$77*(1+Quesería!$I$62:$I$77)))*$C$735*$R$21,IF(AND(K$43&gt;=1,K$43&lt;=Quesería!$B$11),Quesería!$F$80/Quesería!$B$11,0)*$B$735+IF(AND(K$43&gt;=2,K$43&lt;=Quesería!$B$11+1),Quesería!$F$81/Quesería!$B$11,0)*$C$735*$R$21)*$R$11+IF(AND(K$43&gt;=6,K$43&lt;=10),$G739*$G735/5,0)+IF(AND(K$43&gt;=7,K$43&lt;=11),$H739*$H735/5,0))*K737</f>
        <v>88.6631935217835</v>
      </c>
      <c r="L747" s="35" t="n">
        <f aca="false">(IF($R$19=1,(SUMPRODUCT((Quesería!$C$62:$C$77=0)*(Quesería!$J$62:$J$77&gt;0)*(L$43&gt;=1)*(L$43&lt;=Quesería!$J$62:$J$77)*(Quesería!$H$62:$H$77&gt;0)*Quesería!$F$62:$F$77*(1+Quesería!$I$62:$I$77)/(Quesería!$J$62:$J$77+(Quesería!$J$62:$J$77=0)))+SUMPRODUCT((Quesería!$C$62:$C$77=0)*(Quesería!$J$62:$J$77=0)*(L$43=0)*(Quesería!$H$62:$H$77&gt;0)*Quesería!$F$62:$F$77*(1+Quesería!$I$62:$I$77)))*$B$735+(SUMPRODUCT((Quesería!$C$62:$C$77=1)*(Quesería!$J$62:$J$77&gt;0)*(L$43&gt;=2)*(L$43&lt;=Quesería!$J$62:$J$77+1)*(Quesería!$H$62:$H$77&gt;0)*Quesería!$F$62:$F$77*(1+Quesería!$I$62:$I$77)/(Quesería!$J$62:$J$77+(Quesería!$J$62:$J$77=0)))+SUMPRODUCT((Quesería!$C$62:$C$77=1)*(Quesería!$J$62:$J$77=0)*(L$43=1)*(Quesería!$H$62:$H$77&gt;0)*Quesería!$F$62:$F$77*(1+Quesería!$I$62:$I$77)))*$C$735*$R$21,IF(AND(L$43&gt;=1,L$43&lt;=Quesería!$B$11),Quesería!$F$80/Quesería!$B$11,0)*$B$735+IF(AND(L$43&gt;=2,L$43&lt;=Quesería!$B$11+1),Quesería!$F$81/Quesería!$B$11,0)*$C$735*$R$21)*$R$11+IF(AND(L$43&gt;=6,L$43&lt;=10),$G739*$G735/5,0)+IF(AND(L$43&gt;=7,L$43&lt;=11),$H739*$H735/5,0))*L737</f>
        <v>85.2530706940226</v>
      </c>
    </row>
    <row r="748" customFormat="false" ht="15" hidden="false" customHeight="false" outlineLevel="0" collapsed="false">
      <c r="A748" s="9" t="s">
        <v>292</v>
      </c>
      <c r="B748" s="36" t="n">
        <f aca="false">IF(B$43=1,MIN($R$7*Quesería!$B$35*Quesería!$F$75*$R$11*$R$21,Quesería!$B$50*Quesería!$B$51),0)</f>
        <v>0</v>
      </c>
      <c r="C748" s="36" t="n">
        <f aca="false">IF(C$43=1,MIN($R$7*Quesería!$B$35*Quesería!$F$75*$R$11*$R$21,Quesería!$B$50*Quesería!$B$51),0)</f>
        <v>20</v>
      </c>
      <c r="D748" s="36" t="n">
        <f aca="false">IF(D$43=1,MIN($R$7*Quesería!$B$35*Quesería!$F$75*$R$11*$R$21,Quesería!$B$50*Quesería!$B$51),0)</f>
        <v>0</v>
      </c>
      <c r="E748" s="36" t="n">
        <f aca="false">IF(E$43=1,MIN($R$7*Quesería!$B$35*Quesería!$F$75*$R$11*$R$21,Quesería!$B$50*Quesería!$B$51),0)</f>
        <v>0</v>
      </c>
      <c r="F748" s="36" t="n">
        <f aca="false">IF(F$43=1,MIN($R$7*Quesería!$B$35*Quesería!$F$75*$R$11*$R$21,Quesería!$B$50*Quesería!$B$51),0)</f>
        <v>0</v>
      </c>
      <c r="G748" s="36" t="n">
        <f aca="false">IF(G$43=1,MIN($R$7*Quesería!$B$35*Quesería!$F$75*$R$11*$R$21,Quesería!$B$50*Quesería!$B$51),0)</f>
        <v>0</v>
      </c>
      <c r="H748" s="36" t="n">
        <f aca="false">IF(H$43=1,MIN($R$7*Quesería!$B$35*Quesería!$F$75*$R$11*$R$21,Quesería!$B$50*Quesería!$B$51),0)</f>
        <v>0</v>
      </c>
      <c r="I748" s="36" t="n">
        <f aca="false">IF(I$43=1,MIN($R$7*Quesería!$B$35*Quesería!$F$75*$R$11*$R$21,Quesería!$B$50*Quesería!$B$51),0)</f>
        <v>0</v>
      </c>
      <c r="J748" s="36" t="n">
        <f aca="false">IF(J$43=1,MIN($R$7*Quesería!$B$35*Quesería!$F$75*$R$11*$R$21,Quesería!$B$50*Quesería!$B$51),0)</f>
        <v>0</v>
      </c>
      <c r="K748" s="36" t="n">
        <f aca="false">IF(K$43=1,MIN($R$7*Quesería!$B$35*Quesería!$F$75*$R$11*$R$21,Quesería!$B$50*Quesería!$B$51),0)</f>
        <v>0</v>
      </c>
      <c r="L748" s="36" t="n">
        <f aca="false">IF(L$43=1,MIN($R$7*Quesería!$B$35*Quesería!$F$75*$R$11*$R$21,Quesería!$B$50*Quesería!$B$51),0)</f>
        <v>0</v>
      </c>
    </row>
    <row r="749" customFormat="false" ht="15" hidden="false" customHeight="false" outlineLevel="0" collapsed="false">
      <c r="A749" s="9" t="s">
        <v>293</v>
      </c>
      <c r="B749" s="36" t="n">
        <v>0</v>
      </c>
      <c r="C749" s="36" t="n">
        <f aca="false">$R$20*Quesería!$B$52*Quesería!$F$86*$R$11*$B$735/C735</f>
        <v>166.879881289715</v>
      </c>
      <c r="D749" s="36" t="n">
        <v>0</v>
      </c>
      <c r="E749" s="36" t="n">
        <v>0</v>
      </c>
      <c r="F749" s="36" t="n">
        <v>0</v>
      </c>
      <c r="G749" s="36" t="n">
        <v>0</v>
      </c>
      <c r="H749" s="36" t="n">
        <v>0</v>
      </c>
      <c r="I749" s="36" t="n">
        <v>0</v>
      </c>
      <c r="J749" s="36" t="n">
        <v>0</v>
      </c>
      <c r="K749" s="36" t="n">
        <v>0</v>
      </c>
      <c r="L749" s="36" t="n">
        <v>0</v>
      </c>
    </row>
    <row r="750" customFormat="false" ht="15" hidden="false" customHeight="false" outlineLevel="0" collapsed="false">
      <c r="A750" s="9" t="s">
        <v>294</v>
      </c>
      <c r="B750" s="36" t="n">
        <f aca="false">0</f>
        <v>0</v>
      </c>
      <c r="C750" s="36" t="n">
        <f aca="false">B740*B735/C735</f>
        <v>94.6170242743742</v>
      </c>
      <c r="D750" s="36" t="n">
        <f aca="false">C740*C735/D735</f>
        <v>117.321834287022</v>
      </c>
      <c r="E750" s="36" t="n">
        <f aca="false">D740*D735/E735</f>
        <v>0</v>
      </c>
      <c r="F750" s="36" t="n">
        <f aca="false">E740*E735/F735</f>
        <v>0</v>
      </c>
      <c r="G750" s="36" t="n">
        <f aca="false">F740*F735/G735</f>
        <v>0</v>
      </c>
      <c r="H750" s="36" t="n">
        <f aca="false">G740*G735/H735</f>
        <v>4.87179487179487</v>
      </c>
      <c r="I750" s="36" t="n">
        <f aca="false">H740*H735/I735</f>
        <v>6.44987026996795</v>
      </c>
      <c r="J750" s="36" t="n">
        <f aca="false">I740*I735/J735</f>
        <v>0</v>
      </c>
      <c r="K750" s="36" t="n">
        <f aca="false">J740*J735/K735</f>
        <v>0</v>
      </c>
      <c r="L750" s="36" t="n">
        <f aca="false">K740*K735/L735</f>
        <v>0</v>
      </c>
    </row>
    <row r="751" customFormat="false" ht="15" hidden="false" customHeight="false" outlineLevel="0" collapsed="false">
      <c r="A751" s="6" t="s">
        <v>86</v>
      </c>
      <c r="B751" s="35" t="n">
        <f aca="false">$R$17*(B743-B744-B745-0.5*B746-B747)-B748-B749-B750</f>
        <v>-19.3080576189439</v>
      </c>
      <c r="C751" s="35" t="n">
        <f aca="false">$R$17*(C743-C744-C745-0.5*C746-C747)-C748-C749-C750</f>
        <v>-273.443442930927</v>
      </c>
      <c r="D751" s="35" t="n">
        <f aca="false">$R$17*(D743-D744-D745-0.5*D746-D747)-D748-D749-D750</f>
        <v>-55.9277356881633</v>
      </c>
      <c r="E751" s="35" t="n">
        <f aca="false">$R$17*(E743-E744-E745-0.5*E746-E747)-E748-E749-E750</f>
        <v>75.7936041207186</v>
      </c>
      <c r="F751" s="35" t="n">
        <f aca="false">$R$17*(F743-F744-F745-0.5*F746-F747)-F748-F749-F750</f>
        <v>77.4738068902017</v>
      </c>
      <c r="G751" s="35" t="n">
        <f aca="false">$R$17*(G743-G744-G745-0.5*G746-G747)-G748-G749-G750</f>
        <v>79.0747216230395</v>
      </c>
      <c r="H751" s="35" t="n">
        <f aca="false">$R$17*(H743-H744-H745-0.5*H746-H747)-H748-H749-H750</f>
        <v>78.1500063602923</v>
      </c>
      <c r="I751" s="35" t="n">
        <f aca="false">$R$17*(I743-I744-I745-0.5*I746-I747)-I748-I749-I750</f>
        <v>75.6488946016313</v>
      </c>
      <c r="J751" s="35" t="n">
        <f aca="false">$R$17*(J743-J744-J745-0.5*J746-J747)-J748-J749-J750</f>
        <v>83.5668825890707</v>
      </c>
      <c r="K751" s="35" t="n">
        <f aca="false">$R$17*(K743-K744-K745-0.5*K746-K747)-K748-K749-K750</f>
        <v>84.986234826269</v>
      </c>
      <c r="L751" s="35" t="n">
        <f aca="false">$R$17*(L743-L744-L745-0.5*L746-L747)-L748-L749-L750</f>
        <v>86.3587356815181</v>
      </c>
    </row>
    <row r="752" customFormat="false" ht="15" hidden="false" customHeight="false" outlineLevel="0" collapsed="false">
      <c r="A752" s="9" t="s">
        <v>295</v>
      </c>
      <c r="B752" s="36" t="n">
        <f aca="false">(IF(B$43&gt;=1,Quesería!$G$107*IF(B$43=1,Quesería!$B$12,1),Quesería!$G$107*Quesería!$B$12*Quesería!$B$13/12*$R$23)+IF(B$43&gt;=2,Quesería!$G$108*$R$21*IF(B$43=2,Quesería!$B$12,1),0))*$R$10</f>
        <v>26.8516916045565</v>
      </c>
      <c r="C752" s="36" t="n">
        <f aca="false">(IF(C$43&gt;=1,Quesería!$G$107*IF(C$43=1,Quesería!$B$12,1),Quesería!$G$107*Quesería!$B$12*Quesería!$B$13/12*$R$23)+IF(C$43&gt;=2,Quesería!$G$108*$R$21*IF(C$43=2,Quesería!$B$12,1),0))*$R$10</f>
        <v>80.5550748136695</v>
      </c>
      <c r="D752" s="36" t="n">
        <f aca="false">(IF(D$43&gt;=1,Quesería!$G$107*IF(D$43=1,Quesería!$B$12,1),Quesería!$G$107*Quesería!$B$12*Quesería!$B$13/12*$R$23)+IF(D$43&gt;=2,Quesería!$G$108*$R$21*IF(D$43=2,Quesería!$B$12,1),0))*$R$10</f>
        <v>189.651223070959</v>
      </c>
      <c r="E752" s="36" t="n">
        <f aca="false">(IF(E$43&gt;=1,Quesería!$G$107*IF(E$43=1,Quesería!$B$12,1),Quesería!$G$107*Quesería!$B$12*Quesería!$B$13/12*$R$23)+IF(E$43&gt;=2,Quesería!$G$108*$R$21*IF(E$43=2,Quesería!$B$12,1),0))*$R$10</f>
        <v>217.066041955203</v>
      </c>
      <c r="F752" s="36" t="n">
        <f aca="false">(IF(F$43&gt;=1,Quesería!$G$107*IF(F$43=1,Quesería!$B$12,1),Quesería!$G$107*Quesería!$B$12*Quesería!$B$13/12*$R$23)+IF(F$43&gt;=2,Quesería!$G$108*$R$21*IF(F$43=2,Quesería!$B$12,1),0))*$R$10</f>
        <v>217.066041955203</v>
      </c>
      <c r="G752" s="36" t="n">
        <f aca="false">(IF(G$43&gt;=1,Quesería!$G$107*IF(G$43=1,Quesería!$B$12,1),Quesería!$G$107*Quesería!$B$12*Quesería!$B$13/12*$R$23)+IF(G$43&gt;=2,Quesería!$G$108*$R$21*IF(G$43=2,Quesería!$B$12,1),0))*$R$10</f>
        <v>217.066041955203</v>
      </c>
      <c r="H752" s="36" t="n">
        <f aca="false">(IF(H$43&gt;=1,Quesería!$G$107*IF(H$43=1,Quesería!$B$12,1),Quesería!$G$107*Quesería!$B$12*Quesería!$B$13/12*$R$23)+IF(H$43&gt;=2,Quesería!$G$108*$R$21*IF(H$43=2,Quesería!$B$12,1),0))*$R$10</f>
        <v>217.066041955203</v>
      </c>
      <c r="I752" s="36" t="n">
        <f aca="false">(IF(I$43&gt;=1,Quesería!$G$107*IF(I$43=1,Quesería!$B$12,1),Quesería!$G$107*Quesería!$B$12*Quesería!$B$13/12*$R$23)+IF(I$43&gt;=2,Quesería!$G$108*$R$21*IF(I$43=2,Quesería!$B$12,1),0))*$R$10</f>
        <v>217.066041955203</v>
      </c>
      <c r="J752" s="36" t="n">
        <f aca="false">(IF(J$43&gt;=1,Quesería!$G$107*IF(J$43=1,Quesería!$B$12,1),Quesería!$G$107*Quesería!$B$12*Quesería!$B$13/12*$R$23)+IF(J$43&gt;=2,Quesería!$G$108*$R$21*IF(J$43=2,Quesería!$B$12,1),0))*$R$10</f>
        <v>217.066041955203</v>
      </c>
      <c r="K752" s="36" t="n">
        <f aca="false">(IF(K$43&gt;=1,Quesería!$G$107*IF(K$43=1,Quesería!$B$12,1),Quesería!$G$107*Quesería!$B$12*Quesería!$B$13/12*$R$23)+IF(K$43&gt;=2,Quesería!$G$108*$R$21*IF(K$43=2,Quesería!$B$12,1),0))*$R$10</f>
        <v>217.066041955203</v>
      </c>
      <c r="L752" s="36" t="n">
        <f aca="false">(IF(L$43&gt;=1,Quesería!$G$107*IF(L$43=1,Quesería!$B$12,1),Quesería!$G$107*Quesería!$B$12*Quesería!$B$13/12*$R$23)+IF(L$43&gt;=2,Quesería!$G$108*$R$21*IF(L$43=2,Quesería!$B$12,1),0))*$R$10</f>
        <v>217.066041955203</v>
      </c>
    </row>
    <row r="753" customFormat="false" ht="15" hidden="false" customHeight="false" outlineLevel="0" collapsed="false">
      <c r="A753" s="6" t="s">
        <v>296</v>
      </c>
      <c r="B753" s="35" t="n">
        <f aca="false">(B752*(Quesería!$B$23+Quesería!$B$25*Quesería!$B$24)/365-B744*Quesería!$B$26/365)</f>
        <v>2.50861009237089</v>
      </c>
      <c r="C753" s="35" t="n">
        <f aca="false">(C752*(Quesería!$B$23+Quesería!$B$25*Quesería!$B$24)/365-C744*Quesería!$B$26/365)-(B752*(Quesería!$B$23+Quesería!$B$25*Quesería!$B$24)/365-B744*Quesería!$B$26/365)*B735/C735</f>
        <v>2.91304119724236</v>
      </c>
      <c r="D753" s="35" t="n">
        <f aca="false">(D752*(Quesería!$B$23+Quesería!$B$25*Quesería!$B$24)/365-D744*Quesería!$B$26/365)-(C752*(Quesería!$B$23+Quesería!$B$25*Quesería!$B$24)/365-C744*Quesería!$B$26/365)*C735/D735</f>
        <v>7.29151021833416</v>
      </c>
      <c r="E753" s="35" t="n">
        <f aca="false">(E752*(Quesería!$B$23+Quesería!$B$25*Quesería!$B$24)/365-E744*Quesería!$B$26/365)-(D752*(Quesería!$B$23+Quesería!$B$25*Quesería!$B$24)/365-D744*Quesería!$B$26/365)*D735/E735</f>
        <v>3.03681159467532</v>
      </c>
      <c r="F753" s="35" t="n">
        <f aca="false">(F752*(Quesería!$B$23+Quesería!$B$25*Quesería!$B$24)/365-F744*Quesería!$B$26/365)-(E752*(Quesería!$B$23+Quesería!$B$25*Quesería!$B$24)/365-E744*Quesería!$B$26/365)*E735/F735</f>
        <v>0.574099993113848</v>
      </c>
      <c r="G753" s="35" t="n">
        <f aca="false">(G752*(Quesería!$B$23+Quesería!$B$25*Quesería!$B$24)/365-G744*Quesería!$B$26/365)-(F752*(Quesería!$B$23+Quesería!$B$25*Quesería!$B$24)/365-F744*Quesería!$B$26/365)*F735/G735</f>
        <v>0.574099993113849</v>
      </c>
      <c r="H753" s="35" t="n">
        <f aca="false">(H752*(Quesería!$B$23+Quesería!$B$25*Quesería!$B$24)/365-H744*Quesería!$B$26/365)-(G752*(Quesería!$B$23+Quesería!$B$25*Quesería!$B$24)/365-G744*Quesería!$B$26/365)*G735/H735</f>
        <v>0.574099993113848</v>
      </c>
      <c r="I753" s="35" t="n">
        <f aca="false">(I752*(Quesería!$B$23+Quesería!$B$25*Quesería!$B$24)/365-I744*Quesería!$B$26/365)-(H752*(Quesería!$B$23+Quesería!$B$25*Quesería!$B$24)/365-H744*Quesería!$B$26/365)*H735/I735</f>
        <v>0.574099993113846</v>
      </c>
      <c r="J753" s="35" t="n">
        <f aca="false">(J752*(Quesería!$B$23+Quesería!$B$25*Quesería!$B$24)/365-J744*Quesería!$B$26/365)-(I752*(Quesería!$B$23+Quesería!$B$25*Quesería!$B$24)/365-I744*Quesería!$B$26/365)*I735/J735</f>
        <v>0.574099993113849</v>
      </c>
      <c r="K753" s="35" t="n">
        <f aca="false">(K752*(Quesería!$B$23+Quesería!$B$25*Quesería!$B$24)/365-K744*Quesería!$B$26/365)-(J752*(Quesería!$B$23+Quesería!$B$25*Quesería!$B$24)/365-J744*Quesería!$B$26/365)*J735/K735</f>
        <v>0.574099993113848</v>
      </c>
      <c r="L753" s="35" t="n">
        <f aca="false">-(K752*(Quesería!$B$23+Quesería!$B$25*Quesería!$B$24)/365-K744*Quesería!$B$26/365)*K735/L735</f>
        <v>-14.3524998278462</v>
      </c>
    </row>
    <row r="754" customFormat="false" ht="15" hidden="false" customHeight="false" outlineLevel="0" collapsed="false">
      <c r="A754" s="6" t="s">
        <v>297</v>
      </c>
      <c r="B754" s="35" t="n">
        <v>0</v>
      </c>
      <c r="C754" s="35" t="n">
        <v>0</v>
      </c>
      <c r="D754" s="35" t="n">
        <v>0</v>
      </c>
      <c r="E754" s="35" t="n">
        <v>0</v>
      </c>
      <c r="F754" s="35" t="n">
        <v>0</v>
      </c>
      <c r="G754" s="35" t="n">
        <v>0</v>
      </c>
      <c r="H754" s="35" t="n">
        <v>0</v>
      </c>
      <c r="I754" s="35" t="n">
        <v>0</v>
      </c>
      <c r="J754" s="35" t="n">
        <v>0</v>
      </c>
      <c r="K754" s="35" t="n">
        <v>0</v>
      </c>
      <c r="L754" s="35" t="n">
        <f aca="false">$R$8*Quesería!$B$39*(Quesería!$F$82+Quesería!$F$83*$R$21)*$R$11*(1-$R$17)</f>
        <v>56.0502928201667</v>
      </c>
    </row>
    <row r="755" customFormat="false" ht="15" hidden="false" customHeight="false" outlineLevel="0" collapsed="false">
      <c r="A755" s="5" t="s">
        <v>298</v>
      </c>
      <c r="B755" s="37" t="n">
        <f aca="false">B743-B744-B745-B746-B751-B738-B739-B740-B753+B754</f>
        <v>-662.041045072899</v>
      </c>
      <c r="C755" s="37" t="n">
        <f aca="false">C743-C744-C745-C746-C751-C738-C739-C740-C753+C754</f>
        <v>-418.877649725493</v>
      </c>
      <c r="D755" s="37" t="n">
        <f aca="false">D743-D744-D745-D746-D751-D738-D739-D740-D753+D754</f>
        <v>340.259825124479</v>
      </c>
      <c r="E755" s="37" t="n">
        <f aca="false">E743-E744-E745-E746-E751-E738-E739-E740-E753+E754</f>
        <v>249.458108965084</v>
      </c>
      <c r="F755" s="37" t="n">
        <f aca="false">F743-F744-F745-F746-F751-F738-F739-F740-F753+F754</f>
        <v>250.736851636289</v>
      </c>
      <c r="G755" s="37" t="n">
        <f aca="false">G743-G744-G745-G746-G751-G738-G739-G740-G753+G754</f>
        <v>217.774385245107</v>
      </c>
      <c r="H755" s="37" t="n">
        <f aca="false">H743-H744-H745-H746-H751-H738-H739-H740-H753+H754</f>
        <v>208.880107947902</v>
      </c>
      <c r="I755" s="37" t="n">
        <f aca="false">I743-I744-I745-I746-I751-I738-I739-I740-I753+I754</f>
        <v>254.065402142827</v>
      </c>
      <c r="J755" s="37" t="n">
        <f aca="false">J743-J744-J745-J746-J751-J738-J739-J740-J753+J754</f>
        <v>246.6536473548</v>
      </c>
      <c r="K755" s="37" t="n">
        <f aca="false">K743-K744-K745-K746-K751-K738-K739-K740-K753+K754</f>
        <v>245.743059483011</v>
      </c>
      <c r="L755" s="37" t="n">
        <f aca="false">L743-L744-L745-L746-L751-L738-L739-L740-L753+L754</f>
        <v>315.858759456126</v>
      </c>
    </row>
    <row r="756" customFormat="false" ht="15" hidden="false" customHeight="false" outlineLevel="0" collapsed="false">
      <c r="A756" s="9" t="s">
        <v>299</v>
      </c>
      <c r="B756" s="36" t="n">
        <f aca="false">B755*B735</f>
        <v>-701.763507777273</v>
      </c>
      <c r="C756" s="36" t="n">
        <f aca="false">C755*C735</f>
        <v>-466.210824144474</v>
      </c>
      <c r="D756" s="36" t="n">
        <f aca="false">D755*D735</f>
        <v>395.751098704905</v>
      </c>
      <c r="E756" s="36" t="n">
        <f aca="false">E755*E735</f>
        <v>301.746624052281</v>
      </c>
      <c r="F756" s="36" t="n">
        <f aca="false">F755*F735</f>
        <v>315.425138005962</v>
      </c>
      <c r="G756" s="36" t="n">
        <f aca="false">G755*G735</f>
        <v>284.916938514219</v>
      </c>
      <c r="H756" s="36" t="n">
        <f aca="false">H755*H735</f>
        <v>284.211662626415</v>
      </c>
      <c r="I756" s="36" t="n">
        <f aca="false">I755*I735</f>
        <v>359.520516869641</v>
      </c>
      <c r="J756" s="36" t="n">
        <f aca="false">J755*J735</f>
        <v>362.993653910916</v>
      </c>
      <c r="K756" s="36" t="n">
        <f aca="false">K755*K735</f>
        <v>376.119708438521</v>
      </c>
      <c r="L756" s="36" t="n">
        <f aca="false">L755*L735</f>
        <v>502.772012991512</v>
      </c>
    </row>
    <row r="757" customFormat="false" ht="15" hidden="false" customHeight="false" outlineLevel="0" collapsed="false">
      <c r="A757" s="6" t="s">
        <v>300</v>
      </c>
      <c r="B757" s="35" t="n">
        <f aca="false">B755</f>
        <v>-662.041045072899</v>
      </c>
      <c r="C757" s="35" t="n">
        <f aca="false">B757+C755</f>
        <v>-1080.91869479839</v>
      </c>
      <c r="D757" s="35" t="n">
        <f aca="false">C757+D755</f>
        <v>-740.658869673913</v>
      </c>
      <c r="E757" s="35" t="n">
        <f aca="false">D757+E755</f>
        <v>-491.200760708829</v>
      </c>
      <c r="F757" s="35" t="n">
        <f aca="false">E757+F755</f>
        <v>-240.463909072539</v>
      </c>
      <c r="G757" s="35" t="n">
        <f aca="false">F757+G755</f>
        <v>-22.689523827432</v>
      </c>
      <c r="H757" s="35" t="n">
        <f aca="false">G757+H755</f>
        <v>186.19058412047</v>
      </c>
      <c r="I757" s="35" t="n">
        <f aca="false">H757+I755</f>
        <v>440.255986263298</v>
      </c>
      <c r="J757" s="35" t="n">
        <f aca="false">I757+J755</f>
        <v>686.909633618098</v>
      </c>
      <c r="K757" s="35" t="n">
        <f aca="false">J757+K755</f>
        <v>932.652693101109</v>
      </c>
      <c r="L757" s="35" t="n">
        <f aca="false">K757+L755</f>
        <v>1248.51145255723</v>
      </c>
    </row>
    <row r="758" customFormat="false" ht="15" hidden="false" customHeight="false" outlineLevel="0" collapsed="false">
      <c r="A758" s="9" t="s">
        <v>301</v>
      </c>
      <c r="B758" s="38" t="n">
        <v>0</v>
      </c>
      <c r="C758" s="38" t="n">
        <f aca="false">IF(AND(B757&lt;0,C757&gt;=0),B$43+(-B757)/C755,0)</f>
        <v>0</v>
      </c>
      <c r="D758" s="38" t="n">
        <f aca="false">IF(AND(C757&lt;0,D757&gt;=0),C$43+(-C757)/D755,0)</f>
        <v>0</v>
      </c>
      <c r="E758" s="38" t="n">
        <f aca="false">IF(AND(D757&lt;0,E757&gt;=0),D$43+(-D757)/E755,0)</f>
        <v>0</v>
      </c>
      <c r="F758" s="38" t="n">
        <f aca="false">IF(AND(E757&lt;0,F757&gt;=0),E$43+(-E757)/F755,0)</f>
        <v>0</v>
      </c>
      <c r="G758" s="38" t="n">
        <f aca="false">IF(AND(F757&lt;0,G757&gt;=0),F$43+(-F757)/G755,0)</f>
        <v>0</v>
      </c>
      <c r="H758" s="38" t="n">
        <f aca="false">IF(AND(G757&lt;0,H757&gt;=0),G$43+(-G757)/H755,0)</f>
        <v>5.10862462706641</v>
      </c>
      <c r="I758" s="38" t="n">
        <f aca="false">IF(AND(H757&lt;0,I757&gt;=0),H$43+(-H757)/I755,0)</f>
        <v>0</v>
      </c>
      <c r="J758" s="38" t="n">
        <f aca="false">IF(AND(I757&lt;0,J757&gt;=0),I$43+(-I757)/J755,0)</f>
        <v>0</v>
      </c>
      <c r="K758" s="38" t="n">
        <f aca="false">IF(AND(J757&lt;0,K757&gt;=0),J$43+(-J757)/K755,0)</f>
        <v>0</v>
      </c>
      <c r="L758" s="38" t="n">
        <f aca="false">IF(AND(K757&lt;0,L757&gt;=0),K$43+(-K757)/L755,0)</f>
        <v>0</v>
      </c>
    </row>
    <row r="759" customFormat="false" ht="15" hidden="false" customHeight="false" outlineLevel="0" collapsed="false">
      <c r="A759" s="9" t="s">
        <v>302</v>
      </c>
      <c r="B759" s="34" t="n">
        <f aca="false">(B735/$B$735)/(1+$R$25)^B$43</f>
        <v>1</v>
      </c>
      <c r="C759" s="34" t="n">
        <f aca="false">(C735/$B$735)/(1+$R$25)^C$43</f>
        <v>0.915882714676366</v>
      </c>
      <c r="D759" s="34" t="n">
        <f aca="false">(D735/$B$735)/(1+$R$25)^D$43</f>
        <v>0.834846665390365</v>
      </c>
      <c r="E759" s="34" t="n">
        <f aca="false">(E735/$B$735)/(1+$R$25)^E$43</f>
        <v>0.757339519472085</v>
      </c>
      <c r="F759" s="34" t="n">
        <f aca="false">(F735/$B$735)/(1+$R$25)^F$43</f>
        <v>0.687028135263637</v>
      </c>
      <c r="G759" s="34" t="n">
        <f aca="false">(G735/$B$735)/(1+$R$25)^G$43</f>
        <v>0.623244458407309</v>
      </c>
      <c r="H759" s="34" t="n">
        <f aca="false">(H735/$B$735)/(1+$R$25)^H$43</f>
        <v>0.565382456697153</v>
      </c>
      <c r="I759" s="34" t="n">
        <f aca="false">(I735/$B$735)/(1+$R$25)^I$43</f>
        <v>0.512892361943799</v>
      </c>
      <c r="J759" s="34" t="n">
        <f aca="false">(J735/$B$735)/(1+$R$25)^J$43</f>
        <v>0.465275446424395</v>
      </c>
      <c r="K759" s="34" t="n">
        <f aca="false">(K735/$B$735)/(1+$R$25)^K$43</f>
        <v>0.422079284286829</v>
      </c>
      <c r="L759" s="34" t="n">
        <f aca="false">(L735/$B$735)/(1+$R$25)^L$43</f>
        <v>0.382893452885076</v>
      </c>
    </row>
    <row r="760" customFormat="false" ht="15" hidden="false" customHeight="false" outlineLevel="0" collapsed="false">
      <c r="A760" s="9" t="s">
        <v>303</v>
      </c>
      <c r="B760" s="36" t="n">
        <f aca="false">B755*B759</f>
        <v>-662.041045072899</v>
      </c>
      <c r="C760" s="36" t="n">
        <f aca="false">C755*C759</f>
        <v>-383.642798947841</v>
      </c>
      <c r="D760" s="36" t="n">
        <f aca="false">D755*D759</f>
        <v>284.06478037148</v>
      </c>
      <c r="E760" s="36" t="n">
        <f aca="false">E755*E759</f>
        <v>188.924484372032</v>
      </c>
      <c r="F760" s="36" t="n">
        <f aca="false">F755*F759</f>
        <v>172.263271621555</v>
      </c>
      <c r="G760" s="36" t="n">
        <f aca="false">G755*G759</f>
        <v>135.726678787071</v>
      </c>
      <c r="H760" s="36" t="n">
        <f aca="false">H755*H759</f>
        <v>118.097148586752</v>
      </c>
      <c r="I760" s="36" t="n">
        <f aca="false">I755*I759</f>
        <v>130.308204193236</v>
      </c>
      <c r="J760" s="36" t="n">
        <f aca="false">J755*J759</f>
        <v>114.76188588521</v>
      </c>
      <c r="K760" s="36" t="n">
        <f aca="false">K755*K759</f>
        <v>103.723054665045</v>
      </c>
      <c r="L760" s="36" t="n">
        <f aca="false">L755*L759</f>
        <v>120.940251032152</v>
      </c>
    </row>
    <row r="761" customFormat="false" ht="15" hidden="false" customHeight="false" outlineLevel="0" collapsed="false">
      <c r="A761" s="9" t="s">
        <v>304</v>
      </c>
      <c r="B761" s="36" t="n">
        <f aca="false">B760</f>
        <v>-662.041045072899</v>
      </c>
      <c r="C761" s="36" t="n">
        <f aca="false">B761+C760</f>
        <v>-1045.68384402074</v>
      </c>
      <c r="D761" s="36" t="n">
        <f aca="false">C761+D760</f>
        <v>-761.61906364926</v>
      </c>
      <c r="E761" s="36" t="n">
        <f aca="false">D761+E760</f>
        <v>-572.694579277228</v>
      </c>
      <c r="F761" s="36" t="n">
        <f aca="false">E761+F760</f>
        <v>-400.431307655673</v>
      </c>
      <c r="G761" s="36" t="n">
        <f aca="false">F761+G760</f>
        <v>-264.704628868601</v>
      </c>
      <c r="H761" s="36" t="n">
        <f aca="false">G761+H760</f>
        <v>-146.60748028185</v>
      </c>
      <c r="I761" s="36" t="n">
        <f aca="false">H761+I760</f>
        <v>-16.2992760886139</v>
      </c>
      <c r="J761" s="36" t="n">
        <f aca="false">I761+J760</f>
        <v>98.462609796596</v>
      </c>
      <c r="K761" s="36" t="n">
        <f aca="false">J761+K760</f>
        <v>202.185664461641</v>
      </c>
      <c r="L761" s="36" t="n">
        <f aca="false">K761+L760</f>
        <v>323.125915493794</v>
      </c>
    </row>
    <row r="762" customFormat="false" ht="15" hidden="false" customHeight="false" outlineLevel="0" collapsed="false">
      <c r="A762" s="9" t="s">
        <v>305</v>
      </c>
      <c r="B762" s="38" t="n">
        <v>0</v>
      </c>
      <c r="C762" s="38" t="n">
        <f aca="false">IF(AND(B761&lt;0,C761&gt;=0),B$43+(-B761)/C760,0)</f>
        <v>0</v>
      </c>
      <c r="D762" s="38" t="n">
        <f aca="false">IF(AND(C761&lt;0,D761&gt;=0),C$43+(-C761)/D760,0)</f>
        <v>0</v>
      </c>
      <c r="E762" s="38" t="n">
        <f aca="false">IF(AND(D761&lt;0,E761&gt;=0),D$43+(-D761)/E760,0)</f>
        <v>0</v>
      </c>
      <c r="F762" s="38" t="n">
        <f aca="false">IF(AND(E761&lt;0,F761&gt;=0),E$43+(-E761)/F760,0)</f>
        <v>0</v>
      </c>
      <c r="G762" s="38" t="n">
        <f aca="false">IF(AND(F761&lt;0,G761&gt;=0),F$43+(-F761)/G760,0)</f>
        <v>0</v>
      </c>
      <c r="H762" s="38" t="n">
        <f aca="false">IF(AND(G761&lt;0,H761&gt;=0),G$43+(-G761)/H760,0)</f>
        <v>0</v>
      </c>
      <c r="I762" s="38" t="n">
        <f aca="false">IF(AND(H761&lt;0,I761&gt;=0),H$43+(-H761)/I760,0)</f>
        <v>0</v>
      </c>
      <c r="J762" s="38" t="n">
        <f aca="false">IF(AND(I761&lt;0,J761&gt;=0),I$43+(-I761)/J760,0)</f>
        <v>7.14202691044061</v>
      </c>
      <c r="K762" s="38" t="n">
        <f aca="false">IF(AND(J761&lt;0,K761&gt;=0),J$43+(-J761)/K760,0)</f>
        <v>0</v>
      </c>
      <c r="L762" s="38" t="n">
        <f aca="false">IF(AND(K761&lt;0,L761&gt;=0),K$43+(-K761)/L760,0)</f>
        <v>0</v>
      </c>
    </row>
    <row r="763" customFormat="false" ht="15" hidden="false" customHeight="false" outlineLevel="0" collapsed="false">
      <c r="A763" s="9" t="s">
        <v>306</v>
      </c>
      <c r="B763" s="36" t="n">
        <f aca="false">IF(B$43&lt;0,0,(Quesería!$B$40*$B$738*$B$735)*(1-MAX(0,MIN(B$43-0-Quesería!$B$43,(Quesería!$B$42-Quesería!$B$43)))/(Quesería!$B$42-Quesería!$B$43)))+IF(B$43&lt;1,0,(Quesería!$B$40*$C$738*$C$735)*(1-MAX(0,MIN(B$43-1-Quesería!$B$43,(Quesería!$B$42-Quesería!$B$43)))/(Quesería!$B$42-Quesería!$B$43)))</f>
        <v>461.704769247221</v>
      </c>
      <c r="C763" s="36" t="n">
        <f aca="false">IF(C$43&lt;0,0,(Quesería!$B$40*$B$738*$B$735)*(1-MAX(0,MIN(C$43-0-Quesería!$B$43,(Quesería!$B$42-Quesería!$B$43)))/(Quesería!$B$42-Quesería!$B$43)))+IF(C$43&lt;1,0,(Quesería!$B$40*$C$738*$C$735)*(1-MAX(0,MIN(C$43-1-Quesería!$B$43,(Quesería!$B$42-Quesería!$B$43)))/(Quesería!$B$42-Quesería!$B$43)))</f>
        <v>964.434695258825</v>
      </c>
      <c r="D763" s="36" t="n">
        <f aca="false">IF(D$43&lt;0,0,(Quesería!$B$40*$B$738*$B$735)*(1-MAX(0,MIN(D$43-0-Quesería!$B$43,(Quesería!$B$42-Quesería!$B$43)))/(Quesería!$B$42-Quesería!$B$43)))+IF(D$43&lt;1,0,(Quesería!$B$40*$C$738*$C$735)*(1-MAX(0,MIN(D$43-1-Quesería!$B$43,(Quesería!$B$42-Quesería!$B$43)))/(Quesería!$B$42-Quesería!$B$43)))</f>
        <v>887.483900384289</v>
      </c>
      <c r="E763" s="36" t="n">
        <f aca="false">IF(E$43&lt;0,0,(Quesería!$B$40*$B$738*$B$735)*(1-MAX(0,MIN(E$43-0-Quesería!$B$43,(Quesería!$B$42-Quesería!$B$43)))/(Quesería!$B$42-Quesería!$B$43)))+IF(E$43&lt;1,0,(Quesería!$B$40*$C$738*$C$735)*(1-MAX(0,MIN(E$43-1-Quesería!$B$43,(Quesería!$B$42-Quesería!$B$43)))/(Quesería!$B$42-Quesería!$B$43)))</f>
        <v>726.744784507818</v>
      </c>
      <c r="F763" s="36" t="n">
        <f aca="false">IF(F$43&lt;0,0,(Quesería!$B$40*$B$738*$B$735)*(1-MAX(0,MIN(F$43-0-Quesería!$B$43,(Quesería!$B$42-Quesería!$B$43)))/(Quesería!$B$42-Quesería!$B$43)))+IF(F$43&lt;1,0,(Quesería!$B$40*$C$738*$C$735)*(1-MAX(0,MIN(F$43-1-Quesería!$B$43,(Quesería!$B$42-Quesería!$B$43)))/(Quesería!$B$42-Quesería!$B$43)))</f>
        <v>566.005668631347</v>
      </c>
      <c r="G763" s="36" t="n">
        <f aca="false">IF(G$43&lt;0,0,(Quesería!$B$40*$B$738*$B$735)*(1-MAX(0,MIN(G$43-0-Quesería!$B$43,(Quesería!$B$42-Quesería!$B$43)))/(Quesería!$B$42-Quesería!$B$43)))+IF(G$43&lt;1,0,(Quesería!$B$40*$C$738*$C$735)*(1-MAX(0,MIN(G$43-1-Quesería!$B$43,(Quesería!$B$42-Quesería!$B$43)))/(Quesería!$B$42-Quesería!$B$43)))</f>
        <v>405.266552754876</v>
      </c>
      <c r="H763" s="36" t="n">
        <f aca="false">IF(H$43&lt;0,0,(Quesería!$B$40*$B$738*$B$735)*(1-MAX(0,MIN(H$43-0-Quesería!$B$43,(Quesería!$B$42-Quesería!$B$43)))/(Quesería!$B$42-Quesería!$B$43)))+IF(H$43&lt;1,0,(Quesería!$B$40*$C$738*$C$735)*(1-MAX(0,MIN(H$43-1-Quesería!$B$43,(Quesería!$B$42-Quesería!$B$43)))/(Quesería!$B$42-Quesería!$B$43)))</f>
        <v>244.527436878405</v>
      </c>
      <c r="I763" s="36" t="n">
        <f aca="false">IF(I$43&lt;0,0,(Quesería!$B$40*$B$738*$B$735)*(1-MAX(0,MIN(I$43-0-Quesería!$B$43,(Quesería!$B$42-Quesería!$B$43)))/(Quesería!$B$42-Quesería!$B$43)))+IF(I$43&lt;1,0,(Quesería!$B$40*$C$738*$C$735)*(1-MAX(0,MIN(I$43-1-Quesería!$B$43,(Quesería!$B$42-Quesería!$B$43)))/(Quesería!$B$42-Quesería!$B$43)))</f>
        <v>83.788321001934</v>
      </c>
      <c r="J763" s="36" t="n">
        <f aca="false">IF(J$43&lt;0,0,(Quesería!$B$40*$B$738*$B$735)*(1-MAX(0,MIN(J$43-0-Quesería!$B$43,(Quesería!$B$42-Quesería!$B$43)))/(Quesería!$B$42-Quesería!$B$43)))+IF(J$43&lt;1,0,(Quesería!$B$40*$C$738*$C$735)*(1-MAX(0,MIN(J$43-1-Quesería!$B$43,(Quesería!$B$42-Quesería!$B$43)))/(Quesería!$B$42-Quesería!$B$43)))</f>
        <v>0</v>
      </c>
      <c r="K763" s="36" t="n">
        <f aca="false">IF(K$43&lt;0,0,(Quesería!$B$40*$B$738*$B$735)*(1-MAX(0,MIN(K$43-0-Quesería!$B$43,(Quesería!$B$42-Quesería!$B$43)))/(Quesería!$B$42-Quesería!$B$43)))+IF(K$43&lt;1,0,(Quesería!$B$40*$C$738*$C$735)*(1-MAX(0,MIN(K$43-1-Quesería!$B$43,(Quesería!$B$42-Quesería!$B$43)))/(Quesería!$B$42-Quesería!$B$43)))</f>
        <v>0</v>
      </c>
      <c r="L763" s="36" t="n">
        <f aca="false">IF(L$43&lt;0,0,(Quesería!$B$40*$B$738*$B$735)*(1-MAX(0,MIN(L$43-0-Quesería!$B$43,(Quesería!$B$42-Quesería!$B$43)))/(Quesería!$B$42-Quesería!$B$43)))+IF(L$43&lt;1,0,(Quesería!$B$40*$C$738*$C$735)*(1-MAX(0,MIN(L$43-1-Quesería!$B$43,(Quesería!$B$42-Quesería!$B$43)))/(Quesería!$B$42-Quesería!$B$43)))</f>
        <v>0</v>
      </c>
    </row>
    <row r="764" customFormat="false" ht="15" hidden="false" customHeight="false" outlineLevel="0" collapsed="false">
      <c r="A764" s="6" t="s">
        <v>307</v>
      </c>
      <c r="B764" s="35" t="n">
        <f aca="false">Quesería!$B$40*B738</f>
        <v>435.57053702568</v>
      </c>
      <c r="C764" s="35" t="n">
        <f aca="false">Quesería!$B$40*C738</f>
        <v>451.689062005035</v>
      </c>
      <c r="D764" s="35" t="n">
        <f aca="false">Quesería!$B$40*D738</f>
        <v>0</v>
      </c>
      <c r="E764" s="35" t="n">
        <f aca="false">Quesería!$B$40*E738</f>
        <v>0</v>
      </c>
      <c r="F764" s="35" t="n">
        <f aca="false">Quesería!$B$40*F738</f>
        <v>0</v>
      </c>
      <c r="G764" s="35" t="n">
        <f aca="false">Quesería!$B$40*G738</f>
        <v>0</v>
      </c>
      <c r="H764" s="35" t="n">
        <f aca="false">Quesería!$B$40*H738</f>
        <v>0</v>
      </c>
      <c r="I764" s="35" t="n">
        <f aca="false">Quesería!$B$40*I738</f>
        <v>0</v>
      </c>
      <c r="J764" s="35" t="n">
        <f aca="false">Quesería!$B$40*J738</f>
        <v>0</v>
      </c>
      <c r="K764" s="35" t="n">
        <f aca="false">Quesería!$B$40*K738</f>
        <v>0</v>
      </c>
      <c r="L764" s="35" t="n">
        <f aca="false">Quesería!$B$40*L738</f>
        <v>0</v>
      </c>
    </row>
    <row r="765" customFormat="false" ht="15" hidden="false" customHeight="false" outlineLevel="0" collapsed="false">
      <c r="A765" s="6" t="s">
        <v>308</v>
      </c>
      <c r="B765" s="35" t="n">
        <f aca="false">(IF(AND(B$43&gt;0,B$43&lt;=0+Quesería!$B$42),($R$14+$R$24)*((Quesería!$B$40*$B$738*$B$735)-(Quesería!$B$40*$B$738*$B$735)/(Quesería!$B$42-Quesería!$B$43)*MAX(0,MIN(B$43-1-0-Quesería!$B$43,(Quesería!$B$42-Quesería!$B$43)))),0)+IF(AND(B$43&gt;1,B$43&lt;=1+Quesería!$B$42),($R$14+$R$24)*((Quesería!$B$40*$C$738*$C$735)-(Quesería!$B$40*$C$738*$C$735)/(Quesería!$B$42-Quesería!$B$43)*MAX(0,MIN(B$43-1-1-Quesería!$B$43,(Quesería!$B$42-Quesería!$B$43)))),0))*B737</f>
        <v>0</v>
      </c>
      <c r="C765" s="35" t="n">
        <f aca="false">(IF(AND(C$43&gt;0,C$43&lt;=0+Quesería!$B$42),($R$14+$R$24)*((Quesería!$B$40*$B$738*$B$735)-(Quesería!$B$40*$B$738*$B$735)/(Quesería!$B$42-Quesería!$B$43)*MAX(0,MIN(C$43-1-0-Quesería!$B$43,(Quesería!$B$42-Quesería!$B$43)))),0)+IF(AND(C$43&gt;1,C$43&lt;=1+Quesería!$B$42),($R$14+$R$24)*((Quesería!$B$40*$C$738*$C$735)-(Quesería!$B$40*$C$738*$C$735)/(Quesería!$B$42-Quesería!$B$43)*MAX(0,MIN(C$43-1-1-Quesería!$B$43,(Quesería!$B$42-Quesería!$B$43)))),0))*C737</f>
        <v>65.1281660124113</v>
      </c>
      <c r="D765" s="35" t="n">
        <f aca="false">(IF(AND(D$43&gt;0,D$43&lt;=0+Quesería!$B$42),($R$14+$R$24)*((Quesería!$B$40*$B$738*$B$735)-(Quesería!$B$40*$B$738*$B$735)/(Quesería!$B$42-Quesería!$B$43)*MAX(0,MIN(D$43-1-0-Quesería!$B$43,(Quesería!$B$42-Quesería!$B$43)))),0)+IF(AND(D$43&gt;1,D$43&lt;=1+Quesería!$B$42),($R$14+$R$24)*((Quesería!$B$40*$C$738*$C$735)-(Quesería!$B$40*$C$738*$C$735)/(Quesería!$B$42-Quesería!$B$43)*MAX(0,MIN(D$43-1-1-Quesería!$B$43,(Quesería!$B$42-Quesería!$B$43)))),0))*D737</f>
        <v>130.185022724595</v>
      </c>
      <c r="E765" s="35" t="n">
        <f aca="false">(IF(AND(E$43&gt;0,E$43&lt;=0+Quesería!$B$42),($R$14+$R$24)*((Quesería!$B$40*$B$738*$B$735)-(Quesería!$B$40*$B$738*$B$735)/(Quesería!$B$42-Quesería!$B$43)*MAX(0,MIN(E$43-1-0-Quesería!$B$43,(Quesería!$B$42-Quesería!$B$43)))),0)+IF(AND(E$43&gt;1,E$43&lt;=1+Quesería!$B$42),($R$14+$R$24)*((Quesería!$B$40*$C$738*$C$735)-(Quesería!$B$40*$C$738*$C$735)/(Quesería!$B$42-Quesería!$B$43)*MAX(0,MIN(E$43-1-1-Quesería!$B$43,(Quesería!$B$42-Quesería!$B$43)))),0))*E737</f>
        <v>115.190149440375</v>
      </c>
      <c r="F765" s="35" t="n">
        <f aca="false">(IF(AND(F$43&gt;0,F$43&lt;=0+Quesería!$B$42),($R$14+$R$24)*((Quesería!$B$40*$B$738*$B$735)-(Quesería!$B$40*$B$738*$B$735)/(Quesería!$B$42-Quesería!$B$43)*MAX(0,MIN(F$43-1-0-Quesería!$B$43,(Quesería!$B$42-Quesería!$B$43)))),0)+IF(AND(F$43&gt;1,F$43&lt;=1+Quesería!$B$42),($R$14+$R$24)*((Quesería!$B$40*$C$738*$C$735)-(Quesería!$B$40*$C$738*$C$735)/(Quesería!$B$42-Quesería!$B$43)*MAX(0,MIN(F$43-1-1-Quesería!$B$43,(Quesería!$B$42-Quesería!$B$43)))),0))*F737</f>
        <v>90.699197143637</v>
      </c>
      <c r="G765" s="35" t="n">
        <f aca="false">(IF(AND(G$43&gt;0,G$43&lt;=0+Quesería!$B$42),($R$14+$R$24)*((Quesería!$B$40*$B$738*$B$735)-(Quesería!$B$40*$B$738*$B$735)/(Quesería!$B$42-Quesería!$B$43)*MAX(0,MIN(G$43-1-0-Quesería!$B$43,(Quesería!$B$42-Quesería!$B$43)))),0)+IF(AND(G$43&gt;1,G$43&lt;=1+Quesería!$B$42),($R$14+$R$24)*((Quesería!$B$40*$C$738*$C$735)-(Quesería!$B$40*$C$738*$C$735)/(Quesería!$B$42-Quesería!$B$43)*MAX(0,MIN(G$43-1-1-Quesería!$B$43,(Quesería!$B$42-Quesería!$B$43)))),0))*G737</f>
        <v>67.9217646249905</v>
      </c>
      <c r="H765" s="35" t="n">
        <f aca="false">(IF(AND(H$43&gt;0,H$43&lt;=0+Quesería!$B$42),($R$14+$R$24)*((Quesería!$B$40*$B$738*$B$735)-(Quesería!$B$40*$B$738*$B$735)/(Quesería!$B$42-Quesería!$B$43)*MAX(0,MIN(H$43-1-0-Quesería!$B$43,(Quesería!$B$42-Quesería!$B$43)))),0)+IF(AND(H$43&gt;1,H$43&lt;=1+Quesería!$B$42),($R$14+$R$24)*((Quesería!$B$40*$C$738*$C$735)-(Quesería!$B$40*$C$738*$C$735)/(Quesería!$B$42-Quesería!$B$43)*MAX(0,MIN(H$43-1-1-Quesería!$B$43,(Quesería!$B$42-Quesería!$B$43)))),0))*H737</f>
        <v>46.7622718901102</v>
      </c>
      <c r="I765" s="35" t="n">
        <f aca="false">(IF(AND(I$43&gt;0,I$43&lt;=0+Quesería!$B$42),($R$14+$R$24)*((Quesería!$B$40*$B$738*$B$735)-(Quesería!$B$40*$B$738*$B$735)/(Quesería!$B$42-Quesería!$B$43)*MAX(0,MIN(I$43-1-0-Quesería!$B$43,(Quesería!$B$42-Quesería!$B$43)))),0)+IF(AND(I$43&gt;1,I$43&lt;=1+Quesería!$B$42),($R$14+$R$24)*((Quesería!$B$40*$C$738*$C$735)-(Quesería!$B$40*$C$738*$C$735)/(Quesería!$B$42-Quesería!$B$43)*MAX(0,MIN(I$43-1-1-Quesería!$B$43,(Quesería!$B$42-Quesería!$B$43)))),0))*I737</f>
        <v>27.1299564593554</v>
      </c>
      <c r="J765" s="35" t="n">
        <f aca="false">(IF(AND(J$43&gt;0,J$43&lt;=0+Quesería!$B$42),($R$14+$R$24)*((Quesería!$B$40*$B$738*$B$735)-(Quesería!$B$40*$B$738*$B$735)/(Quesería!$B$42-Quesería!$B$43)*MAX(0,MIN(J$43-1-0-Quesería!$B$43,(Quesería!$B$42-Quesería!$B$43)))),0)+IF(AND(J$43&gt;1,J$43&lt;=1+Quesería!$B$42),($R$14+$R$24)*((Quesería!$B$40*$C$738*$C$735)-(Quesería!$B$40*$C$738*$C$735)/(Quesería!$B$42-Quesería!$B$43)*MAX(0,MIN(J$43-1-1-Quesería!$B$43,(Quesería!$B$42-Quesería!$B$43)))),0))*J737</f>
        <v>8.93864418024124</v>
      </c>
      <c r="K765" s="35" t="n">
        <f aca="false">(IF(AND(K$43&gt;0,K$43&lt;=0+Quesería!$B$42),($R$14+$R$24)*((Quesería!$B$40*$B$738*$B$735)-(Quesería!$B$40*$B$738*$B$735)/(Quesería!$B$42-Quesería!$B$43)*MAX(0,MIN(K$43-1-0-Quesería!$B$43,(Quesería!$B$42-Quesería!$B$43)))),0)+IF(AND(K$43&gt;1,K$43&lt;=1+Quesería!$B$42),($R$14+$R$24)*((Quesería!$B$40*$C$738*$C$735)-(Quesería!$B$40*$C$738*$C$735)/(Quesería!$B$42-Quesería!$B$43)*MAX(0,MIN(K$43-1-1-Quesería!$B$43,(Quesería!$B$42-Quesería!$B$43)))),0))*K737</f>
        <v>0</v>
      </c>
      <c r="L765" s="35" t="n">
        <f aca="false">(IF(AND(L$43&gt;0,L$43&lt;=0+Quesería!$B$42),($R$14+$R$24)*((Quesería!$B$40*$B$738*$B$735)-(Quesería!$B$40*$B$738*$B$735)/(Quesería!$B$42-Quesería!$B$43)*MAX(0,MIN(L$43-1-0-Quesería!$B$43,(Quesería!$B$42-Quesería!$B$43)))),0)+IF(AND(L$43&gt;1,L$43&lt;=1+Quesería!$B$42),($R$14+$R$24)*((Quesería!$B$40*$C$738*$C$735)-(Quesería!$B$40*$C$738*$C$735)/(Quesería!$B$42-Quesería!$B$43)*MAX(0,MIN(L$43-1-1-Quesería!$B$43,(Quesería!$B$42-Quesería!$B$43)))),0))*L737</f>
        <v>0</v>
      </c>
    </row>
    <row r="766" customFormat="false" ht="15" hidden="false" customHeight="false" outlineLevel="0" collapsed="false">
      <c r="A766" s="6" t="s">
        <v>309</v>
      </c>
      <c r="B766" s="35" t="n">
        <f aca="false">(IF(AND(B$43&gt;0+Quesería!$B$43,B$43&lt;=0+Quesería!$B$42),(Quesería!$B$40*$B$738*$B$735)/(Quesería!$B$42-Quesería!$B$43),0)+IF(AND(B$43&gt;1+Quesería!$B$43,B$43&lt;=1+Quesería!$B$42),(Quesería!$B$40*$C$738*$C$735)/(Quesería!$B$42-Quesería!$B$43),0))*B737</f>
        <v>0</v>
      </c>
      <c r="C766" s="35" t="n">
        <f aca="false">(IF(AND(C$43&gt;0+Quesería!$B$43,C$43&lt;=0+Quesería!$B$42),(Quesería!$B$40*$B$738*$B$735)/(Quesería!$B$42-Quesería!$B$43),0)+IF(AND(C$43&gt;1+Quesería!$B$43,C$43&lt;=1+Quesería!$B$42),(Quesería!$B$40*$C$738*$C$735)/(Quesería!$B$42-Quesería!$B$43),0))*C737</f>
        <v>0</v>
      </c>
      <c r="D766" s="35" t="n">
        <f aca="false">(IF(AND(D$43&gt;0+Quesería!$B$43,D$43&lt;=0+Quesería!$B$42),(Quesería!$B$40*$B$738*$B$735)/(Quesería!$B$42-Quesería!$B$43),0)+IF(AND(D$43&gt;1+Quesería!$B$43,D$43&lt;=1+Quesería!$B$42),(Quesería!$B$40*$C$738*$C$735)/(Quesería!$B$42-Quesería!$B$43),0))*D737</f>
        <v>66.1609382586284</v>
      </c>
      <c r="E766" s="35" t="n">
        <f aca="false">(IF(AND(E$43&gt;0+Quesería!$B$43,E$43&lt;=0+Quesería!$B$42),(Quesería!$B$40*$B$738*$B$735)/(Quesería!$B$42-Quesería!$B$43),0)+IF(AND(E$43&gt;1+Quesería!$B$43,E$43&lt;=1+Quesería!$B$42),(Quesería!$B$40*$C$738*$C$735)/(Quesería!$B$42-Quesería!$B$43),0))*E737</f>
        <v>132.885251025432</v>
      </c>
      <c r="F766" s="35" t="n">
        <f aca="false">(IF(AND(F$43&gt;0+Quesería!$B$43,F$43&lt;=0+Quesería!$B$42),(Quesería!$B$40*$B$738*$B$735)/(Quesería!$B$42-Quesería!$B$43),0)+IF(AND(F$43&gt;1+Quesería!$B$43,F$43&lt;=1+Quesería!$B$42),(Quesería!$B$40*$C$738*$C$735)/(Quesería!$B$42-Quesería!$B$43),0))*F737</f>
        <v>127.774279832146</v>
      </c>
      <c r="G766" s="35" t="n">
        <f aca="false">(IF(AND(G$43&gt;0+Quesería!$B$43,G$43&lt;=0+Quesería!$B$42),(Quesería!$B$40*$B$738*$B$735)/(Quesería!$B$42-Quesería!$B$43),0)+IF(AND(G$43&gt;1+Quesería!$B$43,G$43&lt;=1+Quesería!$B$42),(Quesería!$B$40*$C$738*$C$735)/(Quesería!$B$42-Quesería!$B$43),0))*G737</f>
        <v>122.859884453986</v>
      </c>
      <c r="H766" s="35" t="n">
        <f aca="false">(IF(AND(H$43&gt;0+Quesería!$B$43,H$43&lt;=0+Quesería!$B$42),(Quesería!$B$40*$B$738*$B$735)/(Quesería!$B$42-Quesería!$B$43),0)+IF(AND(H$43&gt;1+Quesería!$B$43,H$43&lt;=1+Quesería!$B$42),(Quesería!$B$40*$C$738*$C$735)/(Quesería!$B$42-Quesería!$B$43),0))*H737</f>
        <v>118.134504282679</v>
      </c>
      <c r="I766" s="35" t="n">
        <f aca="false">(IF(AND(I$43&gt;0+Quesería!$B$43,I$43&lt;=0+Quesería!$B$42),(Quesería!$B$40*$B$738*$B$735)/(Quesería!$B$42-Quesería!$B$43),0)+IF(AND(I$43&gt;1+Quesería!$B$43,I$43&lt;=1+Quesería!$B$42),(Quesería!$B$40*$C$738*$C$735)/(Quesería!$B$42-Quesería!$B$43),0))*I737</f>
        <v>113.590869502576</v>
      </c>
      <c r="J766" s="35" t="n">
        <f aca="false">(IF(AND(J$43&gt;0+Quesería!$B$43,J$43&lt;=0+Quesería!$B$42),(Quesería!$B$40*$B$738*$B$735)/(Quesería!$B$42-Quesería!$B$43),0)+IF(AND(J$43&gt;1+Quesería!$B$43,J$43&lt;=1+Quesería!$B$42),(Quesería!$B$40*$C$738*$C$735)/(Quesería!$B$42-Quesería!$B$43),0))*J737</f>
        <v>56.9340393645939</v>
      </c>
      <c r="K766" s="35" t="n">
        <f aca="false">(IF(AND(K$43&gt;0+Quesería!$B$43,K$43&lt;=0+Quesería!$B$42),(Quesería!$B$40*$B$738*$B$735)/(Quesería!$B$42-Quesería!$B$43),0)+IF(AND(K$43&gt;1+Quesería!$B$43,K$43&lt;=1+Quesería!$B$42),(Quesería!$B$40*$C$738*$C$735)/(Quesería!$B$42-Quesería!$B$43),0))*K737</f>
        <v>0</v>
      </c>
      <c r="L766" s="35" t="n">
        <f aca="false">(IF(AND(L$43&gt;0+Quesería!$B$43,L$43&lt;=0+Quesería!$B$42),(Quesería!$B$40*$B$738*$B$735)/(Quesería!$B$42-Quesería!$B$43),0)+IF(AND(L$43&gt;1+Quesería!$B$43,L$43&lt;=1+Quesería!$B$42),(Quesería!$B$40*$C$738*$C$735)/(Quesería!$B$42-Quesería!$B$43),0))*L737</f>
        <v>0</v>
      </c>
    </row>
    <row r="767" customFormat="false" ht="15" hidden="false" customHeight="false" outlineLevel="0" collapsed="false">
      <c r="A767" s="6" t="s">
        <v>310</v>
      </c>
      <c r="B767" s="35" t="n">
        <f aca="false">$R$13*Quesería!$B$44*(1+0.19)*B763*B737+(1-$R$13)*IF(B$43=0,Quesería!$B$53,0)</f>
        <v>4</v>
      </c>
      <c r="C767" s="35" t="n">
        <f aca="false">$R$13*Quesería!$B$44*(1+0.19)*C763*C737+(1-$R$13)*IF(C$43=0,Quesería!$B$53,0)</f>
        <v>0</v>
      </c>
      <c r="D767" s="35" t="n">
        <f aca="false">$R$13*Quesería!$B$44*(1+0.19)*D763*D737+(1-$R$13)*IF(D$43=0,Quesería!$B$53,0)</f>
        <v>0</v>
      </c>
      <c r="E767" s="35" t="n">
        <f aca="false">$R$13*Quesería!$B$44*(1+0.19)*E763*E737+(1-$R$13)*IF(E$43=0,Quesería!$B$53,0)</f>
        <v>0</v>
      </c>
      <c r="F767" s="35" t="n">
        <f aca="false">$R$13*Quesería!$B$44*(1+0.19)*F763*F737+(1-$R$13)*IF(F$43=0,Quesería!$B$53,0)</f>
        <v>0</v>
      </c>
      <c r="G767" s="35" t="n">
        <f aca="false">$R$13*Quesería!$B$44*(1+0.19)*G763*G737+(1-$R$13)*IF(G$43=0,Quesería!$B$53,0)</f>
        <v>0</v>
      </c>
      <c r="H767" s="35" t="n">
        <f aca="false">$R$13*Quesería!$B$44*(1+0.19)*H763*H737+(1-$R$13)*IF(H$43=0,Quesería!$B$53,0)</f>
        <v>0</v>
      </c>
      <c r="I767" s="35" t="n">
        <f aca="false">$R$13*Quesería!$B$44*(1+0.19)*I763*I737+(1-$R$13)*IF(I$43=0,Quesería!$B$53,0)</f>
        <v>0</v>
      </c>
      <c r="J767" s="35" t="n">
        <f aca="false">$R$13*Quesería!$B$44*(1+0.19)*J763*J737+(1-$R$13)*IF(J$43=0,Quesería!$B$53,0)</f>
        <v>0</v>
      </c>
      <c r="K767" s="35" t="n">
        <f aca="false">$R$13*Quesería!$B$44*(1+0.19)*K763*K737+(1-$R$13)*IF(K$43=0,Quesería!$B$53,0)</f>
        <v>0</v>
      </c>
      <c r="L767" s="35" t="n">
        <f aca="false">$R$13*Quesería!$B$44*(1+0.19)*L763*L737+(1-$R$13)*IF(L$43=0,Quesería!$B$53,0)</f>
        <v>0</v>
      </c>
    </row>
    <row r="768" customFormat="false" ht="15" hidden="false" customHeight="false" outlineLevel="0" collapsed="false">
      <c r="A768" s="6" t="s">
        <v>311</v>
      </c>
      <c r="B768" s="35" t="n">
        <f aca="false">Quesería!$B$45*(B765+B766+B767)</f>
        <v>0.016</v>
      </c>
      <c r="C768" s="35" t="n">
        <f aca="false">Quesería!$B$45*(C765+C766+C767)</f>
        <v>0.260512664049645</v>
      </c>
      <c r="D768" s="35" t="n">
        <f aca="false">Quesería!$B$45*(D765+D766+D767)</f>
        <v>0.785383843932894</v>
      </c>
      <c r="E768" s="35" t="n">
        <f aca="false">Quesería!$B$45*(E765+E766+E767)</f>
        <v>0.992301601863228</v>
      </c>
      <c r="F768" s="35" t="n">
        <f aca="false">Quesería!$B$45*(F765+F766+F767)</f>
        <v>0.873893907903132</v>
      </c>
      <c r="G768" s="35" t="n">
        <f aca="false">Quesería!$B$45*(G765+G766+G767)</f>
        <v>0.763126596315908</v>
      </c>
      <c r="H768" s="35" t="n">
        <f aca="false">Quesería!$B$45*(H765+H766+H767)</f>
        <v>0.659587104691158</v>
      </c>
      <c r="I768" s="35" t="n">
        <f aca="false">Quesería!$B$45*(I765+I766+I767)</f>
        <v>0.562883303847726</v>
      </c>
      <c r="J768" s="35" t="n">
        <f aca="false">Quesería!$B$45*(J765+J766+J767)</f>
        <v>0.263490734179341</v>
      </c>
      <c r="K768" s="35" t="n">
        <f aca="false">Quesería!$B$45*(K765+K766+K767)</f>
        <v>0</v>
      </c>
      <c r="L768" s="35" t="n">
        <f aca="false">Quesería!$B$45*(L765+L766+L767)</f>
        <v>0</v>
      </c>
    </row>
    <row r="769" customFormat="false" ht="15" hidden="false" customHeight="false" outlineLevel="0" collapsed="false">
      <c r="A769" s="6" t="s">
        <v>312</v>
      </c>
      <c r="B769" s="35" t="n">
        <f aca="false">$R$17*(B765+B767+0.5*B768)</f>
        <v>1.4028</v>
      </c>
      <c r="C769" s="35" t="n">
        <f aca="false">$R$17*(C765+C767+0.5*C768)</f>
        <v>22.8404478205526</v>
      </c>
      <c r="D769" s="35" t="n">
        <f aca="false">$R$17*(D765+D767+0.5*D768)</f>
        <v>45.7022001262965</v>
      </c>
      <c r="E769" s="35" t="n">
        <f aca="false">$R$17*(E765+E767+0.5*E768)</f>
        <v>40.4902050844574</v>
      </c>
      <c r="F769" s="35" t="n">
        <f aca="false">$R$17*(F765+F767+0.5*F768)</f>
        <v>31.897650434156</v>
      </c>
      <c r="G769" s="35" t="n">
        <f aca="false">$R$17*(G765+G767+0.5*G768)</f>
        <v>23.906164773102</v>
      </c>
      <c r="H769" s="35" t="n">
        <f aca="false">$R$17*(H765+H767+0.5*H768)</f>
        <v>16.4822229048595</v>
      </c>
      <c r="I769" s="35" t="n">
        <f aca="false">$R$17*(I765+I767+0.5*I768)</f>
        <v>9.59398933894773</v>
      </c>
      <c r="J769" s="35" t="n">
        <f aca="false">$R$17*(J765+J767+0.5*J768)</f>
        <v>3.17463634156582</v>
      </c>
      <c r="K769" s="35" t="n">
        <f aca="false">$R$17*(K765+K767+0.5*K768)</f>
        <v>0</v>
      </c>
      <c r="L769" s="35" t="n">
        <f aca="false">$R$17*(L765+L767+0.5*L768)</f>
        <v>0</v>
      </c>
    </row>
    <row r="770" customFormat="false" ht="15" hidden="false" customHeight="false" outlineLevel="0" collapsed="false">
      <c r="A770" s="5" t="s">
        <v>313</v>
      </c>
      <c r="B770" s="37" t="n">
        <f aca="false">B755+B764-B765-B766-B767-B768+B769</f>
        <v>-229.083708047218</v>
      </c>
      <c r="C770" s="37" t="n">
        <f aca="false">C755+C764-C765-C766-C767-C768+C769</f>
        <v>-9.73681857636658</v>
      </c>
      <c r="D770" s="37" t="n">
        <f aca="false">D755+D764-D765-D766-D767-D768+D769</f>
        <v>188.83068042362</v>
      </c>
      <c r="E770" s="37" t="n">
        <f aca="false">E755+E764-E765-E766-E767-E768+E769</f>
        <v>40.8806119818711</v>
      </c>
      <c r="F770" s="37" t="n">
        <f aca="false">F755+F764-F765-F766-F767-F768+F769</f>
        <v>63.2871311867593</v>
      </c>
      <c r="G770" s="37" t="n">
        <f aca="false">G755+G764-G765-G766-G767-G768+G769</f>
        <v>50.1357743429164</v>
      </c>
      <c r="H770" s="37" t="n">
        <f aca="false">H755+H764-H765-H766-H767-H768+H769</f>
        <v>59.8059675752812</v>
      </c>
      <c r="I770" s="37" t="n">
        <f aca="false">I755+I764-I765-I766-I767-I768+I769</f>
        <v>122.375682215996</v>
      </c>
      <c r="J770" s="37" t="n">
        <f aca="false">J755+J764-J765-J766-J767-J768+J769</f>
        <v>183.692109417352</v>
      </c>
      <c r="K770" s="37" t="n">
        <f aca="false">K755+K764-K765-K766-K767-K768+K769</f>
        <v>245.743059483011</v>
      </c>
      <c r="L770" s="37" t="n">
        <f aca="false">L755+L764-L765-L766-L767-L768+L769</f>
        <v>315.858759456126</v>
      </c>
    </row>
    <row r="771" customFormat="false" ht="15" hidden="false" customHeight="false" outlineLevel="0" collapsed="false">
      <c r="A771" s="9" t="s">
        <v>314</v>
      </c>
      <c r="B771" s="36" t="n">
        <f aca="false">B770*B735</f>
        <v>-242.828730530051</v>
      </c>
      <c r="C771" s="36" t="n">
        <f aca="false">C770*C735</f>
        <v>-10.837079075496</v>
      </c>
      <c r="D771" s="36" t="n">
        <f aca="false">D770*D735</f>
        <v>219.626131940506</v>
      </c>
      <c r="E771" s="36" t="n">
        <f aca="false">E770*E735</f>
        <v>49.449531650412</v>
      </c>
      <c r="F771" s="36" t="n">
        <f aca="false">F770*F735</f>
        <v>79.6147513152223</v>
      </c>
      <c r="G771" s="36" t="n">
        <f aca="false">G770*G735</f>
        <v>65.593257534609</v>
      </c>
      <c r="H771" s="36" t="n">
        <f aca="false">H770*H735</f>
        <v>81.3746873579344</v>
      </c>
      <c r="I771" s="36" t="n">
        <f aca="false">I770*I735</f>
        <v>173.17024731229</v>
      </c>
      <c r="J771" s="36" t="n">
        <f aca="false">J770*J735</f>
        <v>270.334822562317</v>
      </c>
      <c r="K771" s="36" t="n">
        <f aca="false">K770*K735</f>
        <v>376.119708438521</v>
      </c>
      <c r="L771" s="36" t="n">
        <f aca="false">L770*L735</f>
        <v>502.772012991512</v>
      </c>
    </row>
    <row r="772" customFormat="false" ht="15" hidden="false" customHeight="false" outlineLevel="0" collapsed="false">
      <c r="A772" s="9" t="s">
        <v>315</v>
      </c>
      <c r="B772" s="34" t="n">
        <f aca="false">(B735/$B$735)/(1+Quesería!$B$46+$R$24)^B$43</f>
        <v>1</v>
      </c>
      <c r="C772" s="34" t="n">
        <f aca="false">(C735/$B$735)/(1+Quesería!$B$46+$R$24)^C$43</f>
        <v>0.84</v>
      </c>
      <c r="D772" s="34" t="n">
        <f aca="false">(D735/$B$735)/(1+Quesería!$B$46+$R$24)^D$43</f>
        <v>0.70224</v>
      </c>
      <c r="E772" s="34" t="n">
        <f aca="false">(E735/$B$735)/(1+Quesería!$B$46+$R$24)^E$43</f>
        <v>0.58426368</v>
      </c>
      <c r="F772" s="34" t="n">
        <f aca="false">(F735/$B$735)/(1+Quesería!$B$46+$R$24)^F$43</f>
        <v>0.48610738176</v>
      </c>
      <c r="G772" s="34" t="n">
        <f aca="false">(G735/$B$735)/(1+Quesería!$B$46+$R$24)^G$43</f>
        <v>0.40444134162432</v>
      </c>
      <c r="H772" s="34" t="n">
        <f aca="false">(H735/$B$735)/(1+Quesería!$B$46+$R$24)^H$43</f>
        <v>0.336495196231434</v>
      </c>
      <c r="I772" s="34" t="n">
        <f aca="false">(I735/$B$735)/(1+Quesería!$B$46+$R$24)^I$43</f>
        <v>0.279964003264553</v>
      </c>
      <c r="J772" s="34" t="n">
        <f aca="false">(J735/$B$735)/(1+Quesería!$B$46+$R$24)^J$43</f>
        <v>0.232930050716108</v>
      </c>
      <c r="K772" s="34" t="n">
        <f aca="false">(K735/$B$735)/(1+Quesería!$B$46+$R$24)^K$43</f>
        <v>0.193797802195802</v>
      </c>
      <c r="L772" s="34" t="n">
        <f aca="false">(L735/$B$735)/(1+Quesería!$B$46+$R$24)^L$43</f>
        <v>0.161239771426907</v>
      </c>
    </row>
    <row r="773" customFormat="false" ht="15" hidden="false" customHeight="false" outlineLevel="0" collapsed="false">
      <c r="A773" s="9" t="s">
        <v>316</v>
      </c>
      <c r="B773" s="36" t="n">
        <f aca="false">B755+B738+B740+B769</f>
        <v>60.9532547375949</v>
      </c>
      <c r="C773" s="36" t="n">
        <f aca="false">C755+C738+C740+C769</f>
        <v>371.834203503619</v>
      </c>
      <c r="D773" s="36" t="n">
        <f aca="false">D755+D738+D740+D769</f>
        <v>385.962025250776</v>
      </c>
      <c r="E773" s="36" t="n">
        <f aca="false">E755+E738+E740+E769</f>
        <v>289.948314049541</v>
      </c>
      <c r="F773" s="36" t="n">
        <f aca="false">F755+F738+F740+F769</f>
        <v>282.634502070445</v>
      </c>
      <c r="G773" s="36" t="n">
        <f aca="false">G755+G738+G740+G769</f>
        <v>246.747216684876</v>
      </c>
      <c r="H773" s="36" t="n">
        <f aca="false">H755+H738+H740+H769</f>
        <v>232.070195933529</v>
      </c>
      <c r="I773" s="36" t="n">
        <f aca="false">I755+I738+I740+I769</f>
        <v>263.659391481775</v>
      </c>
      <c r="J773" s="36" t="n">
        <f aca="false">J755+J738+J740+J769</f>
        <v>249.828283696366</v>
      </c>
      <c r="K773" s="36" t="n">
        <f aca="false">K755+K738+K740+K769</f>
        <v>245.743059483011</v>
      </c>
      <c r="L773" s="36" t="n">
        <f aca="false">L755+L738+L740+L769</f>
        <v>315.858759456126</v>
      </c>
    </row>
    <row r="774" customFormat="false" ht="15" hidden="false" customHeight="false" outlineLevel="0" collapsed="false">
      <c r="A774" s="5" t="s">
        <v>317</v>
      </c>
      <c r="B774" s="12" t="str">
        <f aca="false">IF(AND(B$43&gt;=1,(B765+B766+B767)&gt;0.001),B773/(B765+B766+B767),"")</f>
        <v/>
      </c>
      <c r="C774" s="12" t="n">
        <f aca="false">IF(AND(C$43&gt;=1,(C765+C766+C767)&gt;0.001),C773/(C765+C766+C767),"")</f>
        <v>5.70926875835502</v>
      </c>
      <c r="D774" s="12" t="n">
        <f aca="false">IF(AND(D$43&gt;=1,(D765+D766+D767)&gt;0.001),D773/(D765+D766+D767),"")</f>
        <v>1.96572429256008</v>
      </c>
      <c r="E774" s="12" t="n">
        <f aca="false">IF(AND(E$43&gt;=1,(E765+E766+E767)&gt;0.001),E773/(E765+E766+E767),"")</f>
        <v>1.16879107523402</v>
      </c>
      <c r="F774" s="12" t="n">
        <f aca="false">IF(AND(F$43&gt;=1,(F765+F766+F767)&gt;0.001),F773/(F765+F766+F767),"")</f>
        <v>1.29367878418383</v>
      </c>
      <c r="G774" s="12" t="n">
        <f aca="false">IF(AND(G$43&gt;=1,(G765+G766+G767)&gt;0.001),G773/(G765+G766+G767),"")</f>
        <v>1.29334879888123</v>
      </c>
      <c r="H774" s="12" t="n">
        <f aca="false">IF(AND(H$43&gt;=1,(H765+H766+H767)&gt;0.001),H773/(H765+H766+H767),"")</f>
        <v>1.40736648295871</v>
      </c>
      <c r="I774" s="12" t="n">
        <f aca="false">IF(AND(I$43&gt;=1,(I765+I766+I767)&gt;0.001),I773/(I765+I766+I767),"")</f>
        <v>1.8736344793279</v>
      </c>
      <c r="J774" s="12" t="n">
        <f aca="false">IF(AND(J$43&gt;=1,(J765+J766+J767)&gt;0.001),J773/(J765+J766+J767),"")</f>
        <v>3.79259307883403</v>
      </c>
      <c r="K774" s="12" t="str">
        <f aca="false">IF(AND(K$43&gt;=1,(K765+K766+K767)&gt;0.001),K773/(K765+K766+K767),"")</f>
        <v/>
      </c>
      <c r="L774" s="12" t="str">
        <f aca="false">IF(AND(L$43&gt;=1,(L765+L766+L767)&gt;0.001),L773/(L765+L766+L767),"")</f>
        <v/>
      </c>
    </row>
    <row r="776" customFormat="false" ht="15" hidden="false" customHeight="false" outlineLevel="0" collapsed="false">
      <c r="A776" s="66" t="s">
        <v>643</v>
      </c>
      <c r="B776" s="67"/>
      <c r="C776" s="67"/>
      <c r="D776" s="67"/>
      <c r="E776" s="67"/>
      <c r="F776" s="67"/>
      <c r="G776" s="67"/>
      <c r="H776" s="67"/>
      <c r="I776" s="67"/>
      <c r="J776" s="67"/>
      <c r="K776" s="67"/>
      <c r="L776" s="67"/>
    </row>
    <row r="777" customFormat="false" ht="15" hidden="false" customHeight="false" outlineLevel="0" collapsed="false">
      <c r="A777" s="9" t="s">
        <v>281</v>
      </c>
      <c r="B777" s="33" t="n">
        <f aca="false">CHOOSE($S$15,Entorno!B$7,Entorno!B$8,Entorno!B$9)</f>
        <v>0.06</v>
      </c>
      <c r="C777" s="33" t="n">
        <f aca="false">CHOOSE($S$15,Entorno!C$7,Entorno!C$8,Entorno!C$9)</f>
        <v>0.05</v>
      </c>
      <c r="D777" s="33" t="n">
        <f aca="false">CHOOSE($S$15,Entorno!D$7,Entorno!D$8,Entorno!D$9)</f>
        <v>0.045</v>
      </c>
      <c r="E777" s="33" t="n">
        <f aca="false">CHOOSE($S$15,Entorno!E$7,Entorno!E$8,Entorno!E$9)</f>
        <v>0.04</v>
      </c>
      <c r="F777" s="33" t="n">
        <f aca="false">CHOOSE($S$15,Entorno!F$7,Entorno!F$8,Entorno!F$9)</f>
        <v>0.04</v>
      </c>
      <c r="G777" s="33" t="n">
        <f aca="false">CHOOSE($S$15,Entorno!G$7,Entorno!G$8,Entorno!G$9)</f>
        <v>0.04</v>
      </c>
      <c r="H777" s="33" t="n">
        <f aca="false">CHOOSE($S$15,Entorno!H$7,Entorno!H$8,Entorno!H$9)</f>
        <v>0.04</v>
      </c>
      <c r="I777" s="33" t="n">
        <f aca="false">CHOOSE($S$15,Entorno!I$7,Entorno!I$8,Entorno!I$9)</f>
        <v>0.04</v>
      </c>
      <c r="J777" s="33" t="n">
        <f aca="false">CHOOSE($S$15,Entorno!J$7,Entorno!J$8,Entorno!J$9)</f>
        <v>0.04</v>
      </c>
      <c r="K777" s="33" t="n">
        <f aca="false">CHOOSE($S$15,Entorno!K$7,Entorno!K$8,Entorno!K$9)</f>
        <v>0.04</v>
      </c>
      <c r="L777" s="33" t="n">
        <f aca="false">CHOOSE($S$15,Entorno!L$7,Entorno!L$8,Entorno!L$9)</f>
        <v>0.04</v>
      </c>
    </row>
    <row r="778" customFormat="false" ht="15" hidden="false" customHeight="false" outlineLevel="0" collapsed="false">
      <c r="A778" s="9" t="s">
        <v>282</v>
      </c>
      <c r="B778" s="34" t="n">
        <f aca="false">1+B777</f>
        <v>1.06</v>
      </c>
      <c r="C778" s="34" t="n">
        <f aca="false">B778*(1+C777)</f>
        <v>1.113</v>
      </c>
      <c r="D778" s="34" t="n">
        <f aca="false">C778*(1+D777)</f>
        <v>1.163085</v>
      </c>
      <c r="E778" s="34" t="n">
        <f aca="false">D778*(1+E777)</f>
        <v>1.2096084</v>
      </c>
      <c r="F778" s="34" t="n">
        <f aca="false">E778*(1+F777)</f>
        <v>1.257992736</v>
      </c>
      <c r="G778" s="34" t="n">
        <f aca="false">F778*(1+G777)</f>
        <v>1.30831244544</v>
      </c>
      <c r="H778" s="34" t="n">
        <f aca="false">G778*(1+H777)</f>
        <v>1.3606449432576</v>
      </c>
      <c r="I778" s="34" t="n">
        <f aca="false">H778*(1+I777)</f>
        <v>1.4150707409879</v>
      </c>
      <c r="J778" s="34" t="n">
        <f aca="false">I778*(1+J777)</f>
        <v>1.47167357062742</v>
      </c>
      <c r="K778" s="34" t="n">
        <f aca="false">J778*(1+K777)</f>
        <v>1.53054051345252</v>
      </c>
      <c r="L778" s="34" t="n">
        <f aca="false">K778*(1+L777)</f>
        <v>1.59176213399062</v>
      </c>
    </row>
    <row r="779" customFormat="false" ht="15" hidden="false" customHeight="false" outlineLevel="0" collapsed="false">
      <c r="A779" s="9" t="s">
        <v>283</v>
      </c>
      <c r="B779" s="34" t="n">
        <f aca="false">(1+$S$16)/(1+B777)</f>
        <v>1.02358490566038</v>
      </c>
      <c r="C779" s="34" t="n">
        <f aca="false">B779*(1+Entorno!$B$13)</f>
        <v>1.02870283018868</v>
      </c>
      <c r="D779" s="34" t="n">
        <f aca="false">C779*(1+Entorno!$B$13)</f>
        <v>1.03384634433962</v>
      </c>
      <c r="E779" s="34" t="n">
        <f aca="false">D779*(1+Entorno!$B$13)</f>
        <v>1.03901557606132</v>
      </c>
      <c r="F779" s="34" t="n">
        <f aca="false">E779*(1+Entorno!$B$13)</f>
        <v>1.04421065394163</v>
      </c>
      <c r="G779" s="34" t="n">
        <f aca="false">F779*(1+Entorno!$B$13)</f>
        <v>1.04943170721133</v>
      </c>
      <c r="H779" s="34" t="n">
        <f aca="false">G779*(1+Entorno!$B$13)</f>
        <v>1.05467886574739</v>
      </c>
      <c r="I779" s="34" t="n">
        <f aca="false">H779*(1+Entorno!$B$13)</f>
        <v>1.05995226007613</v>
      </c>
      <c r="J779" s="34" t="n">
        <f aca="false">I779*(1+Entorno!$B$13)</f>
        <v>1.06525202137651</v>
      </c>
      <c r="K779" s="34" t="n">
        <f aca="false">J779*(1+Entorno!$B$13)</f>
        <v>1.07057828148339</v>
      </c>
      <c r="L779" s="34" t="n">
        <f aca="false">K779*(1+Entorno!$B$13)</f>
        <v>1.07593117289081</v>
      </c>
    </row>
    <row r="780" customFormat="false" ht="15" hidden="false" customHeight="false" outlineLevel="0" collapsed="false">
      <c r="A780" s="9" t="s">
        <v>284</v>
      </c>
      <c r="B780" s="34" t="n">
        <f aca="false">1/B778</f>
        <v>0.943396226415094</v>
      </c>
      <c r="C780" s="34" t="n">
        <f aca="false">1/C778</f>
        <v>0.898472596585804</v>
      </c>
      <c r="D780" s="34" t="n">
        <f aca="false">1/D778</f>
        <v>0.859782389077324</v>
      </c>
      <c r="E780" s="34" t="n">
        <f aca="false">1/E778</f>
        <v>0.826713835651273</v>
      </c>
      <c r="F780" s="34" t="n">
        <f aca="false">1/F778</f>
        <v>0.794917149664686</v>
      </c>
      <c r="G780" s="34" t="n">
        <f aca="false">1/G778</f>
        <v>0.764343413139121</v>
      </c>
      <c r="H780" s="34" t="n">
        <f aca="false">1/H778</f>
        <v>0.734945589556847</v>
      </c>
      <c r="I780" s="34" t="n">
        <f aca="false">1/I778</f>
        <v>0.706678451496968</v>
      </c>
      <c r="J780" s="34" t="n">
        <f aca="false">1/J778</f>
        <v>0.679498511054777</v>
      </c>
      <c r="K780" s="34" t="n">
        <f aca="false">1/K778</f>
        <v>0.653363952937286</v>
      </c>
      <c r="L780" s="34" t="n">
        <f aca="false">1/L778</f>
        <v>0.628234570132006</v>
      </c>
    </row>
    <row r="781" customFormat="false" ht="15" hidden="false" customHeight="false" outlineLevel="0" collapsed="false">
      <c r="A781" s="6" t="s">
        <v>202</v>
      </c>
      <c r="B781" s="35" t="n">
        <f aca="false">IF(B$43=0,Quesería!$F$80,IF(B$43=1,Quesería!$F$81*$S$21,0))*$S$11</f>
        <v>622.243624322401</v>
      </c>
      <c r="C781" s="35" t="n">
        <f aca="false">IF(C$43=0,Quesería!$F$80,IF(C$43=1,Quesería!$F$81*$S$21,0))*$S$11</f>
        <v>645.270088578622</v>
      </c>
      <c r="D781" s="35" t="n">
        <f aca="false">IF(D$43=0,Quesería!$F$80,IF(D$43=1,Quesería!$F$81*$S$21,0))*$S$11</f>
        <v>0</v>
      </c>
      <c r="E781" s="35" t="n">
        <f aca="false">IF(E$43=0,Quesería!$F$80,IF(E$43=1,Quesería!$F$81*$S$21,0))*$S$11</f>
        <v>0</v>
      </c>
      <c r="F781" s="35" t="n">
        <f aca="false">IF(F$43=0,Quesería!$F$80,IF(F$43=1,Quesería!$F$81*$S$21,0))*$S$11</f>
        <v>0</v>
      </c>
      <c r="G781" s="35" t="n">
        <f aca="false">IF(G$43=0,Quesería!$F$80,IF(G$43=1,Quesería!$F$81*$S$21,0))*$S$11</f>
        <v>0</v>
      </c>
      <c r="H781" s="35" t="n">
        <f aca="false">IF(H$43=0,Quesería!$F$80,IF(H$43=1,Quesería!$F$81*$S$21,0))*$S$11</f>
        <v>0</v>
      </c>
      <c r="I781" s="35" t="n">
        <f aca="false">IF(I$43=0,Quesería!$F$80,IF(I$43=1,Quesería!$F$81*$S$21,0))*$S$11</f>
        <v>0</v>
      </c>
      <c r="J781" s="35" t="n">
        <f aca="false">IF(J$43=0,Quesería!$F$80,IF(J$43=1,Quesería!$F$81*$S$21,0))*$S$11</f>
        <v>0</v>
      </c>
      <c r="K781" s="35" t="n">
        <f aca="false">IF(K$43=0,Quesería!$F$80,IF(K$43=1,Quesería!$F$81*$S$21,0))*$S$11</f>
        <v>0</v>
      </c>
      <c r="L781" s="35" t="n">
        <f aca="false">IF(L$43=0,Quesería!$F$80,IF(L$43=1,Quesería!$F$81*$S$21,0))*$S$11</f>
        <v>0</v>
      </c>
    </row>
    <row r="782" customFormat="false" ht="15" hidden="false" customHeight="false" outlineLevel="0" collapsed="false">
      <c r="A782" s="6" t="s">
        <v>285</v>
      </c>
      <c r="B782" s="35" t="n">
        <f aca="false">IF(B$43=5,Quesería!$F$87,IF(B$43=6,Quesería!$F$88,0))*$S$11</f>
        <v>0</v>
      </c>
      <c r="C782" s="35" t="n">
        <f aca="false">IF(C$43=5,Quesería!$F$87,IF(C$43=6,Quesería!$F$88,0))*$S$11</f>
        <v>0</v>
      </c>
      <c r="D782" s="35" t="n">
        <f aca="false">IF(D$43=5,Quesería!$F$87,IF(D$43=6,Quesería!$F$88,0))*$S$11</f>
        <v>0</v>
      </c>
      <c r="E782" s="35" t="n">
        <f aca="false">IF(E$43=5,Quesería!$F$87,IF(E$43=6,Quesería!$F$88,0))*$S$11</f>
        <v>0</v>
      </c>
      <c r="F782" s="35" t="n">
        <f aca="false">IF(F$43=5,Quesería!$F$87,IF(F$43=6,Quesería!$F$88,0))*$S$11</f>
        <v>0</v>
      </c>
      <c r="G782" s="35" t="n">
        <f aca="false">IF(G$43=5,Quesería!$F$87,IF(G$43=6,Quesería!$F$88,0))*$S$11</f>
        <v>26.6666666666667</v>
      </c>
      <c r="H782" s="35" t="n">
        <f aca="false">IF(H$43=5,Quesería!$F$87,IF(H$43=6,Quesería!$F$88,0))*$S$11</f>
        <v>35.3045530566667</v>
      </c>
      <c r="I782" s="35" t="n">
        <f aca="false">IF(I$43=5,Quesería!$F$87,IF(I$43=6,Quesería!$F$88,0))*$S$11</f>
        <v>0</v>
      </c>
      <c r="J782" s="35" t="n">
        <f aca="false">IF(J$43=5,Quesería!$F$87,IF(J$43=6,Quesería!$F$88,0))*$S$11</f>
        <v>0</v>
      </c>
      <c r="K782" s="35" t="n">
        <f aca="false">IF(K$43=5,Quesería!$F$87,IF(K$43=6,Quesería!$F$88,0))*$S$11</f>
        <v>0</v>
      </c>
      <c r="L782" s="35" t="n">
        <f aca="false">IF(L$43=5,Quesería!$F$87,IF(L$43=6,Quesería!$F$88,0))*$S$11</f>
        <v>0</v>
      </c>
    </row>
    <row r="783" customFormat="false" ht="15" hidden="false" customHeight="false" outlineLevel="0" collapsed="false">
      <c r="A783" s="6" t="s">
        <v>286</v>
      </c>
      <c r="B783" s="35" t="n">
        <f aca="false">Quesería!$B$36*(IF(B$43=0,SUMPRODUCT((Quesería!$C$62:$C$77=0)*(Quesería!$H$62:$H$77&gt;0)*(Quesería!$J$62:$J$77&gt;0)*Quesería!$F$62:$F$77*(1+Quesería!$I$62:$I$77)),IF(B$43=1,SUMPRODUCT((Quesería!$C$62:$C$77=1)*(Quesería!$H$62:$H$77&gt;0)*(Quesería!$J$62:$J$77&gt;0)*Quesería!$F$62:$F$77*(1+Quesería!$I$62:$I$77))*$S$21,0))*$S$11+B782)</f>
        <v>99.347875488093</v>
      </c>
      <c r="C783" s="35" t="n">
        <f aca="false">Quesería!$B$36*(IF(C$43=0,SUMPRODUCT((Quesería!$C$62:$C$77=0)*(Quesería!$H$62:$H$77&gt;0)*(Quesería!$J$62:$J$77&gt;0)*Quesería!$F$62:$F$77*(1+Quesería!$I$62:$I$77)),IF(C$43=1,SUMPRODUCT((Quesería!$C$62:$C$77=1)*(Quesería!$H$62:$H$77&gt;0)*(Quesería!$J$62:$J$77&gt;0)*Quesería!$F$62:$F$77*(1+Quesería!$I$62:$I$77))*$S$21,0))*$S$11+C782)</f>
        <v>122.601316829938</v>
      </c>
      <c r="D783" s="35" t="n">
        <f aca="false">Quesería!$B$36*(IF(D$43=0,SUMPRODUCT((Quesería!$C$62:$C$77=0)*(Quesería!$H$62:$H$77&gt;0)*(Quesería!$J$62:$J$77&gt;0)*Quesería!$F$62:$F$77*(1+Quesería!$I$62:$I$77)),IF(D$43=1,SUMPRODUCT((Quesería!$C$62:$C$77=1)*(Quesería!$H$62:$H$77&gt;0)*(Quesería!$J$62:$J$77&gt;0)*Quesería!$F$62:$F$77*(1+Quesería!$I$62:$I$77))*$S$21,0))*$S$11+D782)</f>
        <v>0</v>
      </c>
      <c r="E783" s="35" t="n">
        <f aca="false">Quesería!$B$36*(IF(E$43=0,SUMPRODUCT((Quesería!$C$62:$C$77=0)*(Quesería!$H$62:$H$77&gt;0)*(Quesería!$J$62:$J$77&gt;0)*Quesería!$F$62:$F$77*(1+Quesería!$I$62:$I$77)),IF(E$43=1,SUMPRODUCT((Quesería!$C$62:$C$77=1)*(Quesería!$H$62:$H$77&gt;0)*(Quesería!$J$62:$J$77&gt;0)*Quesería!$F$62:$F$77*(1+Quesería!$I$62:$I$77))*$S$21,0))*$S$11+E782)</f>
        <v>0</v>
      </c>
      <c r="F783" s="35" t="n">
        <f aca="false">Quesería!$B$36*(IF(F$43=0,SUMPRODUCT((Quesería!$C$62:$C$77=0)*(Quesería!$H$62:$H$77&gt;0)*(Quesería!$J$62:$J$77&gt;0)*Quesería!$F$62:$F$77*(1+Quesería!$I$62:$I$77)),IF(F$43=1,SUMPRODUCT((Quesería!$C$62:$C$77=1)*(Quesería!$H$62:$H$77&gt;0)*(Quesería!$J$62:$J$77&gt;0)*Quesería!$F$62:$F$77*(1+Quesería!$I$62:$I$77))*$S$21,0))*$S$11+F782)</f>
        <v>0</v>
      </c>
      <c r="G783" s="35" t="n">
        <f aca="false">Quesería!$B$36*(IF(G$43=0,SUMPRODUCT((Quesería!$C$62:$C$77=0)*(Quesería!$H$62:$H$77&gt;0)*(Quesería!$J$62:$J$77&gt;0)*Quesería!$F$62:$F$77*(1+Quesería!$I$62:$I$77)),IF(G$43=1,SUMPRODUCT((Quesería!$C$62:$C$77=1)*(Quesería!$H$62:$H$77&gt;0)*(Quesería!$J$62:$J$77&gt;0)*Quesería!$F$62:$F$77*(1+Quesería!$I$62:$I$77))*$S$21,0))*$S$11+G782)</f>
        <v>5.06666666666667</v>
      </c>
      <c r="H783" s="35" t="n">
        <f aca="false">Quesería!$B$36*(IF(H$43=0,SUMPRODUCT((Quesería!$C$62:$C$77=0)*(Quesería!$H$62:$H$77&gt;0)*(Quesería!$J$62:$J$77&gt;0)*Quesería!$F$62:$F$77*(1+Quesería!$I$62:$I$77)),IF(H$43=1,SUMPRODUCT((Quesería!$C$62:$C$77=1)*(Quesería!$H$62:$H$77&gt;0)*(Quesería!$J$62:$J$77&gt;0)*Quesería!$F$62:$F$77*(1+Quesería!$I$62:$I$77))*$S$21,0))*$S$11+H782)</f>
        <v>6.70786508076667</v>
      </c>
      <c r="I783" s="35" t="n">
        <f aca="false">Quesería!$B$36*(IF(I$43=0,SUMPRODUCT((Quesería!$C$62:$C$77=0)*(Quesería!$H$62:$H$77&gt;0)*(Quesería!$J$62:$J$77&gt;0)*Quesería!$F$62:$F$77*(1+Quesería!$I$62:$I$77)),IF(I$43=1,SUMPRODUCT((Quesería!$C$62:$C$77=1)*(Quesería!$H$62:$H$77&gt;0)*(Quesería!$J$62:$J$77&gt;0)*Quesería!$F$62:$F$77*(1+Quesería!$I$62:$I$77))*$S$21,0))*$S$11+I782)</f>
        <v>0</v>
      </c>
      <c r="J783" s="35" t="n">
        <f aca="false">Quesería!$B$36*(IF(J$43=0,SUMPRODUCT((Quesería!$C$62:$C$77=0)*(Quesería!$H$62:$H$77&gt;0)*(Quesería!$J$62:$J$77&gt;0)*Quesería!$F$62:$F$77*(1+Quesería!$I$62:$I$77)),IF(J$43=1,SUMPRODUCT((Quesería!$C$62:$C$77=1)*(Quesería!$H$62:$H$77&gt;0)*(Quesería!$J$62:$J$77&gt;0)*Quesería!$F$62:$F$77*(1+Quesería!$I$62:$I$77))*$S$21,0))*$S$11+J782)</f>
        <v>0</v>
      </c>
      <c r="K783" s="35" t="n">
        <f aca="false">Quesería!$B$36*(IF(K$43=0,SUMPRODUCT((Quesería!$C$62:$C$77=0)*(Quesería!$H$62:$H$77&gt;0)*(Quesería!$J$62:$J$77&gt;0)*Quesería!$F$62:$F$77*(1+Quesería!$I$62:$I$77)),IF(K$43=1,SUMPRODUCT((Quesería!$C$62:$C$77=1)*(Quesería!$H$62:$H$77&gt;0)*(Quesería!$J$62:$J$77&gt;0)*Quesería!$F$62:$F$77*(1+Quesería!$I$62:$I$77))*$S$21,0))*$S$11+K782)</f>
        <v>0</v>
      </c>
      <c r="L783" s="35" t="n">
        <f aca="false">Quesería!$B$36*(IF(L$43=0,SUMPRODUCT((Quesería!$C$62:$C$77=0)*(Quesería!$H$62:$H$77&gt;0)*(Quesería!$J$62:$J$77&gt;0)*Quesería!$F$62:$F$77*(1+Quesería!$I$62:$I$77)),IF(L$43=1,SUMPRODUCT((Quesería!$C$62:$C$77=1)*(Quesería!$H$62:$H$77&gt;0)*(Quesería!$J$62:$J$77&gt;0)*Quesería!$F$62:$F$77*(1+Quesería!$I$62:$I$77))*$S$21,0))*$S$11+L782)</f>
        <v>0</v>
      </c>
    </row>
    <row r="784" customFormat="false" ht="15" hidden="false" customHeight="false" outlineLevel="0" collapsed="false">
      <c r="A784" s="6" t="s">
        <v>260</v>
      </c>
      <c r="B784" s="35" t="n">
        <f aca="false">IF(B$43=0,($S$22*Quesería!$J$109+(1-$S$22)*Quesería!$E$105)*Quesería!$B$12*Quesería!$B$13/12*$S$23,(($S$22*Quesería!$J$109+(1-$S$22)*Quesería!$E$105)+($S$22*Quesería!$J$92+(1-$S$22)*Quesería!$E$92)*(B779-1))*IF(B$43=1,Quesería!$B$12,1))*$S$10</f>
        <v>45.6373732102639</v>
      </c>
      <c r="C784" s="35" t="n">
        <f aca="false">IF(C$43=0,($S$22*Quesería!$J$109+(1-$S$22)*Quesería!$E$105)*Quesería!$B$12*Quesería!$B$13/12*$S$23,(($S$22*Quesería!$J$109+(1-$S$22)*Quesería!$E$105)+($S$22*Quesería!$J$92+(1-$S$22)*Quesería!$E$92)*(C779-1))*IF(C$43=1,Quesería!$B$12,1))*$S$10</f>
        <v>137.165278593056</v>
      </c>
      <c r="D784" s="35" t="n">
        <f aca="false">IF(D$43=0,($S$22*Quesería!$J$109+(1-$S$22)*Quesería!$E$105)*Quesería!$B$12*Quesería!$B$13/12*$S$23,(($S$22*Quesería!$J$109+(1-$S$22)*Quesería!$E$105)+($S$22*Quesería!$J$92+(1-$S$22)*Quesería!$E$92)*(D779-1))*IF(D$43=1,Quesería!$B$12,1))*$S$10</f>
        <v>182.947525850489</v>
      </c>
      <c r="E784" s="35" t="n">
        <f aca="false">IF(E$43=0,($S$22*Quesería!$J$109+(1-$S$22)*Quesería!$E$105)*Quesería!$B$12*Quesería!$B$13/12*$S$23,(($S$22*Quesería!$J$109+(1-$S$22)*Quesería!$E$105)+($S$22*Quesería!$J$92+(1-$S$22)*Quesería!$E$92)*(E779-1))*IF(E$43=1,Quesería!$B$12,1))*$S$10</f>
        <v>183.008316015537</v>
      </c>
      <c r="F784" s="35" t="n">
        <f aca="false">IF(F$43=0,($S$22*Quesería!$J$109+(1-$S$22)*Quesería!$E$105)*Quesería!$B$12*Quesería!$B$13/12*$S$23,(($S$22*Quesería!$J$109+(1-$S$22)*Quesería!$E$105)+($S$22*Quesería!$J$92+(1-$S$22)*Quesería!$E$92)*(F779-1))*IF(F$43=1,Quesería!$B$12,1))*$S$10</f>
        <v>183.069410131409</v>
      </c>
      <c r="G784" s="35" t="n">
        <f aca="false">IF(G$43=0,($S$22*Quesería!$J$109+(1-$S$22)*Quesería!$E$105)*Quesería!$B$12*Quesería!$B$13/12*$S$23,(($S$22*Quesería!$J$109+(1-$S$22)*Quesería!$E$105)+($S$22*Quesería!$J$92+(1-$S$22)*Quesería!$E$92)*(G779-1))*IF(G$43=1,Quesería!$B$12,1))*$S$10</f>
        <v>183.130809717861</v>
      </c>
      <c r="H784" s="35" t="n">
        <f aca="false">IF(H$43=0,($S$22*Quesería!$J$109+(1-$S$22)*Quesería!$E$105)*Quesería!$B$12*Quesería!$B$13/12*$S$23,(($S$22*Quesería!$J$109+(1-$S$22)*Quesería!$E$105)+($S$22*Quesería!$J$92+(1-$S$22)*Quesería!$E$92)*(H779-1))*IF(H$43=1,Quesería!$B$12,1))*$S$10</f>
        <v>183.192516302245</v>
      </c>
      <c r="I784" s="35" t="n">
        <f aca="false">IF(I$43=0,($S$22*Quesería!$J$109+(1-$S$22)*Quesería!$E$105)*Quesería!$B$12*Quesería!$B$13/12*$S$23,(($S$22*Quesería!$J$109+(1-$S$22)*Quesería!$E$105)+($S$22*Quesería!$J$92+(1-$S$22)*Quesería!$E$92)*(I779-1))*IF(I$43=1,Quesería!$B$12,1))*$S$10</f>
        <v>183.254531419551</v>
      </c>
      <c r="J784" s="35" t="n">
        <f aca="false">IF(J$43=0,($S$22*Quesería!$J$109+(1-$S$22)*Quesería!$E$105)*Quesería!$B$12*Quesería!$B$13/12*$S$23,(($S$22*Quesería!$J$109+(1-$S$22)*Quesería!$E$105)+($S$22*Quesería!$J$92+(1-$S$22)*Quesería!$E$92)*(J779-1))*IF(J$43=1,Quesería!$B$12,1))*$S$10</f>
        <v>183.316856612443</v>
      </c>
      <c r="K784" s="35" t="n">
        <f aca="false">IF(K$43=0,($S$22*Quesería!$J$109+(1-$S$22)*Quesería!$E$105)*Quesería!$B$12*Quesería!$B$13/12*$S$23,(($S$22*Quesería!$J$109+(1-$S$22)*Quesería!$E$105)+($S$22*Quesería!$J$92+(1-$S$22)*Quesería!$E$92)*(K779-1))*IF(K$43=1,Quesería!$B$12,1))*$S$10</f>
        <v>183.3794934313</v>
      </c>
      <c r="L784" s="35" t="n">
        <f aca="false">IF(L$43=0,($S$22*Quesería!$J$109+(1-$S$22)*Quesería!$E$105)*Quesería!$B$12*Quesería!$B$13/12*$S$23,(($S$22*Quesería!$J$109+(1-$S$22)*Quesería!$E$105)+($S$22*Quesería!$J$92+(1-$S$22)*Quesería!$E$92)*(L779-1))*IF(L$43=1,Quesería!$B$12,1))*$S$10</f>
        <v>183.442443434251</v>
      </c>
    </row>
    <row r="785" customFormat="false" ht="15" hidden="false" customHeight="false" outlineLevel="0" collapsed="false">
      <c r="A785" s="6" t="s">
        <v>261</v>
      </c>
      <c r="B785" s="35" t="n">
        <f aca="false">IF(B$43&lt;=1,0,((($S$22*Quesería!$J$110+(1-$S$22)*Quesería!$E$106)-($S$22*Quesería!$J$99+(1-$S$22)*Quesería!$E$99)+$S$6*($S$22*Quesería!$J$99+(1-$S$22)*Quesería!$E$99)-(1-$S$9)*($S$22*Quesería!$J$102+(1-$S$22)*Quesería!$E$102))+($S$6*($S$22*Quesería!$J$99+(1-$S$22)*Quesería!$E$99)+$S$9*($S$22*Quesería!$J$102+(1-$S$22)*Quesería!$E$102))*(B779-1))*IF(B$43=2,Quesería!$B$12,1)+IF(B$43=2,Quesería!$B$14*$S$9*($S$22*Quesería!$J$102+(1-$S$22)*Quesería!$E$102)*B779,0))*$S$10*$S$21</f>
        <v>0</v>
      </c>
      <c r="C785" s="35" t="n">
        <f aca="false">IF(C$43&lt;=1,0,((($S$22*Quesería!$J$110+(1-$S$22)*Quesería!$E$106)-($S$22*Quesería!$J$99+(1-$S$22)*Quesería!$E$99)+$S$6*($S$22*Quesería!$J$99+(1-$S$22)*Quesería!$E$99)-(1-$S$9)*($S$22*Quesería!$J$102+(1-$S$22)*Quesería!$E$102))+($S$6*($S$22*Quesería!$J$99+(1-$S$22)*Quesería!$E$99)+$S$9*($S$22*Quesería!$J$102+(1-$S$22)*Quesería!$E$102))*(C779-1))*IF(C$43=2,Quesería!$B$12,1)+IF(C$43=2,Quesería!$B$14*$S$9*($S$22*Quesería!$J$102+(1-$S$22)*Quesería!$E$102)*C779,0))*$S$10*$S$21</f>
        <v>0</v>
      </c>
      <c r="D785" s="35" t="n">
        <f aca="false">IF(D$43&lt;=1,0,((($S$22*Quesería!$J$110+(1-$S$22)*Quesería!$E$106)-($S$22*Quesería!$J$99+(1-$S$22)*Quesería!$E$99)+$S$6*($S$22*Quesería!$J$99+(1-$S$22)*Quesería!$E$99)-(1-$S$9)*($S$22*Quesería!$J$102+(1-$S$22)*Quesería!$E$102))+($S$6*($S$22*Quesería!$J$99+(1-$S$22)*Quesería!$E$99)+$S$9*($S$22*Quesería!$J$102+(1-$S$22)*Quesería!$E$102))*(D779-1))*IF(D$43=2,Quesería!$B$12,1)+IF(D$43=2,Quesería!$B$14*$S$9*($S$22*Quesería!$J$102+(1-$S$22)*Quesería!$E$102)*D779,0))*$S$10*$S$21</f>
        <v>197.837804186257</v>
      </c>
      <c r="E785" s="35" t="n">
        <f aca="false">IF(E$43&lt;=1,0,((($S$22*Quesería!$J$110+(1-$S$22)*Quesería!$E$106)-($S$22*Quesería!$J$99+(1-$S$22)*Quesería!$E$99)+$S$6*($S$22*Quesería!$J$99+(1-$S$22)*Quesería!$E$99)-(1-$S$9)*($S$22*Quesería!$J$102+(1-$S$22)*Quesería!$E$102))+($S$6*($S$22*Quesería!$J$99+(1-$S$22)*Quesería!$E$99)+$S$9*($S$22*Quesería!$J$102+(1-$S$22)*Quesería!$E$102))*(E779-1))*IF(E$43=2,Quesería!$B$12,1)+IF(E$43=2,Quesería!$B$14*$S$9*($S$22*Quesería!$J$102+(1-$S$22)*Quesería!$E$102)*E779,0))*$S$10*$S$21</f>
        <v>234.441939047038</v>
      </c>
      <c r="F785" s="35" t="n">
        <f aca="false">IF(F$43&lt;=1,0,((($S$22*Quesería!$J$110+(1-$S$22)*Quesería!$E$106)-($S$22*Quesería!$J$99+(1-$S$22)*Quesería!$E$99)+$S$6*($S$22*Quesería!$J$99+(1-$S$22)*Quesería!$E$99)-(1-$S$9)*($S$22*Quesería!$J$102+(1-$S$22)*Quesería!$E$102))+($S$6*($S$22*Quesería!$J$99+(1-$S$22)*Quesería!$E$99)+$S$9*($S$22*Quesería!$J$102+(1-$S$22)*Quesería!$E$102))*(F779-1))*IF(F$43=2,Quesería!$B$12,1)+IF(F$43=2,Quesería!$B$14*$S$9*($S$22*Quesería!$J$102+(1-$S$22)*Quesería!$E$102)*F779,0))*$S$10*$S$21</f>
        <v>234.877078770292</v>
      </c>
      <c r="G785" s="35" t="n">
        <f aca="false">IF(G$43&lt;=1,0,((($S$22*Quesería!$J$110+(1-$S$22)*Quesería!$E$106)-($S$22*Quesería!$J$99+(1-$S$22)*Quesería!$E$99)+$S$6*($S$22*Quesería!$J$99+(1-$S$22)*Quesería!$E$99)-(1-$S$9)*($S$22*Quesería!$J$102+(1-$S$22)*Quesería!$E$102))+($S$6*($S$22*Quesería!$J$99+(1-$S$22)*Quesería!$E$99)+$S$9*($S$22*Quesería!$J$102+(1-$S$22)*Quesería!$E$102))*(G779-1))*IF(G$43=2,Quesería!$B$12,1)+IF(G$43=2,Quesería!$B$14*$S$9*($S$22*Quesería!$J$102+(1-$S$22)*Quesería!$E$102)*G779,0))*$S$10*$S$21</f>
        <v>235.314394192163</v>
      </c>
      <c r="H785" s="35" t="n">
        <f aca="false">IF(H$43&lt;=1,0,((($S$22*Quesería!$J$110+(1-$S$22)*Quesería!$E$106)-($S$22*Quesería!$J$99+(1-$S$22)*Quesería!$E$99)+$S$6*($S$22*Quesería!$J$99+(1-$S$22)*Quesería!$E$99)-(1-$S$9)*($S$22*Quesería!$J$102+(1-$S$22)*Quesería!$E$102))+($S$6*($S$22*Quesería!$J$99+(1-$S$22)*Quesería!$E$99)+$S$9*($S$22*Quesería!$J$102+(1-$S$22)*Quesería!$E$102))*(H779-1))*IF(H$43=2,Quesería!$B$12,1)+IF(H$43=2,Quesería!$B$14*$S$9*($S$22*Quesería!$J$102+(1-$S$22)*Quesería!$E$102)*H779,0))*$S$10*$S$21</f>
        <v>235.753896191143</v>
      </c>
      <c r="I785" s="35" t="n">
        <f aca="false">IF(I$43&lt;=1,0,((($S$22*Quesería!$J$110+(1-$S$22)*Quesería!$E$106)-($S$22*Quesería!$J$99+(1-$S$22)*Quesería!$E$99)+$S$6*($S$22*Quesería!$J$99+(1-$S$22)*Quesería!$E$99)-(1-$S$9)*($S$22*Quesería!$J$102+(1-$S$22)*Quesería!$E$102))+($S$6*($S$22*Quesería!$J$99+(1-$S$22)*Quesería!$E$99)+$S$9*($S$22*Quesería!$J$102+(1-$S$22)*Quesería!$E$102))*(I779-1))*IF(I$43=2,Quesería!$B$12,1)+IF(I$43=2,Quesería!$B$14*$S$9*($S$22*Quesería!$J$102+(1-$S$22)*Quesería!$E$102)*I779,0))*$S$10*$S$21</f>
        <v>236.195595700118</v>
      </c>
      <c r="J785" s="35" t="n">
        <f aca="false">IF(J$43&lt;=1,0,((($S$22*Quesería!$J$110+(1-$S$22)*Quesería!$E$106)-($S$22*Quesería!$J$99+(1-$S$22)*Quesería!$E$99)+$S$6*($S$22*Quesería!$J$99+(1-$S$22)*Quesería!$E$99)-(1-$S$9)*($S$22*Quesería!$J$102+(1-$S$22)*Quesería!$E$102))+($S$6*($S$22*Quesería!$J$99+(1-$S$22)*Quesería!$E$99)+$S$9*($S$22*Quesería!$J$102+(1-$S$22)*Quesería!$E$102))*(J779-1))*IF(J$43=2,Quesería!$B$12,1)+IF(J$43=2,Quesería!$B$14*$S$9*($S$22*Quesería!$J$102+(1-$S$22)*Quesería!$E$102)*J779,0))*$S$10*$S$21</f>
        <v>236.639503706638</v>
      </c>
      <c r="K785" s="35" t="n">
        <f aca="false">IF(K$43&lt;=1,0,((($S$22*Quesería!$J$110+(1-$S$22)*Quesería!$E$106)-($S$22*Quesería!$J$99+(1-$S$22)*Quesería!$E$99)+$S$6*($S$22*Quesería!$J$99+(1-$S$22)*Quesería!$E$99)-(1-$S$9)*($S$22*Quesería!$J$102+(1-$S$22)*Quesería!$E$102))+($S$6*($S$22*Quesería!$J$99+(1-$S$22)*Quesería!$E$99)+$S$9*($S$22*Quesería!$J$102+(1-$S$22)*Quesería!$E$102))*(K779-1))*IF(K$43=2,Quesería!$B$12,1)+IF(K$43=2,Quesería!$B$14*$S$9*($S$22*Quesería!$J$102+(1-$S$22)*Quesería!$E$102)*K779,0))*$S$10*$S$21</f>
        <v>237.08563125319</v>
      </c>
      <c r="L785" s="35" t="n">
        <f aca="false">IF(L$43&lt;=1,0,((($S$22*Quesería!$J$110+(1-$S$22)*Quesería!$E$106)-($S$22*Quesería!$J$99+(1-$S$22)*Quesería!$E$99)+$S$6*($S$22*Quesería!$J$99+(1-$S$22)*Quesería!$E$99)-(1-$S$9)*($S$22*Quesería!$J$102+(1-$S$22)*Quesería!$E$102))+($S$6*($S$22*Quesería!$J$99+(1-$S$22)*Quesería!$E$99)+$S$9*($S$22*Quesería!$J$102+(1-$S$22)*Quesería!$E$102))*(L779-1))*IF(L$43=2,Quesería!$B$12,1)+IF(L$43=2,Quesería!$B$14*$S$9*($S$22*Quesería!$J$102+(1-$S$22)*Quesería!$E$102)*L779,0))*$S$10*$S$21</f>
        <v>237.533989437476</v>
      </c>
    </row>
    <row r="786" customFormat="false" ht="15" hidden="false" customHeight="false" outlineLevel="0" collapsed="false">
      <c r="A786" s="5" t="s">
        <v>287</v>
      </c>
      <c r="B786" s="10" t="n">
        <f aca="false">B784+B785</f>
        <v>45.6373732102639</v>
      </c>
      <c r="C786" s="10" t="n">
        <f aca="false">C784+C785</f>
        <v>137.165278593056</v>
      </c>
      <c r="D786" s="10" t="n">
        <f aca="false">D784+D785</f>
        <v>380.785330036747</v>
      </c>
      <c r="E786" s="10" t="n">
        <f aca="false">E784+E785</f>
        <v>417.450255062574</v>
      </c>
      <c r="F786" s="10" t="n">
        <f aca="false">F784+F785</f>
        <v>417.946488901701</v>
      </c>
      <c r="G786" s="10" t="n">
        <f aca="false">G784+G785</f>
        <v>418.445203910024</v>
      </c>
      <c r="H786" s="10" t="n">
        <f aca="false">H784+H785</f>
        <v>418.946412493388</v>
      </c>
      <c r="I786" s="10" t="n">
        <f aca="false">I784+I785</f>
        <v>419.450127119669</v>
      </c>
      <c r="J786" s="10" t="n">
        <f aca="false">J784+J785</f>
        <v>419.956360319081</v>
      </c>
      <c r="K786" s="10" t="n">
        <f aca="false">K784+K785</f>
        <v>420.465124684491</v>
      </c>
      <c r="L786" s="10" t="n">
        <f aca="false">L784+L785</f>
        <v>420.976432871727</v>
      </c>
    </row>
    <row r="787" customFormat="false" ht="15" hidden="false" customHeight="false" outlineLevel="0" collapsed="false">
      <c r="A787" s="6" t="s">
        <v>288</v>
      </c>
      <c r="B787" s="35" t="n">
        <f aca="false">(IF(B$43&gt;=1,(Quesería!$B$21+Quesería!$B$54)*Quesería!$F$82*$S$11+Quesería!$B$22+'Beneficios y costos'!$B$118,0)+IF(B$43&gt;=2,((Quesería!$B$21+Quesería!$B$54)*Quesería!$F$83*$S$11+'Beneficios y costos'!$C$118)*$S$21,0))*$S$12</f>
        <v>0</v>
      </c>
      <c r="C787" s="35" t="n">
        <f aca="false">(IF(C$43&gt;=1,(Quesería!$B$21+Quesería!$B$54)*Quesería!$F$82*$S$11+Quesería!$B$22+'Beneficios y costos'!$B$118,0)+IF(C$43&gt;=2,((Quesería!$B$21+Quesería!$B$54)*Quesería!$F$83*$S$11+'Beneficios y costos'!$C$118)*$S$21,0))*$S$12</f>
        <v>36.8921528634167</v>
      </c>
      <c r="D787" s="35" t="n">
        <f aca="false">(IF(D$43&gt;=1,(Quesería!$B$21+Quesería!$B$54)*Quesería!$F$82*$S$11+Quesería!$B$22+'Beneficios y costos'!$B$118,0)+IF(D$43&gt;=2,((Quesería!$B$21+Quesería!$B$54)*Quesería!$F$83*$S$11+'Beneficios y costos'!$C$118)*$S$21,0))*$S$12</f>
        <v>88.8065043646377</v>
      </c>
      <c r="E787" s="35" t="n">
        <f aca="false">(IF(E$43&gt;=1,(Quesería!$B$21+Quesería!$B$54)*Quesería!$F$82*$S$11+Quesería!$B$22+'Beneficios y costos'!$B$118,0)+IF(E$43&gt;=2,((Quesería!$B$21+Quesería!$B$54)*Quesería!$F$83*$S$11+'Beneficios y costos'!$C$118)*$S$21,0))*$S$12</f>
        <v>88.8065043646377</v>
      </c>
      <c r="F787" s="35" t="n">
        <f aca="false">(IF(F$43&gt;=1,(Quesería!$B$21+Quesería!$B$54)*Quesería!$F$82*$S$11+Quesería!$B$22+'Beneficios y costos'!$B$118,0)+IF(F$43&gt;=2,((Quesería!$B$21+Quesería!$B$54)*Quesería!$F$83*$S$11+'Beneficios y costos'!$C$118)*$S$21,0))*$S$12</f>
        <v>88.8065043646377</v>
      </c>
      <c r="G787" s="35" t="n">
        <f aca="false">(IF(G$43&gt;=1,(Quesería!$B$21+Quesería!$B$54)*Quesería!$F$82*$S$11+Quesería!$B$22+'Beneficios y costos'!$B$118,0)+IF(G$43&gt;=2,((Quesería!$B$21+Quesería!$B$54)*Quesería!$F$83*$S$11+'Beneficios y costos'!$C$118)*$S$21,0))*$S$12</f>
        <v>88.8065043646377</v>
      </c>
      <c r="H787" s="35" t="n">
        <f aca="false">(IF(H$43&gt;=1,(Quesería!$B$21+Quesería!$B$54)*Quesería!$F$82*$S$11+Quesería!$B$22+'Beneficios y costos'!$B$118,0)+IF(H$43&gt;=2,((Quesería!$B$21+Quesería!$B$54)*Quesería!$F$83*$S$11+'Beneficios y costos'!$C$118)*$S$21,0))*$S$12</f>
        <v>88.8065043646377</v>
      </c>
      <c r="I787" s="35" t="n">
        <f aca="false">(IF(I$43&gt;=1,(Quesería!$B$21+Quesería!$B$54)*Quesería!$F$82*$S$11+Quesería!$B$22+'Beneficios y costos'!$B$118,0)+IF(I$43&gt;=2,((Quesería!$B$21+Quesería!$B$54)*Quesería!$F$83*$S$11+'Beneficios y costos'!$C$118)*$S$21,0))*$S$12</f>
        <v>88.8065043646377</v>
      </c>
      <c r="J787" s="35" t="n">
        <f aca="false">(IF(J$43&gt;=1,(Quesería!$B$21+Quesería!$B$54)*Quesería!$F$82*$S$11+Quesería!$B$22+'Beneficios y costos'!$B$118,0)+IF(J$43&gt;=2,((Quesería!$B$21+Quesería!$B$54)*Quesería!$F$83*$S$11+'Beneficios y costos'!$C$118)*$S$21,0))*$S$12</f>
        <v>88.8065043646377</v>
      </c>
      <c r="K787" s="35" t="n">
        <f aca="false">(IF(K$43&gt;=1,(Quesería!$B$21+Quesería!$B$54)*Quesería!$F$82*$S$11+Quesería!$B$22+'Beneficios y costos'!$B$118,0)+IF(K$43&gt;=2,((Quesería!$B$21+Quesería!$B$54)*Quesería!$F$83*$S$11+'Beneficios y costos'!$C$118)*$S$21,0))*$S$12</f>
        <v>88.8065043646377</v>
      </c>
      <c r="L787" s="35" t="n">
        <f aca="false">(IF(L$43&gt;=1,(Quesería!$B$21+Quesería!$B$54)*Quesería!$F$82*$S$11+Quesería!$B$22+'Beneficios y costos'!$B$118,0)+IF(L$43&gt;=2,((Quesería!$B$21+Quesería!$B$54)*Quesería!$F$83*$S$11+'Beneficios y costos'!$C$118)*$S$21,0))*$S$12</f>
        <v>88.8065043646377</v>
      </c>
    </row>
    <row r="788" customFormat="false" ht="15" hidden="false" customHeight="false" outlineLevel="0" collapsed="false">
      <c r="A788" s="6" t="s">
        <v>289</v>
      </c>
      <c r="B788" s="35" t="n">
        <f aca="false">IF(B$43=1,2*Quesería!$B$33*Quesería!$B$34/12*B779,0)*$S$21</f>
        <v>0</v>
      </c>
      <c r="C788" s="35" t="n">
        <f aca="false">IF(C$43=1,2*Quesería!$B$33*Quesería!$B$34/12*C779,0)*$S$21</f>
        <v>18.5166509433962</v>
      </c>
      <c r="D788" s="35" t="n">
        <f aca="false">IF(D$43=1,2*Quesería!$B$33*Quesería!$B$34/12*D779,0)*$S$21</f>
        <v>0</v>
      </c>
      <c r="E788" s="35" t="n">
        <f aca="false">IF(E$43=1,2*Quesería!$B$33*Quesería!$B$34/12*E779,0)*$S$21</f>
        <v>0</v>
      </c>
      <c r="F788" s="35" t="n">
        <f aca="false">IF(F$43=1,2*Quesería!$B$33*Quesería!$B$34/12*F779,0)*$S$21</f>
        <v>0</v>
      </c>
      <c r="G788" s="35" t="n">
        <f aca="false">IF(G$43=1,2*Quesería!$B$33*Quesería!$B$34/12*G779,0)*$S$21</f>
        <v>0</v>
      </c>
      <c r="H788" s="35" t="n">
        <f aca="false">IF(H$43=1,2*Quesería!$B$33*Quesería!$B$34/12*H779,0)*$S$21</f>
        <v>0</v>
      </c>
      <c r="I788" s="35" t="n">
        <f aca="false">IF(I$43=1,2*Quesería!$B$33*Quesería!$B$34/12*I779,0)*$S$21</f>
        <v>0</v>
      </c>
      <c r="J788" s="35" t="n">
        <f aca="false">IF(J$43=1,2*Quesería!$B$33*Quesería!$B$34/12*J779,0)*$S$21</f>
        <v>0</v>
      </c>
      <c r="K788" s="35" t="n">
        <f aca="false">IF(K$43=1,2*Quesería!$B$33*Quesería!$B$34/12*K779,0)*$S$21</f>
        <v>0</v>
      </c>
      <c r="L788" s="35" t="n">
        <f aca="false">IF(L$43=1,2*Quesería!$B$33*Quesería!$B$34/12*L779,0)*$S$21</f>
        <v>0</v>
      </c>
    </row>
    <row r="789" customFormat="false" ht="15" hidden="false" customHeight="false" outlineLevel="0" collapsed="false">
      <c r="A789" s="6" t="s">
        <v>290</v>
      </c>
      <c r="B789" s="35" t="n">
        <f aca="false">Quesería!$B$45*(B781+B782+B783+B787+B788)</f>
        <v>2.88636599924197</v>
      </c>
      <c r="C789" s="35" t="n">
        <f aca="false">Quesería!$B$45*(C781+C782+C783+C787+C788)</f>
        <v>3.29312083686149</v>
      </c>
      <c r="D789" s="35" t="n">
        <f aca="false">Quesería!$B$45*(D781+D782+D783+D787+D788)</f>
        <v>0.355226017458551</v>
      </c>
      <c r="E789" s="35" t="n">
        <f aca="false">Quesería!$B$45*(E781+E782+E783+E787+E788)</f>
        <v>0.355226017458551</v>
      </c>
      <c r="F789" s="35" t="n">
        <f aca="false">Quesería!$B$45*(F781+F782+F783+F787+F788)</f>
        <v>0.355226017458551</v>
      </c>
      <c r="G789" s="35" t="n">
        <f aca="false">Quesería!$B$45*(G781+G782+G783+G787+G788)</f>
        <v>0.482159350791884</v>
      </c>
      <c r="H789" s="35" t="n">
        <f aca="false">Quesería!$B$45*(H781+H782+H783+H787+H788)</f>
        <v>0.523275690008284</v>
      </c>
      <c r="I789" s="35" t="n">
        <f aca="false">Quesería!$B$45*(I781+I782+I783+I787+I788)</f>
        <v>0.355226017458551</v>
      </c>
      <c r="J789" s="35" t="n">
        <f aca="false">Quesería!$B$45*(J781+J782+J783+J787+J788)</f>
        <v>0.355226017458551</v>
      </c>
      <c r="K789" s="35" t="n">
        <f aca="false">Quesería!$B$45*(K781+K782+K783+K787+K788)</f>
        <v>0.355226017458551</v>
      </c>
      <c r="L789" s="35" t="n">
        <f aca="false">Quesería!$B$45*(L781+L782+L783+L787+L788)</f>
        <v>0.355226017458551</v>
      </c>
    </row>
    <row r="790" customFormat="false" ht="15" hidden="false" customHeight="false" outlineLevel="0" collapsed="false">
      <c r="A790" s="6" t="s">
        <v>291</v>
      </c>
      <c r="B790" s="35" t="n">
        <f aca="false">(IF($S$19=1,(SUMPRODUCT((Quesería!$C$62:$C$77=0)*(Quesería!$J$62:$J$77&gt;0)*(B$43&gt;=1)*(B$43&lt;=Quesería!$J$62:$J$77)*(Quesería!$H$62:$H$77&gt;0)*Quesería!$F$62:$F$77*(1+Quesería!$I$62:$I$77)/(Quesería!$J$62:$J$77+(Quesería!$J$62:$J$77=0)))+SUMPRODUCT((Quesería!$C$62:$C$77=0)*(Quesería!$J$62:$J$77=0)*(B$43=0)*(Quesería!$H$62:$H$77&gt;0)*Quesería!$F$62:$F$77*(1+Quesería!$I$62:$I$77)))*$B$778+(SUMPRODUCT((Quesería!$C$62:$C$77=1)*(Quesería!$J$62:$J$77&gt;0)*(B$43&gt;=2)*(B$43&lt;=Quesería!$J$62:$J$77+1)*(Quesería!$H$62:$H$77&gt;0)*Quesería!$F$62:$F$77*(1+Quesería!$I$62:$I$77)/(Quesería!$J$62:$J$77+(Quesería!$J$62:$J$77=0)))+SUMPRODUCT((Quesería!$C$62:$C$77=1)*(Quesería!$J$62:$J$77=0)*(B$43=1)*(Quesería!$H$62:$H$77&gt;0)*Quesería!$F$62:$F$77*(1+Quesería!$I$62:$I$77)))*$C$778*$S$21,IF(AND(B$43&gt;=1,B$43&lt;=Quesería!$B$11),Quesería!$F$80/Quesería!$B$11,0)*$B$778+IF(AND(B$43&gt;=2,B$43&lt;=Quesería!$B$11+1),Quesería!$F$81/Quesería!$B$11,0)*$C$778*$S$21)*$S$11+IF(AND(B$43&gt;=6,B$43&lt;=10),$G782*$G778/5,0)+IF(AND(B$43&gt;=7,B$43&lt;=11),$H782*$H778/5,0))*B780</f>
        <v>99.3600691219113</v>
      </c>
      <c r="C790" s="35" t="n">
        <f aca="false">(IF($S$19=1,(SUMPRODUCT((Quesería!$C$62:$C$77=0)*(Quesería!$J$62:$J$77&gt;0)*(C$43&gt;=1)*(C$43&lt;=Quesería!$J$62:$J$77)*(Quesería!$H$62:$H$77&gt;0)*Quesería!$F$62:$F$77*(1+Quesería!$I$62:$I$77)/(Quesería!$J$62:$J$77+(Quesería!$J$62:$J$77=0)))+SUMPRODUCT((Quesería!$C$62:$C$77=0)*(Quesería!$J$62:$J$77=0)*(C$43=0)*(Quesería!$H$62:$H$77&gt;0)*Quesería!$F$62:$F$77*(1+Quesería!$I$62:$I$77)))*$B$778+(SUMPRODUCT((Quesería!$C$62:$C$77=1)*(Quesería!$J$62:$J$77&gt;0)*(C$43&gt;=2)*(C$43&lt;=Quesería!$J$62:$J$77+1)*(Quesería!$H$62:$H$77&gt;0)*Quesería!$F$62:$F$77*(1+Quesería!$I$62:$I$77)/(Quesería!$J$62:$J$77+(Quesería!$J$62:$J$77=0)))+SUMPRODUCT((Quesería!$C$62:$C$77=1)*(Quesería!$J$62:$J$77=0)*(C$43=1)*(Quesería!$H$62:$H$77&gt;0)*Quesería!$F$62:$F$77*(1+Quesería!$I$62:$I$77)))*$C$778*$S$21,IF(AND(C$43&gt;=1,C$43&lt;=Quesería!$B$11),Quesería!$F$80/Quesería!$B$11,0)*$B$778+IF(AND(C$43&gt;=2,C$43&lt;=Quesería!$B$11+1),Quesería!$F$81/Quesería!$B$11,0)*$C$778*$S$21)*$S$11+IF(AND(C$43&gt;=6,C$43&lt;=10),$G782*$G778/5,0)+IF(AND(C$43&gt;=7,C$43&lt;=11),$H782*$H778/5,0))*C780</f>
        <v>57.1000211302053</v>
      </c>
      <c r="D790" s="35" t="n">
        <f aca="false">(IF($S$19=1,(SUMPRODUCT((Quesería!$C$62:$C$77=0)*(Quesería!$J$62:$J$77&gt;0)*(D$43&gt;=1)*(D$43&lt;=Quesería!$J$62:$J$77)*(Quesería!$H$62:$H$77&gt;0)*Quesería!$F$62:$F$77*(1+Quesería!$I$62:$I$77)/(Quesería!$J$62:$J$77+(Quesería!$J$62:$J$77=0)))+SUMPRODUCT((Quesería!$C$62:$C$77=0)*(Quesería!$J$62:$J$77=0)*(D$43=0)*(Quesería!$H$62:$H$77&gt;0)*Quesería!$F$62:$F$77*(1+Quesería!$I$62:$I$77)))*$B$778+(SUMPRODUCT((Quesería!$C$62:$C$77=1)*(Quesería!$J$62:$J$77&gt;0)*(D$43&gt;=2)*(D$43&lt;=Quesería!$J$62:$J$77+1)*(Quesería!$H$62:$H$77&gt;0)*Quesería!$F$62:$F$77*(1+Quesería!$I$62:$I$77)/(Quesería!$J$62:$J$77+(Quesería!$J$62:$J$77=0)))+SUMPRODUCT((Quesería!$C$62:$C$77=1)*(Quesería!$J$62:$J$77=0)*(D$43=1)*(Quesería!$H$62:$H$77&gt;0)*Quesería!$F$62:$F$77*(1+Quesería!$I$62:$I$77)))*$C$778*$S$21,IF(AND(D$43&gt;=1,D$43&lt;=Quesería!$B$11),Quesería!$F$80/Quesería!$B$11,0)*$B$778+IF(AND(D$43&gt;=2,D$43&lt;=Quesería!$B$11+1),Quesería!$F$81/Quesería!$B$11,0)*$C$778*$S$21)*$S$11+IF(AND(D$43&gt;=6,D$43&lt;=10),$G782*$G778/5,0)+IF(AND(D$43&gt;=7,D$43&lt;=11),$H782*$H778/5,0))*D780</f>
        <v>116.389502380926</v>
      </c>
      <c r="E790" s="35" t="n">
        <f aca="false">(IF($S$19=1,(SUMPRODUCT((Quesería!$C$62:$C$77=0)*(Quesería!$J$62:$J$77&gt;0)*(E$43&gt;=1)*(E$43&lt;=Quesería!$J$62:$J$77)*(Quesería!$H$62:$H$77&gt;0)*Quesería!$F$62:$F$77*(1+Quesería!$I$62:$I$77)/(Quesería!$J$62:$J$77+(Quesería!$J$62:$J$77=0)))+SUMPRODUCT((Quesería!$C$62:$C$77=0)*(Quesería!$J$62:$J$77=0)*(E$43=0)*(Quesería!$H$62:$H$77&gt;0)*Quesería!$F$62:$F$77*(1+Quesería!$I$62:$I$77)))*$B$778+(SUMPRODUCT((Quesería!$C$62:$C$77=1)*(Quesería!$J$62:$J$77&gt;0)*(E$43&gt;=2)*(E$43&lt;=Quesería!$J$62:$J$77+1)*(Quesería!$H$62:$H$77&gt;0)*Quesería!$F$62:$F$77*(1+Quesería!$I$62:$I$77)/(Quesería!$J$62:$J$77+(Quesería!$J$62:$J$77=0)))+SUMPRODUCT((Quesería!$C$62:$C$77=1)*(Quesería!$J$62:$J$77=0)*(E$43=1)*(Quesería!$H$62:$H$77&gt;0)*Quesería!$F$62:$F$77*(1+Quesería!$I$62:$I$77)))*$C$778*$S$21,IF(AND(E$43&gt;=1,E$43&lt;=Quesería!$B$11),Quesería!$F$80/Quesería!$B$11,0)*$B$778+IF(AND(E$43&gt;=2,E$43&lt;=Quesería!$B$11+1),Quesería!$F$81/Quesería!$B$11,0)*$C$778*$S$21)*$S$11+IF(AND(E$43&gt;=6,E$43&lt;=10),$G782*$G778/5,0)+IF(AND(E$43&gt;=7,E$43&lt;=11),$H782*$H778/5,0))*E780</f>
        <v>111.912983058583</v>
      </c>
      <c r="F790" s="35" t="n">
        <f aca="false">(IF($S$19=1,(SUMPRODUCT((Quesería!$C$62:$C$77=0)*(Quesería!$J$62:$J$77&gt;0)*(F$43&gt;=1)*(F$43&lt;=Quesería!$J$62:$J$77)*(Quesería!$H$62:$H$77&gt;0)*Quesería!$F$62:$F$77*(1+Quesería!$I$62:$I$77)/(Quesería!$J$62:$J$77+(Quesería!$J$62:$J$77=0)))+SUMPRODUCT((Quesería!$C$62:$C$77=0)*(Quesería!$J$62:$J$77=0)*(F$43=0)*(Quesería!$H$62:$H$77&gt;0)*Quesería!$F$62:$F$77*(1+Quesería!$I$62:$I$77)))*$B$778+(SUMPRODUCT((Quesería!$C$62:$C$77=1)*(Quesería!$J$62:$J$77&gt;0)*(F$43&gt;=2)*(F$43&lt;=Quesería!$J$62:$J$77+1)*(Quesería!$H$62:$H$77&gt;0)*Quesería!$F$62:$F$77*(1+Quesería!$I$62:$I$77)/(Quesería!$J$62:$J$77+(Quesería!$J$62:$J$77=0)))+SUMPRODUCT((Quesería!$C$62:$C$77=1)*(Quesería!$J$62:$J$77=0)*(F$43=1)*(Quesería!$H$62:$H$77&gt;0)*Quesería!$F$62:$F$77*(1+Quesería!$I$62:$I$77)))*$C$778*$S$21,IF(AND(F$43&gt;=1,F$43&lt;=Quesería!$B$11),Quesería!$F$80/Quesería!$B$11,0)*$B$778+IF(AND(F$43&gt;=2,F$43&lt;=Quesería!$B$11+1),Quesería!$F$81/Quesería!$B$11,0)*$C$778*$S$21)*$S$11+IF(AND(F$43&gt;=6,F$43&lt;=10),$G782*$G778/5,0)+IF(AND(F$43&gt;=7,F$43&lt;=11),$H782*$H778/5,0))*F780</f>
        <v>107.608637556329</v>
      </c>
      <c r="G790" s="35" t="n">
        <f aca="false">(IF($S$19=1,(SUMPRODUCT((Quesería!$C$62:$C$77=0)*(Quesería!$J$62:$J$77&gt;0)*(G$43&gt;=1)*(G$43&lt;=Quesería!$J$62:$J$77)*(Quesería!$H$62:$H$77&gt;0)*Quesería!$F$62:$F$77*(1+Quesería!$I$62:$I$77)/(Quesería!$J$62:$J$77+(Quesería!$J$62:$J$77=0)))+SUMPRODUCT((Quesería!$C$62:$C$77=0)*(Quesería!$J$62:$J$77=0)*(G$43=0)*(Quesería!$H$62:$H$77&gt;0)*Quesería!$F$62:$F$77*(1+Quesería!$I$62:$I$77)))*$B$778+(SUMPRODUCT((Quesería!$C$62:$C$77=1)*(Quesería!$J$62:$J$77&gt;0)*(G$43&gt;=2)*(G$43&lt;=Quesería!$J$62:$J$77+1)*(Quesería!$H$62:$H$77&gt;0)*Quesería!$F$62:$F$77*(1+Quesería!$I$62:$I$77)/(Quesería!$J$62:$J$77+(Quesería!$J$62:$J$77=0)))+SUMPRODUCT((Quesería!$C$62:$C$77=1)*(Quesería!$J$62:$J$77=0)*(G$43=1)*(Quesería!$H$62:$H$77&gt;0)*Quesería!$F$62:$F$77*(1+Quesería!$I$62:$I$77)))*$C$778*$S$21,IF(AND(G$43&gt;=1,G$43&lt;=Quesería!$B$11),Quesería!$F$80/Quesería!$B$11,0)*$B$778+IF(AND(G$43&gt;=2,G$43&lt;=Quesería!$B$11+1),Quesería!$F$81/Quesería!$B$11,0)*$C$778*$S$21)*$S$11+IF(AND(G$43&gt;=6,G$43&lt;=10),$G782*$G778/5,0)+IF(AND(G$43&gt;=7,G$43&lt;=11),$H782*$H778/5,0))*G780</f>
        <v>103.469843804163</v>
      </c>
      <c r="H790" s="35" t="n">
        <f aca="false">(IF($S$19=1,(SUMPRODUCT((Quesería!$C$62:$C$77=0)*(Quesería!$J$62:$J$77&gt;0)*(H$43&gt;=1)*(H$43&lt;=Quesería!$J$62:$J$77)*(Quesería!$H$62:$H$77&gt;0)*Quesería!$F$62:$F$77*(1+Quesería!$I$62:$I$77)/(Quesería!$J$62:$J$77+(Quesería!$J$62:$J$77=0)))+SUMPRODUCT((Quesería!$C$62:$C$77=0)*(Quesería!$J$62:$J$77=0)*(H$43=0)*(Quesería!$H$62:$H$77&gt;0)*Quesería!$F$62:$F$77*(1+Quesería!$I$62:$I$77)))*$B$778+(SUMPRODUCT((Quesería!$C$62:$C$77=1)*(Quesería!$J$62:$J$77&gt;0)*(H$43&gt;=2)*(H$43&lt;=Quesería!$J$62:$J$77+1)*(Quesería!$H$62:$H$77&gt;0)*Quesería!$F$62:$F$77*(1+Quesería!$I$62:$I$77)/(Quesería!$J$62:$J$77+(Quesería!$J$62:$J$77=0)))+SUMPRODUCT((Quesería!$C$62:$C$77=1)*(Quesería!$J$62:$J$77=0)*(H$43=1)*(Quesería!$H$62:$H$77&gt;0)*Quesería!$F$62:$F$77*(1+Quesería!$I$62:$I$77)))*$C$778*$S$21,IF(AND(H$43&gt;=1,H$43&lt;=Quesería!$B$11),Quesería!$F$80/Quesería!$B$11,0)*$B$778+IF(AND(H$43&gt;=2,H$43&lt;=Quesería!$B$11+1),Quesería!$F$81/Quesería!$B$11,0)*$C$778*$S$21)*$S$11+IF(AND(H$43&gt;=6,H$43&lt;=10),$G782*$G778/5,0)+IF(AND(H$43&gt;=7,H$43&lt;=11),$H782*$H778/5,0))*H780</f>
        <v>92.6731239063542</v>
      </c>
      <c r="I790" s="35" t="n">
        <f aca="false">(IF($S$19=1,(SUMPRODUCT((Quesería!$C$62:$C$77=0)*(Quesería!$J$62:$J$77&gt;0)*(I$43&gt;=1)*(I$43&lt;=Quesería!$J$62:$J$77)*(Quesería!$H$62:$H$77&gt;0)*Quesería!$F$62:$F$77*(1+Quesería!$I$62:$I$77)/(Quesería!$J$62:$J$77+(Quesería!$J$62:$J$77=0)))+SUMPRODUCT((Quesería!$C$62:$C$77=0)*(Quesería!$J$62:$J$77=0)*(I$43=0)*(Quesería!$H$62:$H$77&gt;0)*Quesería!$F$62:$F$77*(1+Quesería!$I$62:$I$77)))*$B$778+(SUMPRODUCT((Quesería!$C$62:$C$77=1)*(Quesería!$J$62:$J$77&gt;0)*(I$43&gt;=2)*(I$43&lt;=Quesería!$J$62:$J$77+1)*(Quesería!$H$62:$H$77&gt;0)*Quesería!$F$62:$F$77*(1+Quesería!$I$62:$I$77)/(Quesería!$J$62:$J$77+(Quesería!$J$62:$J$77=0)))+SUMPRODUCT((Quesería!$C$62:$C$77=1)*(Quesería!$J$62:$J$77=0)*(I$43=1)*(Quesería!$H$62:$H$77&gt;0)*Quesería!$F$62:$F$77*(1+Quesería!$I$62:$I$77)))*$C$778*$S$21,IF(AND(I$43&gt;=1,I$43&lt;=Quesería!$B$11),Quesería!$F$80/Quesería!$B$11,0)*$B$778+IF(AND(I$43&gt;=2,I$43&lt;=Quesería!$B$11+1),Quesería!$F$81/Quesería!$B$11,0)*$C$778*$S$21)*$S$11+IF(AND(I$43&gt;=6,I$43&lt;=10),$G782*$G778/5,0)+IF(AND(I$43&gt;=7,I$43&lt;=11),$H782*$H778/5,0))*I780</f>
        <v>95.8981101131611</v>
      </c>
      <c r="J790" s="35" t="n">
        <f aca="false">(IF($S$19=1,(SUMPRODUCT((Quesería!$C$62:$C$77=0)*(Quesería!$J$62:$J$77&gt;0)*(J$43&gt;=1)*(J$43&lt;=Quesería!$J$62:$J$77)*(Quesería!$H$62:$H$77&gt;0)*Quesería!$F$62:$F$77*(1+Quesería!$I$62:$I$77)/(Quesería!$J$62:$J$77+(Quesería!$J$62:$J$77=0)))+SUMPRODUCT((Quesería!$C$62:$C$77=0)*(Quesería!$J$62:$J$77=0)*(J$43=0)*(Quesería!$H$62:$H$77&gt;0)*Quesería!$F$62:$F$77*(1+Quesería!$I$62:$I$77)))*$B$778+(SUMPRODUCT((Quesería!$C$62:$C$77=1)*(Quesería!$J$62:$J$77&gt;0)*(J$43&gt;=2)*(J$43&lt;=Quesería!$J$62:$J$77+1)*(Quesería!$H$62:$H$77&gt;0)*Quesería!$F$62:$F$77*(1+Quesería!$I$62:$I$77)/(Quesería!$J$62:$J$77+(Quesería!$J$62:$J$77=0)))+SUMPRODUCT((Quesería!$C$62:$C$77=1)*(Quesería!$J$62:$J$77=0)*(J$43=1)*(Quesería!$H$62:$H$77&gt;0)*Quesería!$F$62:$F$77*(1+Quesería!$I$62:$I$77)))*$C$778*$S$21,IF(AND(J$43&gt;=1,J$43&lt;=Quesería!$B$11),Quesería!$F$80/Quesería!$B$11,0)*$B$778+IF(AND(J$43&gt;=2,J$43&lt;=Quesería!$B$11+1),Quesería!$F$81/Quesería!$B$11,0)*$C$778*$S$21)*$S$11+IF(AND(J$43&gt;=6,J$43&lt;=10),$G782*$G778/5,0)+IF(AND(J$43&gt;=7,J$43&lt;=11),$H782*$H778/5,0))*J780</f>
        <v>92.2097212626549</v>
      </c>
      <c r="K790" s="35" t="n">
        <f aca="false">(IF($S$19=1,(SUMPRODUCT((Quesería!$C$62:$C$77=0)*(Quesería!$J$62:$J$77&gt;0)*(K$43&gt;=1)*(K$43&lt;=Quesería!$J$62:$J$77)*(Quesería!$H$62:$H$77&gt;0)*Quesería!$F$62:$F$77*(1+Quesería!$I$62:$I$77)/(Quesería!$J$62:$J$77+(Quesería!$J$62:$J$77=0)))+SUMPRODUCT((Quesería!$C$62:$C$77=0)*(Quesería!$J$62:$J$77=0)*(K$43=0)*(Quesería!$H$62:$H$77&gt;0)*Quesería!$F$62:$F$77*(1+Quesería!$I$62:$I$77)))*$B$778+(SUMPRODUCT((Quesería!$C$62:$C$77=1)*(Quesería!$J$62:$J$77&gt;0)*(K$43&gt;=2)*(K$43&lt;=Quesería!$J$62:$J$77+1)*(Quesería!$H$62:$H$77&gt;0)*Quesería!$F$62:$F$77*(1+Quesería!$I$62:$I$77)/(Quesería!$J$62:$J$77+(Quesería!$J$62:$J$77=0)))+SUMPRODUCT((Quesería!$C$62:$C$77=1)*(Quesería!$J$62:$J$77=0)*(K$43=1)*(Quesería!$H$62:$H$77&gt;0)*Quesería!$F$62:$F$77*(1+Quesería!$I$62:$I$77)))*$C$778*$S$21,IF(AND(K$43&gt;=1,K$43&lt;=Quesería!$B$11),Quesería!$F$80/Quesería!$B$11,0)*$B$778+IF(AND(K$43&gt;=2,K$43&lt;=Quesería!$B$11+1),Quesería!$F$81/Quesería!$B$11,0)*$C$778*$S$21)*$S$11+IF(AND(K$43&gt;=6,K$43&lt;=10),$G782*$G778/5,0)+IF(AND(K$43&gt;=7,K$43&lt;=11),$H782*$H778/5,0))*K780</f>
        <v>88.6631935217835</v>
      </c>
      <c r="L790" s="35" t="n">
        <f aca="false">(IF($S$19=1,(SUMPRODUCT((Quesería!$C$62:$C$77=0)*(Quesería!$J$62:$J$77&gt;0)*(L$43&gt;=1)*(L$43&lt;=Quesería!$J$62:$J$77)*(Quesería!$H$62:$H$77&gt;0)*Quesería!$F$62:$F$77*(1+Quesería!$I$62:$I$77)/(Quesería!$J$62:$J$77+(Quesería!$J$62:$J$77=0)))+SUMPRODUCT((Quesería!$C$62:$C$77=0)*(Quesería!$J$62:$J$77=0)*(L$43=0)*(Quesería!$H$62:$H$77&gt;0)*Quesería!$F$62:$F$77*(1+Quesería!$I$62:$I$77)))*$B$778+(SUMPRODUCT((Quesería!$C$62:$C$77=1)*(Quesería!$J$62:$J$77&gt;0)*(L$43&gt;=2)*(L$43&lt;=Quesería!$J$62:$J$77+1)*(Quesería!$H$62:$H$77&gt;0)*Quesería!$F$62:$F$77*(1+Quesería!$I$62:$I$77)/(Quesería!$J$62:$J$77+(Quesería!$J$62:$J$77=0)))+SUMPRODUCT((Quesería!$C$62:$C$77=1)*(Quesería!$J$62:$J$77=0)*(L$43=1)*(Quesería!$H$62:$H$77&gt;0)*Quesería!$F$62:$F$77*(1+Quesería!$I$62:$I$77)))*$C$778*$S$21,IF(AND(L$43&gt;=1,L$43&lt;=Quesería!$B$11),Quesería!$F$80/Quesería!$B$11,0)*$B$778+IF(AND(L$43&gt;=2,L$43&lt;=Quesería!$B$11+1),Quesería!$F$81/Quesería!$B$11,0)*$C$778*$S$21)*$S$11+IF(AND(L$43&gt;=6,L$43&lt;=10),$G782*$G778/5,0)+IF(AND(L$43&gt;=7,L$43&lt;=11),$H782*$H778/5,0))*L780</f>
        <v>85.2530706940226</v>
      </c>
    </row>
    <row r="791" customFormat="false" ht="15" hidden="false" customHeight="false" outlineLevel="0" collapsed="false">
      <c r="A791" s="9" t="s">
        <v>292</v>
      </c>
      <c r="B791" s="36" t="n">
        <f aca="false">IF(B$43=1,MIN($S$7*Quesería!$B$35*Quesería!$F$75*$S$11*$S$21,Quesería!$B$50*Quesería!$B$51),0)</f>
        <v>0</v>
      </c>
      <c r="C791" s="36" t="n">
        <f aca="false">IF(C$43=1,MIN($S$7*Quesería!$B$35*Quesería!$F$75*$S$11*$S$21,Quesería!$B$50*Quesería!$B$51),0)</f>
        <v>20</v>
      </c>
      <c r="D791" s="36" t="n">
        <f aca="false">IF(D$43=1,MIN($S$7*Quesería!$B$35*Quesería!$F$75*$S$11*$S$21,Quesería!$B$50*Quesería!$B$51),0)</f>
        <v>0</v>
      </c>
      <c r="E791" s="36" t="n">
        <f aca="false">IF(E$43=1,MIN($S$7*Quesería!$B$35*Quesería!$F$75*$S$11*$S$21,Quesería!$B$50*Quesería!$B$51),0)</f>
        <v>0</v>
      </c>
      <c r="F791" s="36" t="n">
        <f aca="false">IF(F$43=1,MIN($S$7*Quesería!$B$35*Quesería!$F$75*$S$11*$S$21,Quesería!$B$50*Quesería!$B$51),0)</f>
        <v>0</v>
      </c>
      <c r="G791" s="36" t="n">
        <f aca="false">IF(G$43=1,MIN($S$7*Quesería!$B$35*Quesería!$F$75*$S$11*$S$21,Quesería!$B$50*Quesería!$B$51),0)</f>
        <v>0</v>
      </c>
      <c r="H791" s="36" t="n">
        <f aca="false">IF(H$43=1,MIN($S$7*Quesería!$B$35*Quesería!$F$75*$S$11*$S$21,Quesería!$B$50*Quesería!$B$51),0)</f>
        <v>0</v>
      </c>
      <c r="I791" s="36" t="n">
        <f aca="false">IF(I$43=1,MIN($S$7*Quesería!$B$35*Quesería!$F$75*$S$11*$S$21,Quesería!$B$50*Quesería!$B$51),0)</f>
        <v>0</v>
      </c>
      <c r="J791" s="36" t="n">
        <f aca="false">IF(J$43=1,MIN($S$7*Quesería!$B$35*Quesería!$F$75*$S$11*$S$21,Quesería!$B$50*Quesería!$B$51),0)</f>
        <v>0</v>
      </c>
      <c r="K791" s="36" t="n">
        <f aca="false">IF(K$43=1,MIN($S$7*Quesería!$B$35*Quesería!$F$75*$S$11*$S$21,Quesería!$B$50*Quesería!$B$51),0)</f>
        <v>0</v>
      </c>
      <c r="L791" s="36" t="n">
        <f aca="false">IF(L$43=1,MIN($S$7*Quesería!$B$35*Quesería!$F$75*$S$11*$S$21,Quesería!$B$50*Quesería!$B$51),0)</f>
        <v>0</v>
      </c>
    </row>
    <row r="792" customFormat="false" ht="15" hidden="false" customHeight="false" outlineLevel="0" collapsed="false">
      <c r="A792" s="9" t="s">
        <v>293</v>
      </c>
      <c r="B792" s="36" t="n">
        <v>0</v>
      </c>
      <c r="C792" s="36" t="n">
        <f aca="false">$S$20*Quesería!$B$52*Quesería!$F$86*$S$11*$B$778/C778</f>
        <v>166.879881289715</v>
      </c>
      <c r="D792" s="36" t="n">
        <v>0</v>
      </c>
      <c r="E792" s="36" t="n">
        <v>0</v>
      </c>
      <c r="F792" s="36" t="n">
        <v>0</v>
      </c>
      <c r="G792" s="36" t="n">
        <v>0</v>
      </c>
      <c r="H792" s="36" t="n">
        <v>0</v>
      </c>
      <c r="I792" s="36" t="n">
        <v>0</v>
      </c>
      <c r="J792" s="36" t="n">
        <v>0</v>
      </c>
      <c r="K792" s="36" t="n">
        <v>0</v>
      </c>
      <c r="L792" s="36" t="n">
        <v>0</v>
      </c>
    </row>
    <row r="793" customFormat="false" ht="15" hidden="false" customHeight="false" outlineLevel="0" collapsed="false">
      <c r="A793" s="9" t="s">
        <v>294</v>
      </c>
      <c r="B793" s="36" t="n">
        <f aca="false">0</f>
        <v>0</v>
      </c>
      <c r="C793" s="36" t="n">
        <f aca="false">B783*B778/C778</f>
        <v>94.6170242743742</v>
      </c>
      <c r="D793" s="36" t="n">
        <f aca="false">C783*C778/D778</f>
        <v>117.321834287022</v>
      </c>
      <c r="E793" s="36" t="n">
        <f aca="false">D783*D778/E778</f>
        <v>0</v>
      </c>
      <c r="F793" s="36" t="n">
        <f aca="false">E783*E778/F778</f>
        <v>0</v>
      </c>
      <c r="G793" s="36" t="n">
        <f aca="false">F783*F778/G778</f>
        <v>0</v>
      </c>
      <c r="H793" s="36" t="n">
        <f aca="false">G783*G778/H778</f>
        <v>4.87179487179487</v>
      </c>
      <c r="I793" s="36" t="n">
        <f aca="false">H783*H778/I778</f>
        <v>6.44987026996795</v>
      </c>
      <c r="J793" s="36" t="n">
        <f aca="false">I783*I778/J778</f>
        <v>0</v>
      </c>
      <c r="K793" s="36" t="n">
        <f aca="false">J783*J778/K778</f>
        <v>0</v>
      </c>
      <c r="L793" s="36" t="n">
        <f aca="false">K783*K778/L778</f>
        <v>0</v>
      </c>
    </row>
    <row r="794" customFormat="false" ht="15" hidden="false" customHeight="false" outlineLevel="0" collapsed="false">
      <c r="A794" s="6" t="s">
        <v>86</v>
      </c>
      <c r="B794" s="35" t="n">
        <f aca="false">$S$17*(B786-B787-B788-0.5*B789-B790)-B791-B792-B793</f>
        <v>-19.3080576189439</v>
      </c>
      <c r="C794" s="35" t="n">
        <f aca="false">$S$17*(C786-C787-C788-0.5*C789-C790)-C791-C792-C793</f>
        <v>-273.443442930927</v>
      </c>
      <c r="D794" s="35" t="n">
        <f aca="false">$S$17*(D786-D787-D788-0.5*D789-D790)-D791-D792-D793</f>
        <v>-55.9277356881633</v>
      </c>
      <c r="E794" s="35" t="n">
        <f aca="false">$S$17*(E786-E787-E788-0.5*E789-E790)-E791-E792-E793</f>
        <v>75.7936041207186</v>
      </c>
      <c r="F794" s="35" t="n">
        <f aca="false">$S$17*(F786-F787-F788-0.5*F789-F790)-F791-F792-F793</f>
        <v>77.4738068902017</v>
      </c>
      <c r="G794" s="35" t="n">
        <f aca="false">$S$17*(G786-G787-G788-0.5*G789-G790)-G791-G792-G793</f>
        <v>79.0747216230395</v>
      </c>
      <c r="H794" s="35" t="n">
        <f aca="false">$S$17*(H786-H787-H788-0.5*H789-H790)-H791-H792-H793</f>
        <v>78.1500063602923</v>
      </c>
      <c r="I794" s="35" t="n">
        <f aca="false">$S$17*(I786-I787-I788-0.5*I789-I790)-I791-I792-I793</f>
        <v>75.6488946016313</v>
      </c>
      <c r="J794" s="35" t="n">
        <f aca="false">$S$17*(J786-J787-J788-0.5*J789-J790)-J791-J792-J793</f>
        <v>83.5668825890707</v>
      </c>
      <c r="K794" s="35" t="n">
        <f aca="false">$S$17*(K786-K787-K788-0.5*K789-K790)-K791-K792-K793</f>
        <v>84.986234826269</v>
      </c>
      <c r="L794" s="35" t="n">
        <f aca="false">$S$17*(L786-L787-L788-0.5*L789-L790)-L791-L792-L793</f>
        <v>86.3587356815181</v>
      </c>
    </row>
    <row r="795" customFormat="false" ht="15" hidden="false" customHeight="false" outlineLevel="0" collapsed="false">
      <c r="A795" s="9" t="s">
        <v>295</v>
      </c>
      <c r="B795" s="36" t="n">
        <f aca="false">(IF(B$43&gt;=1,Quesería!$G$107*IF(B$43=1,Quesería!$B$12,1),Quesería!$G$107*Quesería!$B$12*Quesería!$B$13/12*$S$23)+IF(B$43&gt;=2,Quesería!$G$108*$S$21*IF(B$43=2,Quesería!$B$12,1),0))*$S$10</f>
        <v>26.8516916045565</v>
      </c>
      <c r="C795" s="36" t="n">
        <f aca="false">(IF(C$43&gt;=1,Quesería!$G$107*IF(C$43=1,Quesería!$B$12,1),Quesería!$G$107*Quesería!$B$12*Quesería!$B$13/12*$S$23)+IF(C$43&gt;=2,Quesería!$G$108*$S$21*IF(C$43=2,Quesería!$B$12,1),0))*$S$10</f>
        <v>80.5550748136695</v>
      </c>
      <c r="D795" s="36" t="n">
        <f aca="false">(IF(D$43&gt;=1,Quesería!$G$107*IF(D$43=1,Quesería!$B$12,1),Quesería!$G$107*Quesería!$B$12*Quesería!$B$13/12*$S$23)+IF(D$43&gt;=2,Quesería!$G$108*$S$21*IF(D$43=2,Quesería!$B$12,1),0))*$S$10</f>
        <v>189.651223070959</v>
      </c>
      <c r="E795" s="36" t="n">
        <f aca="false">(IF(E$43&gt;=1,Quesería!$G$107*IF(E$43=1,Quesería!$B$12,1),Quesería!$G$107*Quesería!$B$12*Quesería!$B$13/12*$S$23)+IF(E$43&gt;=2,Quesería!$G$108*$S$21*IF(E$43=2,Quesería!$B$12,1),0))*$S$10</f>
        <v>217.066041955203</v>
      </c>
      <c r="F795" s="36" t="n">
        <f aca="false">(IF(F$43&gt;=1,Quesería!$G$107*IF(F$43=1,Quesería!$B$12,1),Quesería!$G$107*Quesería!$B$12*Quesería!$B$13/12*$S$23)+IF(F$43&gt;=2,Quesería!$G$108*$S$21*IF(F$43=2,Quesería!$B$12,1),0))*$S$10</f>
        <v>217.066041955203</v>
      </c>
      <c r="G795" s="36" t="n">
        <f aca="false">(IF(G$43&gt;=1,Quesería!$G$107*IF(G$43=1,Quesería!$B$12,1),Quesería!$G$107*Quesería!$B$12*Quesería!$B$13/12*$S$23)+IF(G$43&gt;=2,Quesería!$G$108*$S$21*IF(G$43=2,Quesería!$B$12,1),0))*$S$10</f>
        <v>217.066041955203</v>
      </c>
      <c r="H795" s="36" t="n">
        <f aca="false">(IF(H$43&gt;=1,Quesería!$G$107*IF(H$43=1,Quesería!$B$12,1),Quesería!$G$107*Quesería!$B$12*Quesería!$B$13/12*$S$23)+IF(H$43&gt;=2,Quesería!$G$108*$S$21*IF(H$43=2,Quesería!$B$12,1),0))*$S$10</f>
        <v>217.066041955203</v>
      </c>
      <c r="I795" s="36" t="n">
        <f aca="false">(IF(I$43&gt;=1,Quesería!$G$107*IF(I$43=1,Quesería!$B$12,1),Quesería!$G$107*Quesería!$B$12*Quesería!$B$13/12*$S$23)+IF(I$43&gt;=2,Quesería!$G$108*$S$21*IF(I$43=2,Quesería!$B$12,1),0))*$S$10</f>
        <v>217.066041955203</v>
      </c>
      <c r="J795" s="36" t="n">
        <f aca="false">(IF(J$43&gt;=1,Quesería!$G$107*IF(J$43=1,Quesería!$B$12,1),Quesería!$G$107*Quesería!$B$12*Quesería!$B$13/12*$S$23)+IF(J$43&gt;=2,Quesería!$G$108*$S$21*IF(J$43=2,Quesería!$B$12,1),0))*$S$10</f>
        <v>217.066041955203</v>
      </c>
      <c r="K795" s="36" t="n">
        <f aca="false">(IF(K$43&gt;=1,Quesería!$G$107*IF(K$43=1,Quesería!$B$12,1),Quesería!$G$107*Quesería!$B$12*Quesería!$B$13/12*$S$23)+IF(K$43&gt;=2,Quesería!$G$108*$S$21*IF(K$43=2,Quesería!$B$12,1),0))*$S$10</f>
        <v>217.066041955203</v>
      </c>
      <c r="L795" s="36" t="n">
        <f aca="false">(IF(L$43&gt;=1,Quesería!$G$107*IF(L$43=1,Quesería!$B$12,1),Quesería!$G$107*Quesería!$B$12*Quesería!$B$13/12*$S$23)+IF(L$43&gt;=2,Quesería!$G$108*$S$21*IF(L$43=2,Quesería!$B$12,1),0))*$S$10</f>
        <v>217.066041955203</v>
      </c>
    </row>
    <row r="796" customFormat="false" ht="15" hidden="false" customHeight="false" outlineLevel="0" collapsed="false">
      <c r="A796" s="6" t="s">
        <v>296</v>
      </c>
      <c r="B796" s="35" t="n">
        <f aca="false">(B795*(Quesería!$B$23+Quesería!$B$25*Quesería!$B$24)/365-B787*Quesería!$B$26/365)</f>
        <v>2.50861009237089</v>
      </c>
      <c r="C796" s="35" t="n">
        <f aca="false">(C795*(Quesería!$B$23+Quesería!$B$25*Quesería!$B$24)/365-C787*Quesería!$B$26/365)-(B795*(Quesería!$B$23+Quesería!$B$25*Quesería!$B$24)/365-B787*Quesería!$B$26/365)*B778/C778</f>
        <v>2.91304119724236</v>
      </c>
      <c r="D796" s="35" t="n">
        <f aca="false">(D795*(Quesería!$B$23+Quesería!$B$25*Quesería!$B$24)/365-D787*Quesería!$B$26/365)-(C795*(Quesería!$B$23+Quesería!$B$25*Quesería!$B$24)/365-C787*Quesería!$B$26/365)*C778/D778</f>
        <v>7.29151021833416</v>
      </c>
      <c r="E796" s="35" t="n">
        <f aca="false">(E795*(Quesería!$B$23+Quesería!$B$25*Quesería!$B$24)/365-E787*Quesería!$B$26/365)-(D795*(Quesería!$B$23+Quesería!$B$25*Quesería!$B$24)/365-D787*Quesería!$B$26/365)*D778/E778</f>
        <v>3.03681159467532</v>
      </c>
      <c r="F796" s="35" t="n">
        <f aca="false">(F795*(Quesería!$B$23+Quesería!$B$25*Quesería!$B$24)/365-F787*Quesería!$B$26/365)-(E795*(Quesería!$B$23+Quesería!$B$25*Quesería!$B$24)/365-E787*Quesería!$B$26/365)*E778/F778</f>
        <v>0.574099993113848</v>
      </c>
      <c r="G796" s="35" t="n">
        <f aca="false">(G795*(Quesería!$B$23+Quesería!$B$25*Quesería!$B$24)/365-G787*Quesería!$B$26/365)-(F795*(Quesería!$B$23+Quesería!$B$25*Quesería!$B$24)/365-F787*Quesería!$B$26/365)*F778/G778</f>
        <v>0.574099993113849</v>
      </c>
      <c r="H796" s="35" t="n">
        <f aca="false">(H795*(Quesería!$B$23+Quesería!$B$25*Quesería!$B$24)/365-H787*Quesería!$B$26/365)-(G795*(Quesería!$B$23+Quesería!$B$25*Quesería!$B$24)/365-G787*Quesería!$B$26/365)*G778/H778</f>
        <v>0.574099993113848</v>
      </c>
      <c r="I796" s="35" t="n">
        <f aca="false">(I795*(Quesería!$B$23+Quesería!$B$25*Quesería!$B$24)/365-I787*Quesería!$B$26/365)-(H795*(Quesería!$B$23+Quesería!$B$25*Quesería!$B$24)/365-H787*Quesería!$B$26/365)*H778/I778</f>
        <v>0.574099993113846</v>
      </c>
      <c r="J796" s="35" t="n">
        <f aca="false">(J795*(Quesería!$B$23+Quesería!$B$25*Quesería!$B$24)/365-J787*Quesería!$B$26/365)-(I795*(Quesería!$B$23+Quesería!$B$25*Quesería!$B$24)/365-I787*Quesería!$B$26/365)*I778/J778</f>
        <v>0.574099993113849</v>
      </c>
      <c r="K796" s="35" t="n">
        <f aca="false">(K795*(Quesería!$B$23+Quesería!$B$25*Quesería!$B$24)/365-K787*Quesería!$B$26/365)-(J795*(Quesería!$B$23+Quesería!$B$25*Quesería!$B$24)/365-J787*Quesería!$B$26/365)*J778/K778</f>
        <v>0.574099993113848</v>
      </c>
      <c r="L796" s="35" t="n">
        <f aca="false">-(K795*(Quesería!$B$23+Quesería!$B$25*Quesería!$B$24)/365-K787*Quesería!$B$26/365)*K778/L778</f>
        <v>-14.3524998278462</v>
      </c>
    </row>
    <row r="797" customFormat="false" ht="15" hidden="false" customHeight="false" outlineLevel="0" collapsed="false">
      <c r="A797" s="6" t="s">
        <v>297</v>
      </c>
      <c r="B797" s="35" t="n">
        <v>0</v>
      </c>
      <c r="C797" s="35" t="n">
        <v>0</v>
      </c>
      <c r="D797" s="35" t="n">
        <v>0</v>
      </c>
      <c r="E797" s="35" t="n">
        <v>0</v>
      </c>
      <c r="F797" s="35" t="n">
        <v>0</v>
      </c>
      <c r="G797" s="35" t="n">
        <v>0</v>
      </c>
      <c r="H797" s="35" t="n">
        <v>0</v>
      </c>
      <c r="I797" s="35" t="n">
        <v>0</v>
      </c>
      <c r="J797" s="35" t="n">
        <v>0</v>
      </c>
      <c r="K797" s="35" t="n">
        <v>0</v>
      </c>
      <c r="L797" s="35" t="n">
        <f aca="false">$S$8*Quesería!$B$39*(Quesería!$F$82+Quesería!$F$83*$S$21)*$S$11*(1-$S$17)</f>
        <v>56.0502928201667</v>
      </c>
    </row>
    <row r="798" customFormat="false" ht="15" hidden="false" customHeight="false" outlineLevel="0" collapsed="false">
      <c r="A798" s="5" t="s">
        <v>298</v>
      </c>
      <c r="B798" s="37" t="n">
        <f aca="false">B786-B787-B788-B789-B794-B781-B782-B783-B796+B797</f>
        <v>-662.041045072899</v>
      </c>
      <c r="C798" s="37" t="n">
        <f aca="false">C786-C787-C788-C789-C794-C781-C782-C783-C796+C797</f>
        <v>-418.877649725493</v>
      </c>
      <c r="D798" s="37" t="n">
        <f aca="false">D786-D787-D788-D789-D794-D781-D782-D783-D796+D797</f>
        <v>340.259825124479</v>
      </c>
      <c r="E798" s="37" t="n">
        <f aca="false">E786-E787-E788-E789-E794-E781-E782-E783-E796+E797</f>
        <v>249.458108965084</v>
      </c>
      <c r="F798" s="37" t="n">
        <f aca="false">F786-F787-F788-F789-F794-F781-F782-F783-F796+F797</f>
        <v>250.736851636289</v>
      </c>
      <c r="G798" s="37" t="n">
        <f aca="false">G786-G787-G788-G789-G794-G781-G782-G783-G796+G797</f>
        <v>217.774385245107</v>
      </c>
      <c r="H798" s="37" t="n">
        <f aca="false">H786-H787-H788-H789-H794-H781-H782-H783-H796+H797</f>
        <v>208.880107947902</v>
      </c>
      <c r="I798" s="37" t="n">
        <f aca="false">I786-I787-I788-I789-I794-I781-I782-I783-I796+I797</f>
        <v>254.065402142827</v>
      </c>
      <c r="J798" s="37" t="n">
        <f aca="false">J786-J787-J788-J789-J794-J781-J782-J783-J796+J797</f>
        <v>246.6536473548</v>
      </c>
      <c r="K798" s="37" t="n">
        <f aca="false">K786-K787-K788-K789-K794-K781-K782-K783-K796+K797</f>
        <v>245.743059483011</v>
      </c>
      <c r="L798" s="37" t="n">
        <f aca="false">L786-L787-L788-L789-L794-L781-L782-L783-L796+L797</f>
        <v>315.858759456126</v>
      </c>
    </row>
    <row r="799" customFormat="false" ht="15" hidden="false" customHeight="false" outlineLevel="0" collapsed="false">
      <c r="A799" s="9" t="s">
        <v>299</v>
      </c>
      <c r="B799" s="36" t="n">
        <f aca="false">B798*B778</f>
        <v>-701.763507777273</v>
      </c>
      <c r="C799" s="36" t="n">
        <f aca="false">C798*C778</f>
        <v>-466.210824144474</v>
      </c>
      <c r="D799" s="36" t="n">
        <f aca="false">D798*D778</f>
        <v>395.751098704905</v>
      </c>
      <c r="E799" s="36" t="n">
        <f aca="false">E798*E778</f>
        <v>301.746624052281</v>
      </c>
      <c r="F799" s="36" t="n">
        <f aca="false">F798*F778</f>
        <v>315.425138005962</v>
      </c>
      <c r="G799" s="36" t="n">
        <f aca="false">G798*G778</f>
        <v>284.916938514219</v>
      </c>
      <c r="H799" s="36" t="n">
        <f aca="false">H798*H778</f>
        <v>284.211662626415</v>
      </c>
      <c r="I799" s="36" t="n">
        <f aca="false">I798*I778</f>
        <v>359.520516869641</v>
      </c>
      <c r="J799" s="36" t="n">
        <f aca="false">J798*J778</f>
        <v>362.993653910916</v>
      </c>
      <c r="K799" s="36" t="n">
        <f aca="false">K798*K778</f>
        <v>376.119708438521</v>
      </c>
      <c r="L799" s="36" t="n">
        <f aca="false">L798*L778</f>
        <v>502.772012991512</v>
      </c>
    </row>
    <row r="800" customFormat="false" ht="15" hidden="false" customHeight="false" outlineLevel="0" collapsed="false">
      <c r="A800" s="6" t="s">
        <v>300</v>
      </c>
      <c r="B800" s="35" t="n">
        <f aca="false">B798</f>
        <v>-662.041045072899</v>
      </c>
      <c r="C800" s="35" t="n">
        <f aca="false">B800+C798</f>
        <v>-1080.91869479839</v>
      </c>
      <c r="D800" s="35" t="n">
        <f aca="false">C800+D798</f>
        <v>-740.658869673913</v>
      </c>
      <c r="E800" s="35" t="n">
        <f aca="false">D800+E798</f>
        <v>-491.200760708829</v>
      </c>
      <c r="F800" s="35" t="n">
        <f aca="false">E800+F798</f>
        <v>-240.463909072539</v>
      </c>
      <c r="G800" s="35" t="n">
        <f aca="false">F800+G798</f>
        <v>-22.689523827432</v>
      </c>
      <c r="H800" s="35" t="n">
        <f aca="false">G800+H798</f>
        <v>186.19058412047</v>
      </c>
      <c r="I800" s="35" t="n">
        <f aca="false">H800+I798</f>
        <v>440.255986263298</v>
      </c>
      <c r="J800" s="35" t="n">
        <f aca="false">I800+J798</f>
        <v>686.909633618098</v>
      </c>
      <c r="K800" s="35" t="n">
        <f aca="false">J800+K798</f>
        <v>932.652693101109</v>
      </c>
      <c r="L800" s="35" t="n">
        <f aca="false">K800+L798</f>
        <v>1248.51145255723</v>
      </c>
    </row>
    <row r="801" customFormat="false" ht="15" hidden="false" customHeight="false" outlineLevel="0" collapsed="false">
      <c r="A801" s="9" t="s">
        <v>301</v>
      </c>
      <c r="B801" s="38" t="n">
        <v>0</v>
      </c>
      <c r="C801" s="38" t="n">
        <f aca="false">IF(AND(B800&lt;0,C800&gt;=0),B$43+(-B800)/C798,0)</f>
        <v>0</v>
      </c>
      <c r="D801" s="38" t="n">
        <f aca="false">IF(AND(C800&lt;0,D800&gt;=0),C$43+(-C800)/D798,0)</f>
        <v>0</v>
      </c>
      <c r="E801" s="38" t="n">
        <f aca="false">IF(AND(D800&lt;0,E800&gt;=0),D$43+(-D800)/E798,0)</f>
        <v>0</v>
      </c>
      <c r="F801" s="38" t="n">
        <f aca="false">IF(AND(E800&lt;0,F800&gt;=0),E$43+(-E800)/F798,0)</f>
        <v>0</v>
      </c>
      <c r="G801" s="38" t="n">
        <f aca="false">IF(AND(F800&lt;0,G800&gt;=0),F$43+(-F800)/G798,0)</f>
        <v>0</v>
      </c>
      <c r="H801" s="38" t="n">
        <f aca="false">IF(AND(G800&lt;0,H800&gt;=0),G$43+(-G800)/H798,0)</f>
        <v>5.10862462706641</v>
      </c>
      <c r="I801" s="38" t="n">
        <f aca="false">IF(AND(H800&lt;0,I800&gt;=0),H$43+(-H800)/I798,0)</f>
        <v>0</v>
      </c>
      <c r="J801" s="38" t="n">
        <f aca="false">IF(AND(I800&lt;0,J800&gt;=0),I$43+(-I800)/J798,0)</f>
        <v>0</v>
      </c>
      <c r="K801" s="38" t="n">
        <f aca="false">IF(AND(J800&lt;0,K800&gt;=0),J$43+(-J800)/K798,0)</f>
        <v>0</v>
      </c>
      <c r="L801" s="38" t="n">
        <f aca="false">IF(AND(K800&lt;0,L800&gt;=0),K$43+(-K800)/L798,0)</f>
        <v>0</v>
      </c>
    </row>
    <row r="802" customFormat="false" ht="15" hidden="false" customHeight="false" outlineLevel="0" collapsed="false">
      <c r="A802" s="9" t="s">
        <v>302</v>
      </c>
      <c r="B802" s="34" t="n">
        <f aca="false">(B778/$B$778)/(1+$S$25)^B$43</f>
        <v>1</v>
      </c>
      <c r="C802" s="34" t="n">
        <f aca="false">(C778/$B$778)/(1+$S$25)^C$43</f>
        <v>0.913099173340447</v>
      </c>
      <c r="D802" s="34" t="n">
        <f aca="false">(D778/$B$778)/(1+$S$25)^D$43</f>
        <v>0.829779861781889</v>
      </c>
      <c r="E802" s="34" t="n">
        <f aca="false">(E778/$B$778)/(1+$S$25)^E$43</f>
        <v>0.750455388649045</v>
      </c>
      <c r="F802" s="34" t="n">
        <f aca="false">(F778/$B$778)/(1+$S$25)^F$43</f>
        <v>0.678714097909047</v>
      </c>
      <c r="G802" s="34" t="n">
        <f aca="false">(G778/$B$778)/(1+$S$25)^G$43</f>
        <v>0.613831060004446</v>
      </c>
      <c r="H802" s="34" t="n">
        <f aca="false">(H778/$B$778)/(1+$S$25)^H$43</f>
        <v>0.55515064647541</v>
      </c>
      <c r="I802" s="34" t="n">
        <f aca="false">(I778/$B$778)/(1+$S$25)^I$43</f>
        <v>0.502079904982053</v>
      </c>
      <c r="J802" s="34" t="n">
        <f aca="false">(J778/$B$778)/(1+$S$25)^J$43</f>
        <v>0.45408256765482</v>
      </c>
      <c r="K802" s="34" t="n">
        <f aca="false">(K778/$B$778)/(1+$S$25)^K$43</f>
        <v>0.410673632228649</v>
      </c>
      <c r="L802" s="34" t="n">
        <f aca="false">(L778/$B$778)/(1+$S$25)^L$43</f>
        <v>0.371414461204501</v>
      </c>
    </row>
    <row r="803" customFormat="false" ht="15" hidden="false" customHeight="false" outlineLevel="0" collapsed="false">
      <c r="A803" s="9" t="s">
        <v>303</v>
      </c>
      <c r="B803" s="36" t="n">
        <f aca="false">B798*B802</f>
        <v>-662.041045072899</v>
      </c>
      <c r="C803" s="36" t="n">
        <f aca="false">C798*C802</f>
        <v>-382.476835695137</v>
      </c>
      <c r="D803" s="36" t="n">
        <f aca="false">D798*D802</f>
        <v>282.34075066172</v>
      </c>
      <c r="E803" s="36" t="n">
        <f aca="false">E798*E802</f>
        <v>187.207182115048</v>
      </c>
      <c r="F803" s="36" t="n">
        <f aca="false">F798*F802</f>
        <v>170.178636070879</v>
      </c>
      <c r="G803" s="36" t="n">
        <f aca="false">G798*G802</f>
        <v>133.676681736821</v>
      </c>
      <c r="H803" s="36" t="n">
        <f aca="false">H798*H802</f>
        <v>115.959926963131</v>
      </c>
      <c r="I803" s="36" t="n">
        <f aca="false">I798*I802</f>
        <v>127.561132967098</v>
      </c>
      <c r="J803" s="36" t="n">
        <f aca="false">J798*J802</f>
        <v>112.001121512294</v>
      </c>
      <c r="K803" s="36" t="n">
        <f aca="false">K798*K802</f>
        <v>100.920194832869</v>
      </c>
      <c r="L803" s="36" t="n">
        <f aca="false">L798*L802</f>
        <v>117.314510960119</v>
      </c>
    </row>
    <row r="804" customFormat="false" ht="15" hidden="false" customHeight="false" outlineLevel="0" collapsed="false">
      <c r="A804" s="9" t="s">
        <v>304</v>
      </c>
      <c r="B804" s="36" t="n">
        <f aca="false">B803</f>
        <v>-662.041045072899</v>
      </c>
      <c r="C804" s="36" t="n">
        <f aca="false">B804+C803</f>
        <v>-1044.51788076804</v>
      </c>
      <c r="D804" s="36" t="n">
        <f aca="false">C804+D803</f>
        <v>-762.177130106316</v>
      </c>
      <c r="E804" s="36" t="n">
        <f aca="false">D804+E803</f>
        <v>-574.969947991268</v>
      </c>
      <c r="F804" s="36" t="n">
        <f aca="false">E804+F803</f>
        <v>-404.79131192039</v>
      </c>
      <c r="G804" s="36" t="n">
        <f aca="false">F804+G803</f>
        <v>-271.114630183569</v>
      </c>
      <c r="H804" s="36" t="n">
        <f aca="false">G804+H803</f>
        <v>-155.154703220437</v>
      </c>
      <c r="I804" s="36" t="n">
        <f aca="false">H804+I803</f>
        <v>-27.5935702533393</v>
      </c>
      <c r="J804" s="36" t="n">
        <f aca="false">I804+J803</f>
        <v>84.407551258955</v>
      </c>
      <c r="K804" s="36" t="n">
        <f aca="false">J804+K803</f>
        <v>185.327746091824</v>
      </c>
      <c r="L804" s="36" t="n">
        <f aca="false">K804+L803</f>
        <v>302.642257051943</v>
      </c>
    </row>
    <row r="805" customFormat="false" ht="15" hidden="false" customHeight="false" outlineLevel="0" collapsed="false">
      <c r="A805" s="9" t="s">
        <v>305</v>
      </c>
      <c r="B805" s="38" t="n">
        <v>0</v>
      </c>
      <c r="C805" s="38" t="n">
        <f aca="false">IF(AND(B804&lt;0,C804&gt;=0),B$43+(-B804)/C803,0)</f>
        <v>0</v>
      </c>
      <c r="D805" s="38" t="n">
        <f aca="false">IF(AND(C804&lt;0,D804&gt;=0),C$43+(-C804)/D803,0)</f>
        <v>0</v>
      </c>
      <c r="E805" s="38" t="n">
        <f aca="false">IF(AND(D804&lt;0,E804&gt;=0),D$43+(-D804)/E803,0)</f>
        <v>0</v>
      </c>
      <c r="F805" s="38" t="n">
        <f aca="false">IF(AND(E804&lt;0,F804&gt;=0),E$43+(-E804)/F803,0)</f>
        <v>0</v>
      </c>
      <c r="G805" s="38" t="n">
        <f aca="false">IF(AND(F804&lt;0,G804&gt;=0),F$43+(-F804)/G803,0)</f>
        <v>0</v>
      </c>
      <c r="H805" s="38" t="n">
        <f aca="false">IF(AND(G804&lt;0,H804&gt;=0),G$43+(-G804)/H803,0)</f>
        <v>0</v>
      </c>
      <c r="I805" s="38" t="n">
        <f aca="false">IF(AND(H804&lt;0,I804&gt;=0),H$43+(-H804)/I803,0)</f>
        <v>0</v>
      </c>
      <c r="J805" s="38" t="n">
        <f aca="false">IF(AND(I804&lt;0,J804&gt;=0),I$43+(-I804)/J803,0)</f>
        <v>7.24636869596266</v>
      </c>
      <c r="K805" s="38" t="n">
        <f aca="false">IF(AND(J804&lt;0,K804&gt;=0),J$43+(-J804)/K803,0)</f>
        <v>0</v>
      </c>
      <c r="L805" s="38" t="n">
        <f aca="false">IF(AND(K804&lt;0,L804&gt;=0),K$43+(-K804)/L803,0)</f>
        <v>0</v>
      </c>
    </row>
    <row r="806" customFormat="false" ht="15" hidden="false" customHeight="false" outlineLevel="0" collapsed="false">
      <c r="A806" s="9" t="s">
        <v>306</v>
      </c>
      <c r="B806" s="36" t="n">
        <f aca="false">IF(B$43&lt;0,0,(Quesería!$B$40*$B$781*$B$778)*(1-MAX(0,MIN(B$43-0-Quesería!$B$43,(Quesería!$B$42-Quesería!$B$43)))/(Quesería!$B$42-Quesería!$B$43)))+IF(B$43&lt;1,0,(Quesería!$B$40*$C$781*$C$778)*(1-MAX(0,MIN(B$43-1-Quesería!$B$43,(Quesería!$B$42-Quesería!$B$43)))/(Quesería!$B$42-Quesería!$B$43)))</f>
        <v>461.704769247221</v>
      </c>
      <c r="C806" s="36" t="n">
        <f aca="false">IF(C$43&lt;0,0,(Quesería!$B$40*$B$781*$B$778)*(1-MAX(0,MIN(C$43-0-Quesería!$B$43,(Quesería!$B$42-Quesería!$B$43)))/(Quesería!$B$42-Quesería!$B$43)))+IF(C$43&lt;1,0,(Quesería!$B$40*$C$781*$C$778)*(1-MAX(0,MIN(C$43-1-Quesería!$B$43,(Quesería!$B$42-Quesería!$B$43)))/(Quesería!$B$42-Quesería!$B$43)))</f>
        <v>964.434695258825</v>
      </c>
      <c r="D806" s="36" t="n">
        <f aca="false">IF(D$43&lt;0,0,(Quesería!$B$40*$B$781*$B$778)*(1-MAX(0,MIN(D$43-0-Quesería!$B$43,(Quesería!$B$42-Quesería!$B$43)))/(Quesería!$B$42-Quesería!$B$43)))+IF(D$43&lt;1,0,(Quesería!$B$40*$C$781*$C$778)*(1-MAX(0,MIN(D$43-1-Quesería!$B$43,(Quesería!$B$42-Quesería!$B$43)))/(Quesería!$B$42-Quesería!$B$43)))</f>
        <v>887.483900384289</v>
      </c>
      <c r="E806" s="36" t="n">
        <f aca="false">IF(E$43&lt;0,0,(Quesería!$B$40*$B$781*$B$778)*(1-MAX(0,MIN(E$43-0-Quesería!$B$43,(Quesería!$B$42-Quesería!$B$43)))/(Quesería!$B$42-Quesería!$B$43)))+IF(E$43&lt;1,0,(Quesería!$B$40*$C$781*$C$778)*(1-MAX(0,MIN(E$43-1-Quesería!$B$43,(Quesería!$B$42-Quesería!$B$43)))/(Quesería!$B$42-Quesería!$B$43)))</f>
        <v>726.744784507818</v>
      </c>
      <c r="F806" s="36" t="n">
        <f aca="false">IF(F$43&lt;0,0,(Quesería!$B$40*$B$781*$B$778)*(1-MAX(0,MIN(F$43-0-Quesería!$B$43,(Quesería!$B$42-Quesería!$B$43)))/(Quesería!$B$42-Quesería!$B$43)))+IF(F$43&lt;1,0,(Quesería!$B$40*$C$781*$C$778)*(1-MAX(0,MIN(F$43-1-Quesería!$B$43,(Quesería!$B$42-Quesería!$B$43)))/(Quesería!$B$42-Quesería!$B$43)))</f>
        <v>566.005668631347</v>
      </c>
      <c r="G806" s="36" t="n">
        <f aca="false">IF(G$43&lt;0,0,(Quesería!$B$40*$B$781*$B$778)*(1-MAX(0,MIN(G$43-0-Quesería!$B$43,(Quesería!$B$42-Quesería!$B$43)))/(Quesería!$B$42-Quesería!$B$43)))+IF(G$43&lt;1,0,(Quesería!$B$40*$C$781*$C$778)*(1-MAX(0,MIN(G$43-1-Quesería!$B$43,(Quesería!$B$42-Quesería!$B$43)))/(Quesería!$B$42-Quesería!$B$43)))</f>
        <v>405.266552754876</v>
      </c>
      <c r="H806" s="36" t="n">
        <f aca="false">IF(H$43&lt;0,0,(Quesería!$B$40*$B$781*$B$778)*(1-MAX(0,MIN(H$43-0-Quesería!$B$43,(Quesería!$B$42-Quesería!$B$43)))/(Quesería!$B$42-Quesería!$B$43)))+IF(H$43&lt;1,0,(Quesería!$B$40*$C$781*$C$778)*(1-MAX(0,MIN(H$43-1-Quesería!$B$43,(Quesería!$B$42-Quesería!$B$43)))/(Quesería!$B$42-Quesería!$B$43)))</f>
        <v>244.527436878405</v>
      </c>
      <c r="I806" s="36" t="n">
        <f aca="false">IF(I$43&lt;0,0,(Quesería!$B$40*$B$781*$B$778)*(1-MAX(0,MIN(I$43-0-Quesería!$B$43,(Quesería!$B$42-Quesería!$B$43)))/(Quesería!$B$42-Quesería!$B$43)))+IF(I$43&lt;1,0,(Quesería!$B$40*$C$781*$C$778)*(1-MAX(0,MIN(I$43-1-Quesería!$B$43,(Quesería!$B$42-Quesería!$B$43)))/(Quesería!$B$42-Quesería!$B$43)))</f>
        <v>83.788321001934</v>
      </c>
      <c r="J806" s="36" t="n">
        <f aca="false">IF(J$43&lt;0,0,(Quesería!$B$40*$B$781*$B$778)*(1-MAX(0,MIN(J$43-0-Quesería!$B$43,(Quesería!$B$42-Quesería!$B$43)))/(Quesería!$B$42-Quesería!$B$43)))+IF(J$43&lt;1,0,(Quesería!$B$40*$C$781*$C$778)*(1-MAX(0,MIN(J$43-1-Quesería!$B$43,(Quesería!$B$42-Quesería!$B$43)))/(Quesería!$B$42-Quesería!$B$43)))</f>
        <v>0</v>
      </c>
      <c r="K806" s="36" t="n">
        <f aca="false">IF(K$43&lt;0,0,(Quesería!$B$40*$B$781*$B$778)*(1-MAX(0,MIN(K$43-0-Quesería!$B$43,(Quesería!$B$42-Quesería!$B$43)))/(Quesería!$B$42-Quesería!$B$43)))+IF(K$43&lt;1,0,(Quesería!$B$40*$C$781*$C$778)*(1-MAX(0,MIN(K$43-1-Quesería!$B$43,(Quesería!$B$42-Quesería!$B$43)))/(Quesería!$B$42-Quesería!$B$43)))</f>
        <v>0</v>
      </c>
      <c r="L806" s="36" t="n">
        <f aca="false">IF(L$43&lt;0,0,(Quesería!$B$40*$B$781*$B$778)*(1-MAX(0,MIN(L$43-0-Quesería!$B$43,(Quesería!$B$42-Quesería!$B$43)))/(Quesería!$B$42-Quesería!$B$43)))+IF(L$43&lt;1,0,(Quesería!$B$40*$C$781*$C$778)*(1-MAX(0,MIN(L$43-1-Quesería!$B$43,(Quesería!$B$42-Quesería!$B$43)))/(Quesería!$B$42-Quesería!$B$43)))</f>
        <v>0</v>
      </c>
    </row>
    <row r="807" customFormat="false" ht="15" hidden="false" customHeight="false" outlineLevel="0" collapsed="false">
      <c r="A807" s="6" t="s">
        <v>307</v>
      </c>
      <c r="B807" s="35" t="n">
        <f aca="false">Quesería!$B$40*B781</f>
        <v>435.57053702568</v>
      </c>
      <c r="C807" s="35" t="n">
        <f aca="false">Quesería!$B$40*C781</f>
        <v>451.689062005035</v>
      </c>
      <c r="D807" s="35" t="n">
        <f aca="false">Quesería!$B$40*D781</f>
        <v>0</v>
      </c>
      <c r="E807" s="35" t="n">
        <f aca="false">Quesería!$B$40*E781</f>
        <v>0</v>
      </c>
      <c r="F807" s="35" t="n">
        <f aca="false">Quesería!$B$40*F781</f>
        <v>0</v>
      </c>
      <c r="G807" s="35" t="n">
        <f aca="false">Quesería!$B$40*G781</f>
        <v>0</v>
      </c>
      <c r="H807" s="35" t="n">
        <f aca="false">Quesería!$B$40*H781</f>
        <v>0</v>
      </c>
      <c r="I807" s="35" t="n">
        <f aca="false">Quesería!$B$40*I781</f>
        <v>0</v>
      </c>
      <c r="J807" s="35" t="n">
        <f aca="false">Quesería!$B$40*J781</f>
        <v>0</v>
      </c>
      <c r="K807" s="35" t="n">
        <f aca="false">Quesería!$B$40*K781</f>
        <v>0</v>
      </c>
      <c r="L807" s="35" t="n">
        <f aca="false">Quesería!$B$40*L781</f>
        <v>0</v>
      </c>
    </row>
    <row r="808" customFormat="false" ht="15" hidden="false" customHeight="false" outlineLevel="0" collapsed="false">
      <c r="A808" s="6" t="s">
        <v>308</v>
      </c>
      <c r="B808" s="35" t="n">
        <f aca="false">(IF(AND(B$43&gt;0,B$43&lt;=0+Quesería!$B$42),($S$14+$S$24)*((Quesería!$B$40*$B$781*$B$778)-(Quesería!$B$40*$B$781*$B$778)/(Quesería!$B$42-Quesería!$B$43)*MAX(0,MIN(B$43-1-0-Quesería!$B$43,(Quesería!$B$42-Quesería!$B$43)))),0)+IF(AND(B$43&gt;1,B$43&lt;=1+Quesería!$B$42),($S$14+$S$24)*((Quesería!$B$40*$C$781*$C$778)-(Quesería!$B$40*$C$781*$C$778)/(Quesería!$B$42-Quesería!$B$43)*MAX(0,MIN(B$43-1-1-Quesería!$B$43,(Quesería!$B$42-Quesería!$B$43)))),0))*B780</f>
        <v>0</v>
      </c>
      <c r="C808" s="35" t="n">
        <f aca="false">(IF(AND(C$43&gt;0,C$43&lt;=0+Quesería!$B$42),($S$14+$S$24)*((Quesería!$B$40*$B$781*$B$778)-(Quesería!$B$40*$B$781*$B$778)/(Quesería!$B$42-Quesería!$B$43)*MAX(0,MIN(C$43-1-0-Quesería!$B$43,(Quesería!$B$42-Quesería!$B$43)))),0)+IF(AND(C$43&gt;1,C$43&lt;=1+Quesería!$B$42),($S$14+$S$24)*((Quesería!$B$40*$C$781*$C$778)-(Quesería!$B$40*$C$781*$C$778)/(Quesería!$B$42-Quesería!$B$43)*MAX(0,MIN(C$43-1-1-Quesería!$B$43,(Quesería!$B$42-Quesería!$B$43)))),0))*C780</f>
        <v>58.4909006863056</v>
      </c>
      <c r="D808" s="35" t="n">
        <f aca="false">(IF(AND(D$43&gt;0,D$43&lt;=0+Quesería!$B$42),($S$14+$S$24)*((Quesería!$B$40*$B$781*$B$778)-(Quesería!$B$40*$B$781*$B$778)/(Quesería!$B$42-Quesería!$B$43)*MAX(0,MIN(D$43-1-0-Quesería!$B$43,(Quesería!$B$42-Quesería!$B$43)))),0)+IF(AND(D$43&gt;1,D$43&lt;=1+Quesería!$B$42),($S$14+$S$24)*((Quesería!$B$40*$C$781*$C$778)-(Quesería!$B$40*$C$781*$C$778)/(Quesería!$B$42-Quesería!$B$43)*MAX(0,MIN(D$43-1-1-Quesería!$B$43,(Quesería!$B$42-Quesería!$B$43)))),0))*D780</f>
        <v>116.917759262216</v>
      </c>
      <c r="E808" s="35" t="n">
        <f aca="false">(IF(AND(E$43&gt;0,E$43&lt;=0+Quesería!$B$42),($S$14+$S$24)*((Quesería!$B$40*$B$781*$B$778)-(Quesería!$B$40*$B$781*$B$778)/(Quesería!$B$42-Quesería!$B$43)*MAX(0,MIN(E$43-1-0-Quesería!$B$43,(Quesería!$B$42-Quesería!$B$43)))),0)+IF(AND(E$43&gt;1,E$43&lt;=1+Quesería!$B$42),($S$14+$S$24)*((Quesería!$B$40*$C$781*$C$778)-(Quesería!$B$40*$C$781*$C$778)/(Quesería!$B$42-Quesería!$B$43)*MAX(0,MIN(E$43-1-1-Quesería!$B$43,(Quesería!$B$42-Quesería!$B$43)))),0))*E780</f>
        <v>103.451025930528</v>
      </c>
      <c r="F808" s="35" t="n">
        <f aca="false">(IF(AND(F$43&gt;0,F$43&lt;=0+Quesería!$B$42),($S$14+$S$24)*((Quesería!$B$40*$B$781*$B$778)-(Quesería!$B$40*$B$781*$B$778)/(Quesería!$B$42-Quesería!$B$43)*MAX(0,MIN(F$43-1-0-Quesería!$B$43,(Quesería!$B$42-Quesería!$B$43)))),0)+IF(AND(F$43&gt;1,F$43&lt;=1+Quesería!$B$42),($S$14+$S$24)*((Quesería!$B$40*$C$781*$C$778)-(Quesería!$B$40*$C$781*$C$778)/(Quesería!$B$42-Quesería!$B$43)*MAX(0,MIN(F$43-1-1-Quesería!$B$43,(Quesería!$B$42-Quesería!$B$43)))),0))*F780</f>
        <v>81.455966861483</v>
      </c>
      <c r="G808" s="35" t="n">
        <f aca="false">(IF(AND(G$43&gt;0,G$43&lt;=0+Quesería!$B$42),($S$14+$S$24)*((Quesería!$B$40*$B$781*$B$778)-(Quesería!$B$40*$B$781*$B$778)/(Quesería!$B$42-Quesería!$B$43)*MAX(0,MIN(G$43-1-0-Quesería!$B$43,(Quesería!$B$42-Quesería!$B$43)))),0)+IF(AND(G$43&gt;1,G$43&lt;=1+Quesería!$B$42),($S$14+$S$24)*((Quesería!$B$40*$C$781*$C$778)-(Quesería!$B$40*$C$781*$C$778)/(Quesería!$B$42-Quesería!$B$43)*MAX(0,MIN(G$43-1-1-Quesería!$B$43,(Quesería!$B$42-Quesería!$B$43)))),0))*G780</f>
        <v>60.9998013511061</v>
      </c>
      <c r="H808" s="35" t="n">
        <f aca="false">(IF(AND(H$43&gt;0,H$43&lt;=0+Quesería!$B$42),($S$14+$S$24)*((Quesería!$B$40*$B$781*$B$778)-(Quesería!$B$40*$B$781*$B$778)/(Quesería!$B$42-Quesería!$B$43)*MAX(0,MIN(H$43-1-0-Quesería!$B$43,(Quesería!$B$42-Quesería!$B$43)))),0)+IF(AND(H$43&gt;1,H$43&lt;=1+Quesería!$B$42),($S$14+$S$24)*((Quesería!$B$40*$C$781*$C$778)-(Quesería!$B$40*$C$781*$C$778)/(Quesería!$B$42-Quesería!$B$43)*MAX(0,MIN(H$43-1-1-Quesería!$B$43,(Quesería!$B$42-Quesería!$B$43)))),0))*H780</f>
        <v>41.9966900414366</v>
      </c>
      <c r="I808" s="35" t="n">
        <f aca="false">(IF(AND(I$43&gt;0,I$43&lt;=0+Quesería!$B$42),($S$14+$S$24)*((Quesería!$B$40*$B$781*$B$778)-(Quesería!$B$40*$B$781*$B$778)/(Quesería!$B$42-Quesería!$B$43)*MAX(0,MIN(I$43-1-0-Quesería!$B$43,(Quesería!$B$42-Quesería!$B$43)))),0)+IF(AND(I$43&gt;1,I$43&lt;=1+Quesería!$B$42),($S$14+$S$24)*((Quesería!$B$40*$C$781*$C$778)-(Quesería!$B$40*$C$781*$C$778)/(Quesería!$B$42-Quesería!$B$43)*MAX(0,MIN(I$43-1-1-Quesería!$B$43,(Quesería!$B$42-Quesería!$B$43)))),0))*I780</f>
        <v>24.3651201322873</v>
      </c>
      <c r="J808" s="35" t="n">
        <f aca="false">(IF(AND(J$43&gt;0,J$43&lt;=0+Quesería!$B$42),($S$14+$S$24)*((Quesería!$B$40*$B$781*$B$778)-(Quesería!$B$40*$B$781*$B$778)/(Quesería!$B$42-Quesería!$B$43)*MAX(0,MIN(J$43-1-0-Quesería!$B$43,(Quesería!$B$42-Quesería!$B$43)))),0)+IF(AND(J$43&gt;1,J$43&lt;=1+Quesería!$B$42),($S$14+$S$24)*((Quesería!$B$40*$C$781*$C$778)-(Quesería!$B$40*$C$781*$C$778)/(Quesería!$B$42-Quesería!$B$43)*MAX(0,MIN(J$43-1-1-Quesería!$B$43,(Quesería!$B$42-Quesería!$B$43)))),0))*J780</f>
        <v>8.02769955040774</v>
      </c>
      <c r="K808" s="35" t="n">
        <f aca="false">(IF(AND(K$43&gt;0,K$43&lt;=0+Quesería!$B$42),($S$14+$S$24)*((Quesería!$B$40*$B$781*$B$778)-(Quesería!$B$40*$B$781*$B$778)/(Quesería!$B$42-Quesería!$B$43)*MAX(0,MIN(K$43-1-0-Quesería!$B$43,(Quesería!$B$42-Quesería!$B$43)))),0)+IF(AND(K$43&gt;1,K$43&lt;=1+Quesería!$B$42),($S$14+$S$24)*((Quesería!$B$40*$C$781*$C$778)-(Quesería!$B$40*$C$781*$C$778)/(Quesería!$B$42-Quesería!$B$43)*MAX(0,MIN(K$43-1-1-Quesería!$B$43,(Quesería!$B$42-Quesería!$B$43)))),0))*K780</f>
        <v>0</v>
      </c>
      <c r="L808" s="35" t="n">
        <f aca="false">(IF(AND(L$43&gt;0,L$43&lt;=0+Quesería!$B$42),($S$14+$S$24)*((Quesería!$B$40*$B$781*$B$778)-(Quesería!$B$40*$B$781*$B$778)/(Quesería!$B$42-Quesería!$B$43)*MAX(0,MIN(L$43-1-0-Quesería!$B$43,(Quesería!$B$42-Quesería!$B$43)))),0)+IF(AND(L$43&gt;1,L$43&lt;=1+Quesería!$B$42),($S$14+$S$24)*((Quesería!$B$40*$C$781*$C$778)-(Quesería!$B$40*$C$781*$C$778)/(Quesería!$B$42-Quesería!$B$43)*MAX(0,MIN(L$43-1-1-Quesería!$B$43,(Quesería!$B$42-Quesería!$B$43)))),0))*L780</f>
        <v>0</v>
      </c>
    </row>
    <row r="809" customFormat="false" ht="15" hidden="false" customHeight="false" outlineLevel="0" collapsed="false">
      <c r="A809" s="6" t="s">
        <v>309</v>
      </c>
      <c r="B809" s="35" t="n">
        <f aca="false">(IF(AND(B$43&gt;0+Quesería!$B$43,B$43&lt;=0+Quesería!$B$42),(Quesería!$B$40*$B$781*$B$778)/(Quesería!$B$42-Quesería!$B$43),0)+IF(AND(B$43&gt;1+Quesería!$B$43,B$43&lt;=1+Quesería!$B$42),(Quesería!$B$40*$C$781*$C$778)/(Quesería!$B$42-Quesería!$B$43),0))*B780</f>
        <v>0</v>
      </c>
      <c r="C809" s="35" t="n">
        <f aca="false">(IF(AND(C$43&gt;0+Quesería!$B$43,C$43&lt;=0+Quesería!$B$42),(Quesería!$B$40*$B$781*$B$778)/(Quesería!$B$42-Quesería!$B$43),0)+IF(AND(C$43&gt;1+Quesería!$B$43,C$43&lt;=1+Quesería!$B$42),(Quesería!$B$40*$C$781*$C$778)/(Quesería!$B$42-Quesería!$B$43),0))*C780</f>
        <v>0</v>
      </c>
      <c r="D809" s="35" t="n">
        <f aca="false">(IF(AND(D$43&gt;0+Quesería!$B$43,D$43&lt;=0+Quesería!$B$42),(Quesería!$B$40*$B$781*$B$778)/(Quesería!$B$42-Quesería!$B$43),0)+IF(AND(D$43&gt;1+Quesería!$B$43,D$43&lt;=1+Quesería!$B$42),(Quesería!$B$40*$C$781*$C$778)/(Quesería!$B$42-Quesería!$B$43),0))*D780</f>
        <v>66.1609382586284</v>
      </c>
      <c r="E809" s="35" t="n">
        <f aca="false">(IF(AND(E$43&gt;0+Quesería!$B$43,E$43&lt;=0+Quesería!$B$42),(Quesería!$B$40*$B$781*$B$778)/(Quesería!$B$42-Quesería!$B$43),0)+IF(AND(E$43&gt;1+Quesería!$B$43,E$43&lt;=1+Quesería!$B$42),(Quesería!$B$40*$C$781*$C$778)/(Quesería!$B$42-Quesería!$B$43),0))*E780</f>
        <v>132.885251025432</v>
      </c>
      <c r="F809" s="35" t="n">
        <f aca="false">(IF(AND(F$43&gt;0+Quesería!$B$43,F$43&lt;=0+Quesería!$B$42),(Quesería!$B$40*$B$781*$B$778)/(Quesería!$B$42-Quesería!$B$43),0)+IF(AND(F$43&gt;1+Quesería!$B$43,F$43&lt;=1+Quesería!$B$42),(Quesería!$B$40*$C$781*$C$778)/(Quesería!$B$42-Quesería!$B$43),0))*F780</f>
        <v>127.774279832146</v>
      </c>
      <c r="G809" s="35" t="n">
        <f aca="false">(IF(AND(G$43&gt;0+Quesería!$B$43,G$43&lt;=0+Quesería!$B$42),(Quesería!$B$40*$B$781*$B$778)/(Quesería!$B$42-Quesería!$B$43),0)+IF(AND(G$43&gt;1+Quesería!$B$43,G$43&lt;=1+Quesería!$B$42),(Quesería!$B$40*$C$781*$C$778)/(Quesería!$B$42-Quesería!$B$43),0))*G780</f>
        <v>122.859884453986</v>
      </c>
      <c r="H809" s="35" t="n">
        <f aca="false">(IF(AND(H$43&gt;0+Quesería!$B$43,H$43&lt;=0+Quesería!$B$42),(Quesería!$B$40*$B$781*$B$778)/(Quesería!$B$42-Quesería!$B$43),0)+IF(AND(H$43&gt;1+Quesería!$B$43,H$43&lt;=1+Quesería!$B$42),(Quesería!$B$40*$C$781*$C$778)/(Quesería!$B$42-Quesería!$B$43),0))*H780</f>
        <v>118.134504282679</v>
      </c>
      <c r="I809" s="35" t="n">
        <f aca="false">(IF(AND(I$43&gt;0+Quesería!$B$43,I$43&lt;=0+Quesería!$B$42),(Quesería!$B$40*$B$781*$B$778)/(Quesería!$B$42-Quesería!$B$43),0)+IF(AND(I$43&gt;1+Quesería!$B$43,I$43&lt;=1+Quesería!$B$42),(Quesería!$B$40*$C$781*$C$778)/(Quesería!$B$42-Quesería!$B$43),0))*I780</f>
        <v>113.590869502576</v>
      </c>
      <c r="J809" s="35" t="n">
        <f aca="false">(IF(AND(J$43&gt;0+Quesería!$B$43,J$43&lt;=0+Quesería!$B$42),(Quesería!$B$40*$B$781*$B$778)/(Quesería!$B$42-Quesería!$B$43),0)+IF(AND(J$43&gt;1+Quesería!$B$43,J$43&lt;=1+Quesería!$B$42),(Quesería!$B$40*$C$781*$C$778)/(Quesería!$B$42-Quesería!$B$43),0))*J780</f>
        <v>56.9340393645939</v>
      </c>
      <c r="K809" s="35" t="n">
        <f aca="false">(IF(AND(K$43&gt;0+Quesería!$B$43,K$43&lt;=0+Quesería!$B$42),(Quesería!$B$40*$B$781*$B$778)/(Quesería!$B$42-Quesería!$B$43),0)+IF(AND(K$43&gt;1+Quesería!$B$43,K$43&lt;=1+Quesería!$B$42),(Quesería!$B$40*$C$781*$C$778)/(Quesería!$B$42-Quesería!$B$43),0))*K780</f>
        <v>0</v>
      </c>
      <c r="L809" s="35" t="n">
        <f aca="false">(IF(AND(L$43&gt;0+Quesería!$B$43,L$43&lt;=0+Quesería!$B$42),(Quesería!$B$40*$B$781*$B$778)/(Quesería!$B$42-Quesería!$B$43),0)+IF(AND(L$43&gt;1+Quesería!$B$43,L$43&lt;=1+Quesería!$B$42),(Quesería!$B$40*$C$781*$C$778)/(Quesería!$B$42-Quesería!$B$43),0))*L780</f>
        <v>0</v>
      </c>
    </row>
    <row r="810" customFormat="false" ht="15" hidden="false" customHeight="false" outlineLevel="0" collapsed="false">
      <c r="A810" s="6" t="s">
        <v>310</v>
      </c>
      <c r="B810" s="35" t="n">
        <f aca="false">$S$13*Quesería!$B$44*(1+0.19)*B806*B780+(1-$S$13)*IF(B$43=0,Quesería!$B$53,0)</f>
        <v>10.3147458873051</v>
      </c>
      <c r="C810" s="35" t="n">
        <f aca="false">$S$13*Quesería!$B$44*(1+0.19)*C806*C780+(1-$S$13)*IF(C$43=0,Quesería!$B$53,0)</f>
        <v>20.5200161890604</v>
      </c>
      <c r="D810" s="35" t="n">
        <f aca="false">$S$13*Quesería!$B$44*(1+0.19)*D806*D780+(1-$S$13)*IF(D$43=0,Quesería!$B$53,0)</f>
        <v>18.0696219493849</v>
      </c>
      <c r="E810" s="35" t="n">
        <f aca="false">$S$13*Quesería!$B$44*(1+0.19)*E806*E780+(1-$S$13)*IF(E$43=0,Quesería!$B$53,0)</f>
        <v>14.2277808602599</v>
      </c>
      <c r="F810" s="35" t="n">
        <f aca="false">$S$13*Quesería!$B$44*(1+0.19)*F806*F780+(1-$S$13)*IF(F$43=0,Quesería!$B$53,0)</f>
        <v>10.6547357987756</v>
      </c>
      <c r="G810" s="35" t="n">
        <f aca="false">$S$13*Quesería!$B$44*(1+0.19)*G806*G780+(1-$S$13)*IF(G$43=0,Quesería!$B$53,0)</f>
        <v>7.33549334429865</v>
      </c>
      <c r="H810" s="35" t="n">
        <f aca="false">$S$13*Quesería!$B$44*(1+0.19)*H806*H780+(1-$S$13)*IF(H$43=0,Quesería!$B$53,0)</f>
        <v>4.25581578898442</v>
      </c>
      <c r="I810" s="35" t="n">
        <f aca="false">$S$13*Quesería!$B$44*(1+0.19)*I806*I780+(1-$S$13)*IF(I$43=0,Quesería!$B$53,0)</f>
        <v>1.40218518564067</v>
      </c>
      <c r="J810" s="35" t="n">
        <f aca="false">$S$13*Quesería!$B$44*(1+0.19)*J806*J780+(1-$S$13)*IF(J$43=0,Quesería!$B$53,0)</f>
        <v>0</v>
      </c>
      <c r="K810" s="35" t="n">
        <f aca="false">$S$13*Quesería!$B$44*(1+0.19)*K806*K780+(1-$S$13)*IF(K$43=0,Quesería!$B$53,0)</f>
        <v>0</v>
      </c>
      <c r="L810" s="35" t="n">
        <f aca="false">$S$13*Quesería!$B$44*(1+0.19)*L806*L780+(1-$S$13)*IF(L$43=0,Quesería!$B$53,0)</f>
        <v>0</v>
      </c>
    </row>
    <row r="811" customFormat="false" ht="15" hidden="false" customHeight="false" outlineLevel="0" collapsed="false">
      <c r="A811" s="6" t="s">
        <v>311</v>
      </c>
      <c r="B811" s="35" t="n">
        <f aca="false">Quesería!$B$45*(B808+B809+B810)</f>
        <v>0.0412589835492206</v>
      </c>
      <c r="C811" s="35" t="n">
        <f aca="false">Quesería!$B$45*(C808+C809+C810)</f>
        <v>0.316043667501464</v>
      </c>
      <c r="D811" s="35" t="n">
        <f aca="false">Quesería!$B$45*(D808+D809+D810)</f>
        <v>0.804593277880917</v>
      </c>
      <c r="E811" s="35" t="n">
        <f aca="false">Quesería!$B$45*(E808+E809+E810)</f>
        <v>1.00225623126488</v>
      </c>
      <c r="F811" s="35" t="n">
        <f aca="false">Quesería!$B$45*(F808+F809+F810)</f>
        <v>0.879539929969618</v>
      </c>
      <c r="G811" s="35" t="n">
        <f aca="false">Quesería!$B$45*(G808+G809+G810)</f>
        <v>0.764780716597565</v>
      </c>
      <c r="H811" s="35" t="n">
        <f aca="false">Quesería!$B$45*(H808+H809+H810)</f>
        <v>0.657548040452401</v>
      </c>
      <c r="I811" s="35" t="n">
        <f aca="false">Quesería!$B$45*(I808+I809+I810)</f>
        <v>0.557432699282017</v>
      </c>
      <c r="J811" s="35" t="n">
        <f aca="false">Quesería!$B$45*(J808+J809+J810)</f>
        <v>0.259846955660007</v>
      </c>
      <c r="K811" s="35" t="n">
        <f aca="false">Quesería!$B$45*(K808+K809+K810)</f>
        <v>0</v>
      </c>
      <c r="L811" s="35" t="n">
        <f aca="false">Quesería!$B$45*(L808+L809+L810)</f>
        <v>0</v>
      </c>
    </row>
    <row r="812" customFormat="false" ht="15" hidden="false" customHeight="false" outlineLevel="0" collapsed="false">
      <c r="A812" s="6" t="s">
        <v>312</v>
      </c>
      <c r="B812" s="35" t="n">
        <f aca="false">$S$17*(B808+B810+0.5*B811)</f>
        <v>3.61738138267791</v>
      </c>
      <c r="C812" s="35" t="n">
        <f aca="false">$S$17*(C808+C810+0.5*C811)</f>
        <v>27.7091285481909</v>
      </c>
      <c r="D812" s="35" t="n">
        <f aca="false">$S$17*(D808+D810+0.5*D811)</f>
        <v>47.3863872476894</v>
      </c>
      <c r="E812" s="35" t="n">
        <f aca="false">$S$17*(E808+E810+0.5*E811)</f>
        <v>41.3629772172472</v>
      </c>
      <c r="F812" s="35" t="n">
        <f aca="false">$S$17*(F808+F810+0.5*F811)</f>
        <v>32.3926654188352</v>
      </c>
      <c r="G812" s="35" t="n">
        <f aca="false">$S$17*(G808+G810+0.5*G811)</f>
        <v>24.0511897687962</v>
      </c>
      <c r="H812" s="35" t="n">
        <f aca="false">$S$17*(H808+H810+0.5*H811)</f>
        <v>16.3034479477265</v>
      </c>
      <c r="I812" s="35" t="n">
        <f aca="false">$S$17*(I808+I810+0.5*I811)</f>
        <v>9.11610758364914</v>
      </c>
      <c r="J812" s="35" t="n">
        <f aca="false">$S$17*(J808+J810+0.5*J811)</f>
        <v>2.85516805988321</v>
      </c>
      <c r="K812" s="35" t="n">
        <f aca="false">$S$17*(K808+K810+0.5*K811)</f>
        <v>0</v>
      </c>
      <c r="L812" s="35" t="n">
        <f aca="false">$S$17*(L808+L810+0.5*L811)</f>
        <v>0</v>
      </c>
    </row>
    <row r="813" customFormat="false" ht="15" hidden="false" customHeight="false" outlineLevel="0" collapsed="false">
      <c r="A813" s="5" t="s">
        <v>313</v>
      </c>
      <c r="B813" s="37" t="n">
        <f aca="false">B798+B807-B808-B809-B810-B811+B812</f>
        <v>-233.209131535395</v>
      </c>
      <c r="C813" s="37" t="n">
        <f aca="false">C798+C807-C808-C809-C810-C811+C812</f>
        <v>-18.806419715135</v>
      </c>
      <c r="D813" s="37" t="n">
        <f aca="false">D798+D807-D808-D809-D810-D811+D812</f>
        <v>185.693299624059</v>
      </c>
      <c r="E813" s="37" t="n">
        <f aca="false">E798+E807-E808-E809-E810-E811+E812</f>
        <v>39.2547721348465</v>
      </c>
      <c r="F813" s="37" t="n">
        <f aca="false">F798+F807-F808-F809-F810-F811+F812</f>
        <v>62.3649946327504</v>
      </c>
      <c r="G813" s="37" t="n">
        <f aca="false">G798+G807-G808-G809-G810-G811+G812</f>
        <v>49.8656151479148</v>
      </c>
      <c r="H813" s="37" t="n">
        <f aca="false">H798+H807-H808-H809-H810-H811+H812</f>
        <v>60.1389977420762</v>
      </c>
      <c r="I813" s="37" t="n">
        <f aca="false">I798+I807-I808-I809-I810-I811+I812</f>
        <v>123.26590220669</v>
      </c>
      <c r="J813" s="37" t="n">
        <f aca="false">J798+J807-J808-J809-J810-J811+J812</f>
        <v>184.287229544022</v>
      </c>
      <c r="K813" s="37" t="n">
        <f aca="false">K798+K807-K808-K809-K810-K811+K812</f>
        <v>245.743059483011</v>
      </c>
      <c r="L813" s="37" t="n">
        <f aca="false">L798+L807-L808-L809-L810-L811+L812</f>
        <v>315.858759456126</v>
      </c>
    </row>
    <row r="814" customFormat="false" ht="15" hidden="false" customHeight="false" outlineLevel="0" collapsed="false">
      <c r="A814" s="9" t="s">
        <v>314</v>
      </c>
      <c r="B814" s="36" t="n">
        <f aca="false">B813*B778</f>
        <v>-247.201679427518</v>
      </c>
      <c r="C814" s="36" t="n">
        <f aca="false">C813*C778</f>
        <v>-20.9315451429452</v>
      </c>
      <c r="D814" s="36" t="n">
        <f aca="false">D813*D778</f>
        <v>215.977091393248</v>
      </c>
      <c r="E814" s="36" t="n">
        <f aca="false">E813*E778</f>
        <v>47.4829021143963</v>
      </c>
      <c r="F814" s="36" t="n">
        <f aca="false">F813*F778</f>
        <v>78.4547102286791</v>
      </c>
      <c r="G814" s="36" t="n">
        <f aca="false">G813*G778</f>
        <v>65.2398048975383</v>
      </c>
      <c r="H814" s="36" t="n">
        <f aca="false">H813*H778</f>
        <v>81.8278231703363</v>
      </c>
      <c r="I814" s="36" t="n">
        <f aca="false">I813*I778</f>
        <v>174.429971574164</v>
      </c>
      <c r="J814" s="36" t="n">
        <f aca="false">J813*J778</f>
        <v>271.210645124086</v>
      </c>
      <c r="K814" s="36" t="n">
        <f aca="false">K813*K778</f>
        <v>376.119708438521</v>
      </c>
      <c r="L814" s="36" t="n">
        <f aca="false">L813*L778</f>
        <v>502.772012991512</v>
      </c>
    </row>
    <row r="815" customFormat="false" ht="15" hidden="false" customHeight="false" outlineLevel="0" collapsed="false">
      <c r="A815" s="9" t="s">
        <v>315</v>
      </c>
      <c r="B815" s="34" t="n">
        <f aca="false">(B778/$B$778)/(1+Quesería!$B$46+$S$24)^B$43</f>
        <v>1</v>
      </c>
      <c r="C815" s="34" t="n">
        <f aca="false">(C778/$B$778)/(1+Quesería!$B$46+$S$24)^C$43</f>
        <v>0.84</v>
      </c>
      <c r="D815" s="34" t="n">
        <f aca="false">(D778/$B$778)/(1+Quesería!$B$46+$S$24)^D$43</f>
        <v>0.70224</v>
      </c>
      <c r="E815" s="34" t="n">
        <f aca="false">(E778/$B$778)/(1+Quesería!$B$46+$S$24)^E$43</f>
        <v>0.58426368</v>
      </c>
      <c r="F815" s="34" t="n">
        <f aca="false">(F778/$B$778)/(1+Quesería!$B$46+$S$24)^F$43</f>
        <v>0.48610738176</v>
      </c>
      <c r="G815" s="34" t="n">
        <f aca="false">(G778/$B$778)/(1+Quesería!$B$46+$S$24)^G$43</f>
        <v>0.40444134162432</v>
      </c>
      <c r="H815" s="34" t="n">
        <f aca="false">(H778/$B$778)/(1+Quesería!$B$46+$S$24)^H$43</f>
        <v>0.336495196231434</v>
      </c>
      <c r="I815" s="34" t="n">
        <f aca="false">(I778/$B$778)/(1+Quesería!$B$46+$S$24)^I$43</f>
        <v>0.279964003264553</v>
      </c>
      <c r="J815" s="34" t="n">
        <f aca="false">(J778/$B$778)/(1+Quesería!$B$46+$S$24)^J$43</f>
        <v>0.232930050716108</v>
      </c>
      <c r="K815" s="34" t="n">
        <f aca="false">(K778/$B$778)/(1+Quesería!$B$46+$S$24)^K$43</f>
        <v>0.193797802195802</v>
      </c>
      <c r="L815" s="34" t="n">
        <f aca="false">(L778/$B$778)/(1+Quesería!$B$46+$S$24)^L$43</f>
        <v>0.161239771426907</v>
      </c>
    </row>
    <row r="816" customFormat="false" ht="15" hidden="false" customHeight="false" outlineLevel="0" collapsed="false">
      <c r="A816" s="9" t="s">
        <v>316</v>
      </c>
      <c r="B816" s="36" t="n">
        <f aca="false">B798+B781+B783+B812</f>
        <v>63.1678361202728</v>
      </c>
      <c r="C816" s="36" t="n">
        <f aca="false">C798+C781+C783+C812</f>
        <v>376.702884231257</v>
      </c>
      <c r="D816" s="36" t="n">
        <f aca="false">D798+D781+D783+D812</f>
        <v>387.646212372169</v>
      </c>
      <c r="E816" s="36" t="n">
        <f aca="false">E798+E781+E783+E812</f>
        <v>290.821086182331</v>
      </c>
      <c r="F816" s="36" t="n">
        <f aca="false">F798+F781+F783+F812</f>
        <v>283.129517055125</v>
      </c>
      <c r="G816" s="36" t="n">
        <f aca="false">G798+G781+G783+G812</f>
        <v>246.89224168057</v>
      </c>
      <c r="H816" s="36" t="n">
        <f aca="false">H798+H781+H783+H812</f>
        <v>231.891420976396</v>
      </c>
      <c r="I816" s="36" t="n">
        <f aca="false">I798+I781+I783+I812</f>
        <v>263.181509726477</v>
      </c>
      <c r="J816" s="36" t="n">
        <f aca="false">J798+J781+J783+J812</f>
        <v>249.508815414683</v>
      </c>
      <c r="K816" s="36" t="n">
        <f aca="false">K798+K781+K783+K812</f>
        <v>245.743059483011</v>
      </c>
      <c r="L816" s="36" t="n">
        <f aca="false">L798+L781+L783+L812</f>
        <v>315.858759456126</v>
      </c>
    </row>
    <row r="817" customFormat="false" ht="15" hidden="false" customHeight="false" outlineLevel="0" collapsed="false">
      <c r="A817" s="5" t="s">
        <v>317</v>
      </c>
      <c r="B817" s="12" t="str">
        <f aca="false">IF(AND(B$43&gt;=1,(B808+B809+B810)&gt;0.001),B816/(B808+B809+B810),"")</f>
        <v/>
      </c>
      <c r="C817" s="12" t="n">
        <f aca="false">IF(AND(C$43&gt;=1,(C808+C809+C810)&gt;0.001),C816/(C808+C809+C810),"")</f>
        <v>4.76773209486328</v>
      </c>
      <c r="D817" s="12" t="n">
        <f aca="false">IF(AND(D$43&gt;=1,(D808+D809+D810)&gt;0.001),D816/(D808+D809+D810),"")</f>
        <v>1.92716605037082</v>
      </c>
      <c r="E817" s="12" t="n">
        <f aca="false">IF(AND(E$43&gt;=1,(E808+E809+E810)&gt;0.001),E816/(E808+E809+E810),"")</f>
        <v>1.16066561468141</v>
      </c>
      <c r="F817" s="12" t="n">
        <f aca="false">IF(AND(F$43&gt;=1,(F808+F809+F810)&gt;0.001),F816/(F808+F809+F810),"")</f>
        <v>1.28762552970121</v>
      </c>
      <c r="G817" s="12" t="n">
        <f aca="false">IF(AND(G$43&gt;=1,(G808+G809+G810)&gt;0.001),G816/(G808+G809+G810),"")</f>
        <v>1.29130997328996</v>
      </c>
      <c r="H817" s="12" t="n">
        <f aca="false">IF(AND(H$43&gt;=1,(H808+H809+H810)&gt;0.001),H816/(H808+H809+H810),"")</f>
        <v>1.41064321820107</v>
      </c>
      <c r="I817" s="12" t="n">
        <f aca="false">IF(AND(I$43&gt;=1,(I808+I809+I810)&gt;0.001),I816/(I808+I809+I810),"")</f>
        <v>1.88852580815915</v>
      </c>
      <c r="J817" s="12" t="n">
        <f aca="false">IF(AND(J$43&gt;=1,(J808+J809+J810)&gt;0.001),J816/(J808+J809+J810),"")</f>
        <v>3.84085801245484</v>
      </c>
      <c r="K817" s="12" t="str">
        <f aca="false">IF(AND(K$43&gt;=1,(K808+K809+K810)&gt;0.001),K816/(K808+K809+K810),"")</f>
        <v/>
      </c>
      <c r="L817" s="12" t="str">
        <f aca="false">IF(AND(L$43&gt;=1,(L808+L809+L810)&gt;0.001),L816/(L808+L809+L810),"")</f>
        <v/>
      </c>
    </row>
    <row r="819" customFormat="false" ht="15" hidden="false" customHeight="false" outlineLevel="0" collapsed="false">
      <c r="A819" s="66" t="s">
        <v>644</v>
      </c>
      <c r="B819" s="67"/>
      <c r="C819" s="67"/>
      <c r="D819" s="67"/>
      <c r="E819" s="67"/>
      <c r="F819" s="67"/>
      <c r="G819" s="67"/>
      <c r="H819" s="67"/>
      <c r="I819" s="67"/>
      <c r="J819" s="67"/>
      <c r="K819" s="67"/>
      <c r="L819" s="67"/>
    </row>
    <row r="820" customFormat="false" ht="15" hidden="false" customHeight="false" outlineLevel="0" collapsed="false">
      <c r="A820" s="9" t="s">
        <v>281</v>
      </c>
      <c r="B820" s="33" t="n">
        <f aca="false">CHOOSE($T$15,Entorno!B$7,Entorno!B$8,Entorno!B$9)</f>
        <v>0.06</v>
      </c>
      <c r="C820" s="33" t="n">
        <f aca="false">CHOOSE($T$15,Entorno!C$7,Entorno!C$8,Entorno!C$9)</f>
        <v>0.05</v>
      </c>
      <c r="D820" s="33" t="n">
        <f aca="false">CHOOSE($T$15,Entorno!D$7,Entorno!D$8,Entorno!D$9)</f>
        <v>0.045</v>
      </c>
      <c r="E820" s="33" t="n">
        <f aca="false">CHOOSE($T$15,Entorno!E$7,Entorno!E$8,Entorno!E$9)</f>
        <v>0.04</v>
      </c>
      <c r="F820" s="33" t="n">
        <f aca="false">CHOOSE($T$15,Entorno!F$7,Entorno!F$8,Entorno!F$9)</f>
        <v>0.04</v>
      </c>
      <c r="G820" s="33" t="n">
        <f aca="false">CHOOSE($T$15,Entorno!G$7,Entorno!G$8,Entorno!G$9)</f>
        <v>0.04</v>
      </c>
      <c r="H820" s="33" t="n">
        <f aca="false">CHOOSE($T$15,Entorno!H$7,Entorno!H$8,Entorno!H$9)</f>
        <v>0.04</v>
      </c>
      <c r="I820" s="33" t="n">
        <f aca="false">CHOOSE($T$15,Entorno!I$7,Entorno!I$8,Entorno!I$9)</f>
        <v>0.04</v>
      </c>
      <c r="J820" s="33" t="n">
        <f aca="false">CHOOSE($T$15,Entorno!J$7,Entorno!J$8,Entorno!J$9)</f>
        <v>0.04</v>
      </c>
      <c r="K820" s="33" t="n">
        <f aca="false">CHOOSE($T$15,Entorno!K$7,Entorno!K$8,Entorno!K$9)</f>
        <v>0.04</v>
      </c>
      <c r="L820" s="33" t="n">
        <f aca="false">CHOOSE($T$15,Entorno!L$7,Entorno!L$8,Entorno!L$9)</f>
        <v>0.04</v>
      </c>
    </row>
    <row r="821" customFormat="false" ht="15" hidden="false" customHeight="false" outlineLevel="0" collapsed="false">
      <c r="A821" s="9" t="s">
        <v>282</v>
      </c>
      <c r="B821" s="34" t="n">
        <f aca="false">1+B820</f>
        <v>1.06</v>
      </c>
      <c r="C821" s="34" t="n">
        <f aca="false">B821*(1+C820)</f>
        <v>1.113</v>
      </c>
      <c r="D821" s="34" t="n">
        <f aca="false">C821*(1+D820)</f>
        <v>1.163085</v>
      </c>
      <c r="E821" s="34" t="n">
        <f aca="false">D821*(1+E820)</f>
        <v>1.2096084</v>
      </c>
      <c r="F821" s="34" t="n">
        <f aca="false">E821*(1+F820)</f>
        <v>1.257992736</v>
      </c>
      <c r="G821" s="34" t="n">
        <f aca="false">F821*(1+G820)</f>
        <v>1.30831244544</v>
      </c>
      <c r="H821" s="34" t="n">
        <f aca="false">G821*(1+H820)</f>
        <v>1.3606449432576</v>
      </c>
      <c r="I821" s="34" t="n">
        <f aca="false">H821*(1+I820)</f>
        <v>1.4150707409879</v>
      </c>
      <c r="J821" s="34" t="n">
        <f aca="false">I821*(1+J820)</f>
        <v>1.47167357062742</v>
      </c>
      <c r="K821" s="34" t="n">
        <f aca="false">J821*(1+K820)</f>
        <v>1.53054051345252</v>
      </c>
      <c r="L821" s="34" t="n">
        <f aca="false">K821*(1+L820)</f>
        <v>1.59176213399062</v>
      </c>
    </row>
    <row r="822" customFormat="false" ht="15" hidden="false" customHeight="false" outlineLevel="0" collapsed="false">
      <c r="A822" s="9" t="s">
        <v>283</v>
      </c>
      <c r="B822" s="34" t="n">
        <f aca="false">(1+$T$16)/(1+B820)</f>
        <v>1.02358490566038</v>
      </c>
      <c r="C822" s="34" t="n">
        <f aca="false">B822*(1+Entorno!$B$13)</f>
        <v>1.02870283018868</v>
      </c>
      <c r="D822" s="34" t="n">
        <f aca="false">C822*(1+Entorno!$B$13)</f>
        <v>1.03384634433962</v>
      </c>
      <c r="E822" s="34" t="n">
        <f aca="false">D822*(1+Entorno!$B$13)</f>
        <v>1.03901557606132</v>
      </c>
      <c r="F822" s="34" t="n">
        <f aca="false">E822*(1+Entorno!$B$13)</f>
        <v>1.04421065394163</v>
      </c>
      <c r="G822" s="34" t="n">
        <f aca="false">F822*(1+Entorno!$B$13)</f>
        <v>1.04943170721133</v>
      </c>
      <c r="H822" s="34" t="n">
        <f aca="false">G822*(1+Entorno!$B$13)</f>
        <v>1.05467886574739</v>
      </c>
      <c r="I822" s="34" t="n">
        <f aca="false">H822*(1+Entorno!$B$13)</f>
        <v>1.05995226007613</v>
      </c>
      <c r="J822" s="34" t="n">
        <f aca="false">I822*(1+Entorno!$B$13)</f>
        <v>1.06525202137651</v>
      </c>
      <c r="K822" s="34" t="n">
        <f aca="false">J822*(1+Entorno!$B$13)</f>
        <v>1.07057828148339</v>
      </c>
      <c r="L822" s="34" t="n">
        <f aca="false">K822*(1+Entorno!$B$13)</f>
        <v>1.07593117289081</v>
      </c>
    </row>
    <row r="823" customFormat="false" ht="15" hidden="false" customHeight="false" outlineLevel="0" collapsed="false">
      <c r="A823" s="9" t="s">
        <v>284</v>
      </c>
      <c r="B823" s="34" t="n">
        <f aca="false">1/B821</f>
        <v>0.943396226415094</v>
      </c>
      <c r="C823" s="34" t="n">
        <f aca="false">1/C821</f>
        <v>0.898472596585804</v>
      </c>
      <c r="D823" s="34" t="n">
        <f aca="false">1/D821</f>
        <v>0.859782389077324</v>
      </c>
      <c r="E823" s="34" t="n">
        <f aca="false">1/E821</f>
        <v>0.826713835651273</v>
      </c>
      <c r="F823" s="34" t="n">
        <f aca="false">1/F821</f>
        <v>0.794917149664686</v>
      </c>
      <c r="G823" s="34" t="n">
        <f aca="false">1/G821</f>
        <v>0.764343413139121</v>
      </c>
      <c r="H823" s="34" t="n">
        <f aca="false">1/H821</f>
        <v>0.734945589556847</v>
      </c>
      <c r="I823" s="34" t="n">
        <f aca="false">1/I821</f>
        <v>0.706678451496968</v>
      </c>
      <c r="J823" s="34" t="n">
        <f aca="false">1/J821</f>
        <v>0.679498511054777</v>
      </c>
      <c r="K823" s="34" t="n">
        <f aca="false">1/K821</f>
        <v>0.653363952937286</v>
      </c>
      <c r="L823" s="34" t="n">
        <f aca="false">1/L821</f>
        <v>0.628234570132006</v>
      </c>
    </row>
    <row r="824" customFormat="false" ht="15" hidden="false" customHeight="false" outlineLevel="0" collapsed="false">
      <c r="A824" s="6" t="s">
        <v>202</v>
      </c>
      <c r="B824" s="35" t="n">
        <f aca="false">IF(B$43=0,Quesería!$F$80,IF(B$43=1,Quesería!$F$81*$T$21,0))*$T$11</f>
        <v>622.243624322401</v>
      </c>
      <c r="C824" s="35" t="n">
        <f aca="false">IF(C$43=0,Quesería!$F$80,IF(C$43=1,Quesería!$F$81*$T$21,0))*$T$11</f>
        <v>645.270088578622</v>
      </c>
      <c r="D824" s="35" t="n">
        <f aca="false">IF(D$43=0,Quesería!$F$80,IF(D$43=1,Quesería!$F$81*$T$21,0))*$T$11</f>
        <v>0</v>
      </c>
      <c r="E824" s="35" t="n">
        <f aca="false">IF(E$43=0,Quesería!$F$80,IF(E$43=1,Quesería!$F$81*$T$21,0))*$T$11</f>
        <v>0</v>
      </c>
      <c r="F824" s="35" t="n">
        <f aca="false">IF(F$43=0,Quesería!$F$80,IF(F$43=1,Quesería!$F$81*$T$21,0))*$T$11</f>
        <v>0</v>
      </c>
      <c r="G824" s="35" t="n">
        <f aca="false">IF(G$43=0,Quesería!$F$80,IF(G$43=1,Quesería!$F$81*$T$21,0))*$T$11</f>
        <v>0</v>
      </c>
      <c r="H824" s="35" t="n">
        <f aca="false">IF(H$43=0,Quesería!$F$80,IF(H$43=1,Quesería!$F$81*$T$21,0))*$T$11</f>
        <v>0</v>
      </c>
      <c r="I824" s="35" t="n">
        <f aca="false">IF(I$43=0,Quesería!$F$80,IF(I$43=1,Quesería!$F$81*$T$21,0))*$T$11</f>
        <v>0</v>
      </c>
      <c r="J824" s="35" t="n">
        <f aca="false">IF(J$43=0,Quesería!$F$80,IF(J$43=1,Quesería!$F$81*$T$21,0))*$T$11</f>
        <v>0</v>
      </c>
      <c r="K824" s="35" t="n">
        <f aca="false">IF(K$43=0,Quesería!$F$80,IF(K$43=1,Quesería!$F$81*$T$21,0))*$T$11</f>
        <v>0</v>
      </c>
      <c r="L824" s="35" t="n">
        <f aca="false">IF(L$43=0,Quesería!$F$80,IF(L$43=1,Quesería!$F$81*$T$21,0))*$T$11</f>
        <v>0</v>
      </c>
    </row>
    <row r="825" customFormat="false" ht="15" hidden="false" customHeight="false" outlineLevel="0" collapsed="false">
      <c r="A825" s="6" t="s">
        <v>285</v>
      </c>
      <c r="B825" s="35" t="n">
        <f aca="false">IF(B$43=5,Quesería!$F$87,IF(B$43=6,Quesería!$F$88,0))*$T$11</f>
        <v>0</v>
      </c>
      <c r="C825" s="35" t="n">
        <f aca="false">IF(C$43=5,Quesería!$F$87,IF(C$43=6,Quesería!$F$88,0))*$T$11</f>
        <v>0</v>
      </c>
      <c r="D825" s="35" t="n">
        <f aca="false">IF(D$43=5,Quesería!$F$87,IF(D$43=6,Quesería!$F$88,0))*$T$11</f>
        <v>0</v>
      </c>
      <c r="E825" s="35" t="n">
        <f aca="false">IF(E$43=5,Quesería!$F$87,IF(E$43=6,Quesería!$F$88,0))*$T$11</f>
        <v>0</v>
      </c>
      <c r="F825" s="35" t="n">
        <f aca="false">IF(F$43=5,Quesería!$F$87,IF(F$43=6,Quesería!$F$88,0))*$T$11</f>
        <v>0</v>
      </c>
      <c r="G825" s="35" t="n">
        <f aca="false">IF(G$43=5,Quesería!$F$87,IF(G$43=6,Quesería!$F$88,0))*$T$11</f>
        <v>26.6666666666667</v>
      </c>
      <c r="H825" s="35" t="n">
        <f aca="false">IF(H$43=5,Quesería!$F$87,IF(H$43=6,Quesería!$F$88,0))*$T$11</f>
        <v>35.3045530566667</v>
      </c>
      <c r="I825" s="35" t="n">
        <f aca="false">IF(I$43=5,Quesería!$F$87,IF(I$43=6,Quesería!$F$88,0))*$T$11</f>
        <v>0</v>
      </c>
      <c r="J825" s="35" t="n">
        <f aca="false">IF(J$43=5,Quesería!$F$87,IF(J$43=6,Quesería!$F$88,0))*$T$11</f>
        <v>0</v>
      </c>
      <c r="K825" s="35" t="n">
        <f aca="false">IF(K$43=5,Quesería!$F$87,IF(K$43=6,Quesería!$F$88,0))*$T$11</f>
        <v>0</v>
      </c>
      <c r="L825" s="35" t="n">
        <f aca="false">IF(L$43=5,Quesería!$F$87,IF(L$43=6,Quesería!$F$88,0))*$T$11</f>
        <v>0</v>
      </c>
    </row>
    <row r="826" customFormat="false" ht="15" hidden="false" customHeight="false" outlineLevel="0" collapsed="false">
      <c r="A826" s="6" t="s">
        <v>286</v>
      </c>
      <c r="B826" s="35" t="n">
        <f aca="false">Quesería!$B$36*(IF(B$43=0,SUMPRODUCT((Quesería!$C$62:$C$77=0)*(Quesería!$H$62:$H$77&gt;0)*(Quesería!$J$62:$J$77&gt;0)*Quesería!$F$62:$F$77*(1+Quesería!$I$62:$I$77)),IF(B$43=1,SUMPRODUCT((Quesería!$C$62:$C$77=1)*(Quesería!$H$62:$H$77&gt;0)*(Quesería!$J$62:$J$77&gt;0)*Quesería!$F$62:$F$77*(1+Quesería!$I$62:$I$77))*$T$21,0))*$T$11+B825)</f>
        <v>99.347875488093</v>
      </c>
      <c r="C826" s="35" t="n">
        <f aca="false">Quesería!$B$36*(IF(C$43=0,SUMPRODUCT((Quesería!$C$62:$C$77=0)*(Quesería!$H$62:$H$77&gt;0)*(Quesería!$J$62:$J$77&gt;0)*Quesería!$F$62:$F$77*(1+Quesería!$I$62:$I$77)),IF(C$43=1,SUMPRODUCT((Quesería!$C$62:$C$77=1)*(Quesería!$H$62:$H$77&gt;0)*(Quesería!$J$62:$J$77&gt;0)*Quesería!$F$62:$F$77*(1+Quesería!$I$62:$I$77))*$T$21,0))*$T$11+C825)</f>
        <v>122.601316829938</v>
      </c>
      <c r="D826" s="35" t="n">
        <f aca="false">Quesería!$B$36*(IF(D$43=0,SUMPRODUCT((Quesería!$C$62:$C$77=0)*(Quesería!$H$62:$H$77&gt;0)*(Quesería!$J$62:$J$77&gt;0)*Quesería!$F$62:$F$77*(1+Quesería!$I$62:$I$77)),IF(D$43=1,SUMPRODUCT((Quesería!$C$62:$C$77=1)*(Quesería!$H$62:$H$77&gt;0)*(Quesería!$J$62:$J$77&gt;0)*Quesería!$F$62:$F$77*(1+Quesería!$I$62:$I$77))*$T$21,0))*$T$11+D825)</f>
        <v>0</v>
      </c>
      <c r="E826" s="35" t="n">
        <f aca="false">Quesería!$B$36*(IF(E$43=0,SUMPRODUCT((Quesería!$C$62:$C$77=0)*(Quesería!$H$62:$H$77&gt;0)*(Quesería!$J$62:$J$77&gt;0)*Quesería!$F$62:$F$77*(1+Quesería!$I$62:$I$77)),IF(E$43=1,SUMPRODUCT((Quesería!$C$62:$C$77=1)*(Quesería!$H$62:$H$77&gt;0)*(Quesería!$J$62:$J$77&gt;0)*Quesería!$F$62:$F$77*(1+Quesería!$I$62:$I$77))*$T$21,0))*$T$11+E825)</f>
        <v>0</v>
      </c>
      <c r="F826" s="35" t="n">
        <f aca="false">Quesería!$B$36*(IF(F$43=0,SUMPRODUCT((Quesería!$C$62:$C$77=0)*(Quesería!$H$62:$H$77&gt;0)*(Quesería!$J$62:$J$77&gt;0)*Quesería!$F$62:$F$77*(1+Quesería!$I$62:$I$77)),IF(F$43=1,SUMPRODUCT((Quesería!$C$62:$C$77=1)*(Quesería!$H$62:$H$77&gt;0)*(Quesería!$J$62:$J$77&gt;0)*Quesería!$F$62:$F$77*(1+Quesería!$I$62:$I$77))*$T$21,0))*$T$11+F825)</f>
        <v>0</v>
      </c>
      <c r="G826" s="35" t="n">
        <f aca="false">Quesería!$B$36*(IF(G$43=0,SUMPRODUCT((Quesería!$C$62:$C$77=0)*(Quesería!$H$62:$H$77&gt;0)*(Quesería!$J$62:$J$77&gt;0)*Quesería!$F$62:$F$77*(1+Quesería!$I$62:$I$77)),IF(G$43=1,SUMPRODUCT((Quesería!$C$62:$C$77=1)*(Quesería!$H$62:$H$77&gt;0)*(Quesería!$J$62:$J$77&gt;0)*Quesería!$F$62:$F$77*(1+Quesería!$I$62:$I$77))*$T$21,0))*$T$11+G825)</f>
        <v>5.06666666666667</v>
      </c>
      <c r="H826" s="35" t="n">
        <f aca="false">Quesería!$B$36*(IF(H$43=0,SUMPRODUCT((Quesería!$C$62:$C$77=0)*(Quesería!$H$62:$H$77&gt;0)*(Quesería!$J$62:$J$77&gt;0)*Quesería!$F$62:$F$77*(1+Quesería!$I$62:$I$77)),IF(H$43=1,SUMPRODUCT((Quesería!$C$62:$C$77=1)*(Quesería!$H$62:$H$77&gt;0)*(Quesería!$J$62:$J$77&gt;0)*Quesería!$F$62:$F$77*(1+Quesería!$I$62:$I$77))*$T$21,0))*$T$11+H825)</f>
        <v>6.70786508076667</v>
      </c>
      <c r="I826" s="35" t="n">
        <f aca="false">Quesería!$B$36*(IF(I$43=0,SUMPRODUCT((Quesería!$C$62:$C$77=0)*(Quesería!$H$62:$H$77&gt;0)*(Quesería!$J$62:$J$77&gt;0)*Quesería!$F$62:$F$77*(1+Quesería!$I$62:$I$77)),IF(I$43=1,SUMPRODUCT((Quesería!$C$62:$C$77=1)*(Quesería!$H$62:$H$77&gt;0)*(Quesería!$J$62:$J$77&gt;0)*Quesería!$F$62:$F$77*(1+Quesería!$I$62:$I$77))*$T$21,0))*$T$11+I825)</f>
        <v>0</v>
      </c>
      <c r="J826" s="35" t="n">
        <f aca="false">Quesería!$B$36*(IF(J$43=0,SUMPRODUCT((Quesería!$C$62:$C$77=0)*(Quesería!$H$62:$H$77&gt;0)*(Quesería!$J$62:$J$77&gt;0)*Quesería!$F$62:$F$77*(1+Quesería!$I$62:$I$77)),IF(J$43=1,SUMPRODUCT((Quesería!$C$62:$C$77=1)*(Quesería!$H$62:$H$77&gt;0)*(Quesería!$J$62:$J$77&gt;0)*Quesería!$F$62:$F$77*(1+Quesería!$I$62:$I$77))*$T$21,0))*$T$11+J825)</f>
        <v>0</v>
      </c>
      <c r="K826" s="35" t="n">
        <f aca="false">Quesería!$B$36*(IF(K$43=0,SUMPRODUCT((Quesería!$C$62:$C$77=0)*(Quesería!$H$62:$H$77&gt;0)*(Quesería!$J$62:$J$77&gt;0)*Quesería!$F$62:$F$77*(1+Quesería!$I$62:$I$77)),IF(K$43=1,SUMPRODUCT((Quesería!$C$62:$C$77=1)*(Quesería!$H$62:$H$77&gt;0)*(Quesería!$J$62:$J$77&gt;0)*Quesería!$F$62:$F$77*(1+Quesería!$I$62:$I$77))*$T$21,0))*$T$11+K825)</f>
        <v>0</v>
      </c>
      <c r="L826" s="35" t="n">
        <f aca="false">Quesería!$B$36*(IF(L$43=0,SUMPRODUCT((Quesería!$C$62:$C$77=0)*(Quesería!$H$62:$H$77&gt;0)*(Quesería!$J$62:$J$77&gt;0)*Quesería!$F$62:$F$77*(1+Quesería!$I$62:$I$77)),IF(L$43=1,SUMPRODUCT((Quesería!$C$62:$C$77=1)*(Quesería!$H$62:$H$77&gt;0)*(Quesería!$J$62:$J$77&gt;0)*Quesería!$F$62:$F$77*(1+Quesería!$I$62:$I$77))*$T$21,0))*$T$11+L825)</f>
        <v>0</v>
      </c>
    </row>
    <row r="827" customFormat="false" ht="15" hidden="false" customHeight="false" outlineLevel="0" collapsed="false">
      <c r="A827" s="6" t="s">
        <v>260</v>
      </c>
      <c r="B827" s="35" t="n">
        <f aca="false">IF(B$43=0,($T$22*Quesería!$J$109+(1-$T$22)*Quesería!$E$105)*Quesería!$B$12*Quesería!$B$13/12*$T$23,(($T$22*Quesería!$J$109+(1-$T$22)*Quesería!$E$105)+($T$22*Quesería!$J$92+(1-$T$22)*Quesería!$E$92)*(B822-1))*IF(B$43=1,Quesería!$B$12,1))*$T$10</f>
        <v>45.6373732102639</v>
      </c>
      <c r="C827" s="35" t="n">
        <f aca="false">IF(C$43=0,($T$22*Quesería!$J$109+(1-$T$22)*Quesería!$E$105)*Quesería!$B$12*Quesería!$B$13/12*$T$23,(($T$22*Quesería!$J$109+(1-$T$22)*Quesería!$E$105)+($T$22*Quesería!$J$92+(1-$T$22)*Quesería!$E$92)*(C822-1))*IF(C$43=1,Quesería!$B$12,1))*$T$10</f>
        <v>137.165278593056</v>
      </c>
      <c r="D827" s="35" t="n">
        <f aca="false">IF(D$43=0,($T$22*Quesería!$J$109+(1-$T$22)*Quesería!$E$105)*Quesería!$B$12*Quesería!$B$13/12*$T$23,(($T$22*Quesería!$J$109+(1-$T$22)*Quesería!$E$105)+($T$22*Quesería!$J$92+(1-$T$22)*Quesería!$E$92)*(D822-1))*IF(D$43=1,Quesería!$B$12,1))*$T$10</f>
        <v>182.947525850489</v>
      </c>
      <c r="E827" s="35" t="n">
        <f aca="false">IF(E$43=0,($T$22*Quesería!$J$109+(1-$T$22)*Quesería!$E$105)*Quesería!$B$12*Quesería!$B$13/12*$T$23,(($T$22*Quesería!$J$109+(1-$T$22)*Quesería!$E$105)+($T$22*Quesería!$J$92+(1-$T$22)*Quesería!$E$92)*(E822-1))*IF(E$43=1,Quesería!$B$12,1))*$T$10</f>
        <v>183.008316015537</v>
      </c>
      <c r="F827" s="35" t="n">
        <f aca="false">IF(F$43=0,($T$22*Quesería!$J$109+(1-$T$22)*Quesería!$E$105)*Quesería!$B$12*Quesería!$B$13/12*$T$23,(($T$22*Quesería!$J$109+(1-$T$22)*Quesería!$E$105)+($T$22*Quesería!$J$92+(1-$T$22)*Quesería!$E$92)*(F822-1))*IF(F$43=1,Quesería!$B$12,1))*$T$10</f>
        <v>183.069410131409</v>
      </c>
      <c r="G827" s="35" t="n">
        <f aca="false">IF(G$43=0,($T$22*Quesería!$J$109+(1-$T$22)*Quesería!$E$105)*Quesería!$B$12*Quesería!$B$13/12*$T$23,(($T$22*Quesería!$J$109+(1-$T$22)*Quesería!$E$105)+($T$22*Quesería!$J$92+(1-$T$22)*Quesería!$E$92)*(G822-1))*IF(G$43=1,Quesería!$B$12,1))*$T$10</f>
        <v>183.130809717861</v>
      </c>
      <c r="H827" s="35" t="n">
        <f aca="false">IF(H$43=0,($T$22*Quesería!$J$109+(1-$T$22)*Quesería!$E$105)*Quesería!$B$12*Quesería!$B$13/12*$T$23,(($T$22*Quesería!$J$109+(1-$T$22)*Quesería!$E$105)+($T$22*Quesería!$J$92+(1-$T$22)*Quesería!$E$92)*(H822-1))*IF(H$43=1,Quesería!$B$12,1))*$T$10</f>
        <v>183.192516302245</v>
      </c>
      <c r="I827" s="35" t="n">
        <f aca="false">IF(I$43=0,($T$22*Quesería!$J$109+(1-$T$22)*Quesería!$E$105)*Quesería!$B$12*Quesería!$B$13/12*$T$23,(($T$22*Quesería!$J$109+(1-$T$22)*Quesería!$E$105)+($T$22*Quesería!$J$92+(1-$T$22)*Quesería!$E$92)*(I822-1))*IF(I$43=1,Quesería!$B$12,1))*$T$10</f>
        <v>183.254531419551</v>
      </c>
      <c r="J827" s="35" t="n">
        <f aca="false">IF(J$43=0,($T$22*Quesería!$J$109+(1-$T$22)*Quesería!$E$105)*Quesería!$B$12*Quesería!$B$13/12*$T$23,(($T$22*Quesería!$J$109+(1-$T$22)*Quesería!$E$105)+($T$22*Quesería!$J$92+(1-$T$22)*Quesería!$E$92)*(J822-1))*IF(J$43=1,Quesería!$B$12,1))*$T$10</f>
        <v>183.316856612443</v>
      </c>
      <c r="K827" s="35" t="n">
        <f aca="false">IF(K$43=0,($T$22*Quesería!$J$109+(1-$T$22)*Quesería!$E$105)*Quesería!$B$12*Quesería!$B$13/12*$T$23,(($T$22*Quesería!$J$109+(1-$T$22)*Quesería!$E$105)+($T$22*Quesería!$J$92+(1-$T$22)*Quesería!$E$92)*(K822-1))*IF(K$43=1,Quesería!$B$12,1))*$T$10</f>
        <v>183.3794934313</v>
      </c>
      <c r="L827" s="35" t="n">
        <f aca="false">IF(L$43=0,($T$22*Quesería!$J$109+(1-$T$22)*Quesería!$E$105)*Quesería!$B$12*Quesería!$B$13/12*$T$23,(($T$22*Quesería!$J$109+(1-$T$22)*Quesería!$E$105)+($T$22*Quesería!$J$92+(1-$T$22)*Quesería!$E$92)*(L822-1))*IF(L$43=1,Quesería!$B$12,1))*$T$10</f>
        <v>183.442443434251</v>
      </c>
    </row>
    <row r="828" customFormat="false" ht="15" hidden="false" customHeight="false" outlineLevel="0" collapsed="false">
      <c r="A828" s="6" t="s">
        <v>261</v>
      </c>
      <c r="B828" s="35" t="n">
        <f aca="false">IF(B$43&lt;=1,0,((($T$22*Quesería!$J$110+(1-$T$22)*Quesería!$E$106)-($T$22*Quesería!$J$99+(1-$T$22)*Quesería!$E$99)+$T$6*($T$22*Quesería!$J$99+(1-$T$22)*Quesería!$E$99)-(1-$T$9)*($T$22*Quesería!$J$102+(1-$T$22)*Quesería!$E$102))+($T$6*($T$22*Quesería!$J$99+(1-$T$22)*Quesería!$E$99)+$T$9*($T$22*Quesería!$J$102+(1-$T$22)*Quesería!$E$102))*(B822-1))*IF(B$43=2,Quesería!$B$12,1)+IF(B$43=2,Quesería!$B$14*$T$9*($T$22*Quesería!$J$102+(1-$T$22)*Quesería!$E$102)*B822,0))*$T$10*$T$21</f>
        <v>0</v>
      </c>
      <c r="C828" s="35" t="n">
        <f aca="false">IF(C$43&lt;=1,0,((($T$22*Quesería!$J$110+(1-$T$22)*Quesería!$E$106)-($T$22*Quesería!$J$99+(1-$T$22)*Quesería!$E$99)+$T$6*($T$22*Quesería!$J$99+(1-$T$22)*Quesería!$E$99)-(1-$T$9)*($T$22*Quesería!$J$102+(1-$T$22)*Quesería!$E$102))+($T$6*($T$22*Quesería!$J$99+(1-$T$22)*Quesería!$E$99)+$T$9*($T$22*Quesería!$J$102+(1-$T$22)*Quesería!$E$102))*(C822-1))*IF(C$43=2,Quesería!$B$12,1)+IF(C$43=2,Quesería!$B$14*$T$9*($T$22*Quesería!$J$102+(1-$T$22)*Quesería!$E$102)*C822,0))*$T$10*$T$21</f>
        <v>0</v>
      </c>
      <c r="D828" s="35" t="n">
        <f aca="false">IF(D$43&lt;=1,0,((($T$22*Quesería!$J$110+(1-$T$22)*Quesería!$E$106)-($T$22*Quesería!$J$99+(1-$T$22)*Quesería!$E$99)+$T$6*($T$22*Quesería!$J$99+(1-$T$22)*Quesería!$E$99)-(1-$T$9)*($T$22*Quesería!$J$102+(1-$T$22)*Quesería!$E$102))+($T$6*($T$22*Quesería!$J$99+(1-$T$22)*Quesería!$E$99)+$T$9*($T$22*Quesería!$J$102+(1-$T$22)*Quesería!$E$102))*(D822-1))*IF(D$43=2,Quesería!$B$12,1)+IF(D$43=2,Quesería!$B$14*$T$9*($T$22*Quesería!$J$102+(1-$T$22)*Quesería!$E$102)*D822,0))*$T$10*$T$21</f>
        <v>197.837804186257</v>
      </c>
      <c r="E828" s="35" t="n">
        <f aca="false">IF(E$43&lt;=1,0,((($T$22*Quesería!$J$110+(1-$T$22)*Quesería!$E$106)-($T$22*Quesería!$J$99+(1-$T$22)*Quesería!$E$99)+$T$6*($T$22*Quesería!$J$99+(1-$T$22)*Quesería!$E$99)-(1-$T$9)*($T$22*Quesería!$J$102+(1-$T$22)*Quesería!$E$102))+($T$6*($T$22*Quesería!$J$99+(1-$T$22)*Quesería!$E$99)+$T$9*($T$22*Quesería!$J$102+(1-$T$22)*Quesería!$E$102))*(E822-1))*IF(E$43=2,Quesería!$B$12,1)+IF(E$43=2,Quesería!$B$14*$T$9*($T$22*Quesería!$J$102+(1-$T$22)*Quesería!$E$102)*E822,0))*$T$10*$T$21</f>
        <v>234.441939047038</v>
      </c>
      <c r="F828" s="35" t="n">
        <f aca="false">IF(F$43&lt;=1,0,((($T$22*Quesería!$J$110+(1-$T$22)*Quesería!$E$106)-($T$22*Quesería!$J$99+(1-$T$22)*Quesería!$E$99)+$T$6*($T$22*Quesería!$J$99+(1-$T$22)*Quesería!$E$99)-(1-$T$9)*($T$22*Quesería!$J$102+(1-$T$22)*Quesería!$E$102))+($T$6*($T$22*Quesería!$J$99+(1-$T$22)*Quesería!$E$99)+$T$9*($T$22*Quesería!$J$102+(1-$T$22)*Quesería!$E$102))*(F822-1))*IF(F$43=2,Quesería!$B$12,1)+IF(F$43=2,Quesería!$B$14*$T$9*($T$22*Quesería!$J$102+(1-$T$22)*Quesería!$E$102)*F822,0))*$T$10*$T$21</f>
        <v>234.877078770292</v>
      </c>
      <c r="G828" s="35" t="n">
        <f aca="false">IF(G$43&lt;=1,0,((($T$22*Quesería!$J$110+(1-$T$22)*Quesería!$E$106)-($T$22*Quesería!$J$99+(1-$T$22)*Quesería!$E$99)+$T$6*($T$22*Quesería!$J$99+(1-$T$22)*Quesería!$E$99)-(1-$T$9)*($T$22*Quesería!$J$102+(1-$T$22)*Quesería!$E$102))+($T$6*($T$22*Quesería!$J$99+(1-$T$22)*Quesería!$E$99)+$T$9*($T$22*Quesería!$J$102+(1-$T$22)*Quesería!$E$102))*(G822-1))*IF(G$43=2,Quesería!$B$12,1)+IF(G$43=2,Quesería!$B$14*$T$9*($T$22*Quesería!$J$102+(1-$T$22)*Quesería!$E$102)*G822,0))*$T$10*$T$21</f>
        <v>235.314394192163</v>
      </c>
      <c r="H828" s="35" t="n">
        <f aca="false">IF(H$43&lt;=1,0,((($T$22*Quesería!$J$110+(1-$T$22)*Quesería!$E$106)-($T$22*Quesería!$J$99+(1-$T$22)*Quesería!$E$99)+$T$6*($T$22*Quesería!$J$99+(1-$T$22)*Quesería!$E$99)-(1-$T$9)*($T$22*Quesería!$J$102+(1-$T$22)*Quesería!$E$102))+($T$6*($T$22*Quesería!$J$99+(1-$T$22)*Quesería!$E$99)+$T$9*($T$22*Quesería!$J$102+(1-$T$22)*Quesería!$E$102))*(H822-1))*IF(H$43=2,Quesería!$B$12,1)+IF(H$43=2,Quesería!$B$14*$T$9*($T$22*Quesería!$J$102+(1-$T$22)*Quesería!$E$102)*H822,0))*$T$10*$T$21</f>
        <v>235.753896191143</v>
      </c>
      <c r="I828" s="35" t="n">
        <f aca="false">IF(I$43&lt;=1,0,((($T$22*Quesería!$J$110+(1-$T$22)*Quesería!$E$106)-($T$22*Quesería!$J$99+(1-$T$22)*Quesería!$E$99)+$T$6*($T$22*Quesería!$J$99+(1-$T$22)*Quesería!$E$99)-(1-$T$9)*($T$22*Quesería!$J$102+(1-$T$22)*Quesería!$E$102))+($T$6*($T$22*Quesería!$J$99+(1-$T$22)*Quesería!$E$99)+$T$9*($T$22*Quesería!$J$102+(1-$T$22)*Quesería!$E$102))*(I822-1))*IF(I$43=2,Quesería!$B$12,1)+IF(I$43=2,Quesería!$B$14*$T$9*($T$22*Quesería!$J$102+(1-$T$22)*Quesería!$E$102)*I822,0))*$T$10*$T$21</f>
        <v>236.195595700118</v>
      </c>
      <c r="J828" s="35" t="n">
        <f aca="false">IF(J$43&lt;=1,0,((($T$22*Quesería!$J$110+(1-$T$22)*Quesería!$E$106)-($T$22*Quesería!$J$99+(1-$T$22)*Quesería!$E$99)+$T$6*($T$22*Quesería!$J$99+(1-$T$22)*Quesería!$E$99)-(1-$T$9)*($T$22*Quesería!$J$102+(1-$T$22)*Quesería!$E$102))+($T$6*($T$22*Quesería!$J$99+(1-$T$22)*Quesería!$E$99)+$T$9*($T$22*Quesería!$J$102+(1-$T$22)*Quesería!$E$102))*(J822-1))*IF(J$43=2,Quesería!$B$12,1)+IF(J$43=2,Quesería!$B$14*$T$9*($T$22*Quesería!$J$102+(1-$T$22)*Quesería!$E$102)*J822,0))*$T$10*$T$21</f>
        <v>236.639503706638</v>
      </c>
      <c r="K828" s="35" t="n">
        <f aca="false">IF(K$43&lt;=1,0,((($T$22*Quesería!$J$110+(1-$T$22)*Quesería!$E$106)-($T$22*Quesería!$J$99+(1-$T$22)*Quesería!$E$99)+$T$6*($T$22*Quesería!$J$99+(1-$T$22)*Quesería!$E$99)-(1-$T$9)*($T$22*Quesería!$J$102+(1-$T$22)*Quesería!$E$102))+($T$6*($T$22*Quesería!$J$99+(1-$T$22)*Quesería!$E$99)+$T$9*($T$22*Quesería!$J$102+(1-$T$22)*Quesería!$E$102))*(K822-1))*IF(K$43=2,Quesería!$B$12,1)+IF(K$43=2,Quesería!$B$14*$T$9*($T$22*Quesería!$J$102+(1-$T$22)*Quesería!$E$102)*K822,0))*$T$10*$T$21</f>
        <v>237.08563125319</v>
      </c>
      <c r="L828" s="35" t="n">
        <f aca="false">IF(L$43&lt;=1,0,((($T$22*Quesería!$J$110+(1-$T$22)*Quesería!$E$106)-($T$22*Quesería!$J$99+(1-$T$22)*Quesería!$E$99)+$T$6*($T$22*Quesería!$J$99+(1-$T$22)*Quesería!$E$99)-(1-$T$9)*($T$22*Quesería!$J$102+(1-$T$22)*Quesería!$E$102))+($T$6*($T$22*Quesería!$J$99+(1-$T$22)*Quesería!$E$99)+$T$9*($T$22*Quesería!$J$102+(1-$T$22)*Quesería!$E$102))*(L822-1))*IF(L$43=2,Quesería!$B$12,1)+IF(L$43=2,Quesería!$B$14*$T$9*($T$22*Quesería!$J$102+(1-$T$22)*Quesería!$E$102)*L822,0))*$T$10*$T$21</f>
        <v>237.533989437476</v>
      </c>
    </row>
    <row r="829" customFormat="false" ht="15" hidden="false" customHeight="false" outlineLevel="0" collapsed="false">
      <c r="A829" s="5" t="s">
        <v>287</v>
      </c>
      <c r="B829" s="10" t="n">
        <f aca="false">B827+B828</f>
        <v>45.6373732102639</v>
      </c>
      <c r="C829" s="10" t="n">
        <f aca="false">C827+C828</f>
        <v>137.165278593056</v>
      </c>
      <c r="D829" s="10" t="n">
        <f aca="false">D827+D828</f>
        <v>380.785330036747</v>
      </c>
      <c r="E829" s="10" t="n">
        <f aca="false">E827+E828</f>
        <v>417.450255062574</v>
      </c>
      <c r="F829" s="10" t="n">
        <f aca="false">F827+F828</f>
        <v>417.946488901701</v>
      </c>
      <c r="G829" s="10" t="n">
        <f aca="false">G827+G828</f>
        <v>418.445203910024</v>
      </c>
      <c r="H829" s="10" t="n">
        <f aca="false">H827+H828</f>
        <v>418.946412493388</v>
      </c>
      <c r="I829" s="10" t="n">
        <f aca="false">I827+I828</f>
        <v>419.450127119669</v>
      </c>
      <c r="J829" s="10" t="n">
        <f aca="false">J827+J828</f>
        <v>419.956360319081</v>
      </c>
      <c r="K829" s="10" t="n">
        <f aca="false">K827+K828</f>
        <v>420.465124684491</v>
      </c>
      <c r="L829" s="10" t="n">
        <f aca="false">L827+L828</f>
        <v>420.976432871727</v>
      </c>
    </row>
    <row r="830" customFormat="false" ht="15" hidden="false" customHeight="false" outlineLevel="0" collapsed="false">
      <c r="A830" s="6" t="s">
        <v>288</v>
      </c>
      <c r="B830" s="35" t="n">
        <f aca="false">(IF(B$43&gt;=1,(Quesería!$B$21+Quesería!$B$54)*Quesería!$F$82*$T$11+Quesería!$B$22+'Beneficios y costos'!$B$118,0)+IF(B$43&gt;=2,((Quesería!$B$21+Quesería!$B$54)*Quesería!$F$83*$T$11+'Beneficios y costos'!$C$118)*$T$21,0))*$T$12</f>
        <v>0</v>
      </c>
      <c r="C830" s="35" t="n">
        <f aca="false">(IF(C$43&gt;=1,(Quesería!$B$21+Quesería!$B$54)*Quesería!$F$82*$T$11+Quesería!$B$22+'Beneficios y costos'!$B$118,0)+IF(C$43&gt;=2,((Quesería!$B$21+Quesería!$B$54)*Quesería!$F$83*$T$11+'Beneficios y costos'!$C$118)*$T$21,0))*$T$12</f>
        <v>36.8921528634167</v>
      </c>
      <c r="D830" s="35" t="n">
        <f aca="false">(IF(D$43&gt;=1,(Quesería!$B$21+Quesería!$B$54)*Quesería!$F$82*$T$11+Quesería!$B$22+'Beneficios y costos'!$B$118,0)+IF(D$43&gt;=2,((Quesería!$B$21+Quesería!$B$54)*Quesería!$F$83*$T$11+'Beneficios y costos'!$C$118)*$T$21,0))*$T$12</f>
        <v>88.8065043646377</v>
      </c>
      <c r="E830" s="35" t="n">
        <f aca="false">(IF(E$43&gt;=1,(Quesería!$B$21+Quesería!$B$54)*Quesería!$F$82*$T$11+Quesería!$B$22+'Beneficios y costos'!$B$118,0)+IF(E$43&gt;=2,((Quesería!$B$21+Quesería!$B$54)*Quesería!$F$83*$T$11+'Beneficios y costos'!$C$118)*$T$21,0))*$T$12</f>
        <v>88.8065043646377</v>
      </c>
      <c r="F830" s="35" t="n">
        <f aca="false">(IF(F$43&gt;=1,(Quesería!$B$21+Quesería!$B$54)*Quesería!$F$82*$T$11+Quesería!$B$22+'Beneficios y costos'!$B$118,0)+IF(F$43&gt;=2,((Quesería!$B$21+Quesería!$B$54)*Quesería!$F$83*$T$11+'Beneficios y costos'!$C$118)*$T$21,0))*$T$12</f>
        <v>88.8065043646377</v>
      </c>
      <c r="G830" s="35" t="n">
        <f aca="false">(IF(G$43&gt;=1,(Quesería!$B$21+Quesería!$B$54)*Quesería!$F$82*$T$11+Quesería!$B$22+'Beneficios y costos'!$B$118,0)+IF(G$43&gt;=2,((Quesería!$B$21+Quesería!$B$54)*Quesería!$F$83*$T$11+'Beneficios y costos'!$C$118)*$T$21,0))*$T$12</f>
        <v>88.8065043646377</v>
      </c>
      <c r="H830" s="35" t="n">
        <f aca="false">(IF(H$43&gt;=1,(Quesería!$B$21+Quesería!$B$54)*Quesería!$F$82*$T$11+Quesería!$B$22+'Beneficios y costos'!$B$118,0)+IF(H$43&gt;=2,((Quesería!$B$21+Quesería!$B$54)*Quesería!$F$83*$T$11+'Beneficios y costos'!$C$118)*$T$21,0))*$T$12</f>
        <v>88.8065043646377</v>
      </c>
      <c r="I830" s="35" t="n">
        <f aca="false">(IF(I$43&gt;=1,(Quesería!$B$21+Quesería!$B$54)*Quesería!$F$82*$T$11+Quesería!$B$22+'Beneficios y costos'!$B$118,0)+IF(I$43&gt;=2,((Quesería!$B$21+Quesería!$B$54)*Quesería!$F$83*$T$11+'Beneficios y costos'!$C$118)*$T$21,0))*$T$12</f>
        <v>88.8065043646377</v>
      </c>
      <c r="J830" s="35" t="n">
        <f aca="false">(IF(J$43&gt;=1,(Quesería!$B$21+Quesería!$B$54)*Quesería!$F$82*$T$11+Quesería!$B$22+'Beneficios y costos'!$B$118,0)+IF(J$43&gt;=2,((Quesería!$B$21+Quesería!$B$54)*Quesería!$F$83*$T$11+'Beneficios y costos'!$C$118)*$T$21,0))*$T$12</f>
        <v>88.8065043646377</v>
      </c>
      <c r="K830" s="35" t="n">
        <f aca="false">(IF(K$43&gt;=1,(Quesería!$B$21+Quesería!$B$54)*Quesería!$F$82*$T$11+Quesería!$B$22+'Beneficios y costos'!$B$118,0)+IF(K$43&gt;=2,((Quesería!$B$21+Quesería!$B$54)*Quesería!$F$83*$T$11+'Beneficios y costos'!$C$118)*$T$21,0))*$T$12</f>
        <v>88.8065043646377</v>
      </c>
      <c r="L830" s="35" t="n">
        <f aca="false">(IF(L$43&gt;=1,(Quesería!$B$21+Quesería!$B$54)*Quesería!$F$82*$T$11+Quesería!$B$22+'Beneficios y costos'!$B$118,0)+IF(L$43&gt;=2,((Quesería!$B$21+Quesería!$B$54)*Quesería!$F$83*$T$11+'Beneficios y costos'!$C$118)*$T$21,0))*$T$12</f>
        <v>88.8065043646377</v>
      </c>
    </row>
    <row r="831" customFormat="false" ht="15" hidden="false" customHeight="false" outlineLevel="0" collapsed="false">
      <c r="A831" s="6" t="s">
        <v>289</v>
      </c>
      <c r="B831" s="35" t="n">
        <f aca="false">IF(B$43=1,2*Quesería!$B$33*Quesería!$B$34/12*B822,0)*$T$21</f>
        <v>0</v>
      </c>
      <c r="C831" s="35" t="n">
        <f aca="false">IF(C$43=1,2*Quesería!$B$33*Quesería!$B$34/12*C822,0)*$T$21</f>
        <v>18.5166509433962</v>
      </c>
      <c r="D831" s="35" t="n">
        <f aca="false">IF(D$43=1,2*Quesería!$B$33*Quesería!$B$34/12*D822,0)*$T$21</f>
        <v>0</v>
      </c>
      <c r="E831" s="35" t="n">
        <f aca="false">IF(E$43=1,2*Quesería!$B$33*Quesería!$B$34/12*E822,0)*$T$21</f>
        <v>0</v>
      </c>
      <c r="F831" s="35" t="n">
        <f aca="false">IF(F$43=1,2*Quesería!$B$33*Quesería!$B$34/12*F822,0)*$T$21</f>
        <v>0</v>
      </c>
      <c r="G831" s="35" t="n">
        <f aca="false">IF(G$43=1,2*Quesería!$B$33*Quesería!$B$34/12*G822,0)*$T$21</f>
        <v>0</v>
      </c>
      <c r="H831" s="35" t="n">
        <f aca="false">IF(H$43=1,2*Quesería!$B$33*Quesería!$B$34/12*H822,0)*$T$21</f>
        <v>0</v>
      </c>
      <c r="I831" s="35" t="n">
        <f aca="false">IF(I$43=1,2*Quesería!$B$33*Quesería!$B$34/12*I822,0)*$T$21</f>
        <v>0</v>
      </c>
      <c r="J831" s="35" t="n">
        <f aca="false">IF(J$43=1,2*Quesería!$B$33*Quesería!$B$34/12*J822,0)*$T$21</f>
        <v>0</v>
      </c>
      <c r="K831" s="35" t="n">
        <f aca="false">IF(K$43=1,2*Quesería!$B$33*Quesería!$B$34/12*K822,0)*$T$21</f>
        <v>0</v>
      </c>
      <c r="L831" s="35" t="n">
        <f aca="false">IF(L$43=1,2*Quesería!$B$33*Quesería!$B$34/12*L822,0)*$T$21</f>
        <v>0</v>
      </c>
    </row>
    <row r="832" customFormat="false" ht="15" hidden="false" customHeight="false" outlineLevel="0" collapsed="false">
      <c r="A832" s="6" t="s">
        <v>290</v>
      </c>
      <c r="B832" s="35" t="n">
        <f aca="false">Quesería!$B$45*(B824+B825+B826+B830+B831)</f>
        <v>2.88636599924197</v>
      </c>
      <c r="C832" s="35" t="n">
        <f aca="false">Quesería!$B$45*(C824+C825+C826+C830+C831)</f>
        <v>3.29312083686149</v>
      </c>
      <c r="D832" s="35" t="n">
        <f aca="false">Quesería!$B$45*(D824+D825+D826+D830+D831)</f>
        <v>0.355226017458551</v>
      </c>
      <c r="E832" s="35" t="n">
        <f aca="false">Quesería!$B$45*(E824+E825+E826+E830+E831)</f>
        <v>0.355226017458551</v>
      </c>
      <c r="F832" s="35" t="n">
        <f aca="false">Quesería!$B$45*(F824+F825+F826+F830+F831)</f>
        <v>0.355226017458551</v>
      </c>
      <c r="G832" s="35" t="n">
        <f aca="false">Quesería!$B$45*(G824+G825+G826+G830+G831)</f>
        <v>0.482159350791884</v>
      </c>
      <c r="H832" s="35" t="n">
        <f aca="false">Quesería!$B$45*(H824+H825+H826+H830+H831)</f>
        <v>0.523275690008284</v>
      </c>
      <c r="I832" s="35" t="n">
        <f aca="false">Quesería!$B$45*(I824+I825+I826+I830+I831)</f>
        <v>0.355226017458551</v>
      </c>
      <c r="J832" s="35" t="n">
        <f aca="false">Quesería!$B$45*(J824+J825+J826+J830+J831)</f>
        <v>0.355226017458551</v>
      </c>
      <c r="K832" s="35" t="n">
        <f aca="false">Quesería!$B$45*(K824+K825+K826+K830+K831)</f>
        <v>0.355226017458551</v>
      </c>
      <c r="L832" s="35" t="n">
        <f aca="false">Quesería!$B$45*(L824+L825+L826+L830+L831)</f>
        <v>0.355226017458551</v>
      </c>
    </row>
    <row r="833" customFormat="false" ht="15" hidden="false" customHeight="false" outlineLevel="0" collapsed="false">
      <c r="A833" s="6" t="s">
        <v>291</v>
      </c>
      <c r="B833" s="35" t="n">
        <f aca="false">(IF($T$19=1,(SUMPRODUCT((Quesería!$C$62:$C$77=0)*(Quesería!$J$62:$J$77&gt;0)*(B$43&gt;=1)*(B$43&lt;=Quesería!$J$62:$J$77)*(Quesería!$H$62:$H$77&gt;0)*Quesería!$F$62:$F$77*(1+Quesería!$I$62:$I$77)/(Quesería!$J$62:$J$77+(Quesería!$J$62:$J$77=0)))+SUMPRODUCT((Quesería!$C$62:$C$77=0)*(Quesería!$J$62:$J$77=0)*(B$43=0)*(Quesería!$H$62:$H$77&gt;0)*Quesería!$F$62:$F$77*(1+Quesería!$I$62:$I$77)))*$B$821+(SUMPRODUCT((Quesería!$C$62:$C$77=1)*(Quesería!$J$62:$J$77&gt;0)*(B$43&gt;=2)*(B$43&lt;=Quesería!$J$62:$J$77+1)*(Quesería!$H$62:$H$77&gt;0)*Quesería!$F$62:$F$77*(1+Quesería!$I$62:$I$77)/(Quesería!$J$62:$J$77+(Quesería!$J$62:$J$77=0)))+SUMPRODUCT((Quesería!$C$62:$C$77=1)*(Quesería!$J$62:$J$77=0)*(B$43=1)*(Quesería!$H$62:$H$77&gt;0)*Quesería!$F$62:$F$77*(1+Quesería!$I$62:$I$77)))*$C$821*$T$21,IF(AND(B$43&gt;=1,B$43&lt;=Quesería!$B$11),Quesería!$F$80/Quesería!$B$11,0)*$B$821+IF(AND(B$43&gt;=2,B$43&lt;=Quesería!$B$11+1),Quesería!$F$81/Quesería!$B$11,0)*$C$821*$T$21)*$T$11+IF(AND(B$43&gt;=6,B$43&lt;=10),$G825*$G821/5,0)+IF(AND(B$43&gt;=7,B$43&lt;=11),$H825*$H821/5,0))*B823</f>
        <v>99.3600691219113</v>
      </c>
      <c r="C833" s="35" t="n">
        <f aca="false">(IF($T$19=1,(SUMPRODUCT((Quesería!$C$62:$C$77=0)*(Quesería!$J$62:$J$77&gt;0)*(C$43&gt;=1)*(C$43&lt;=Quesería!$J$62:$J$77)*(Quesería!$H$62:$H$77&gt;0)*Quesería!$F$62:$F$77*(1+Quesería!$I$62:$I$77)/(Quesería!$J$62:$J$77+(Quesería!$J$62:$J$77=0)))+SUMPRODUCT((Quesería!$C$62:$C$77=0)*(Quesería!$J$62:$J$77=0)*(C$43=0)*(Quesería!$H$62:$H$77&gt;0)*Quesería!$F$62:$F$77*(1+Quesería!$I$62:$I$77)))*$B$821+(SUMPRODUCT((Quesería!$C$62:$C$77=1)*(Quesería!$J$62:$J$77&gt;0)*(C$43&gt;=2)*(C$43&lt;=Quesería!$J$62:$J$77+1)*(Quesería!$H$62:$H$77&gt;0)*Quesería!$F$62:$F$77*(1+Quesería!$I$62:$I$77)/(Quesería!$J$62:$J$77+(Quesería!$J$62:$J$77=0)))+SUMPRODUCT((Quesería!$C$62:$C$77=1)*(Quesería!$J$62:$J$77=0)*(C$43=1)*(Quesería!$H$62:$H$77&gt;0)*Quesería!$F$62:$F$77*(1+Quesería!$I$62:$I$77)))*$C$821*$T$21,IF(AND(C$43&gt;=1,C$43&lt;=Quesería!$B$11),Quesería!$F$80/Quesería!$B$11,0)*$B$821+IF(AND(C$43&gt;=2,C$43&lt;=Quesería!$B$11+1),Quesería!$F$81/Quesería!$B$11,0)*$C$821*$T$21)*$T$11+IF(AND(C$43&gt;=6,C$43&lt;=10),$G825*$G821/5,0)+IF(AND(C$43&gt;=7,C$43&lt;=11),$H825*$H821/5,0))*C823</f>
        <v>57.1000211302053</v>
      </c>
      <c r="D833" s="35" t="n">
        <f aca="false">(IF($T$19=1,(SUMPRODUCT((Quesería!$C$62:$C$77=0)*(Quesería!$J$62:$J$77&gt;0)*(D$43&gt;=1)*(D$43&lt;=Quesería!$J$62:$J$77)*(Quesería!$H$62:$H$77&gt;0)*Quesería!$F$62:$F$77*(1+Quesería!$I$62:$I$77)/(Quesería!$J$62:$J$77+(Quesería!$J$62:$J$77=0)))+SUMPRODUCT((Quesería!$C$62:$C$77=0)*(Quesería!$J$62:$J$77=0)*(D$43=0)*(Quesería!$H$62:$H$77&gt;0)*Quesería!$F$62:$F$77*(1+Quesería!$I$62:$I$77)))*$B$821+(SUMPRODUCT((Quesería!$C$62:$C$77=1)*(Quesería!$J$62:$J$77&gt;0)*(D$43&gt;=2)*(D$43&lt;=Quesería!$J$62:$J$77+1)*(Quesería!$H$62:$H$77&gt;0)*Quesería!$F$62:$F$77*(1+Quesería!$I$62:$I$77)/(Quesería!$J$62:$J$77+(Quesería!$J$62:$J$77=0)))+SUMPRODUCT((Quesería!$C$62:$C$77=1)*(Quesería!$J$62:$J$77=0)*(D$43=1)*(Quesería!$H$62:$H$77&gt;0)*Quesería!$F$62:$F$77*(1+Quesería!$I$62:$I$77)))*$C$821*$T$21,IF(AND(D$43&gt;=1,D$43&lt;=Quesería!$B$11),Quesería!$F$80/Quesería!$B$11,0)*$B$821+IF(AND(D$43&gt;=2,D$43&lt;=Quesería!$B$11+1),Quesería!$F$81/Quesería!$B$11,0)*$C$821*$T$21)*$T$11+IF(AND(D$43&gt;=6,D$43&lt;=10),$G825*$G821/5,0)+IF(AND(D$43&gt;=7,D$43&lt;=11),$H825*$H821/5,0))*D823</f>
        <v>116.389502380926</v>
      </c>
      <c r="E833" s="35" t="n">
        <f aca="false">(IF($T$19=1,(SUMPRODUCT((Quesería!$C$62:$C$77=0)*(Quesería!$J$62:$J$77&gt;0)*(E$43&gt;=1)*(E$43&lt;=Quesería!$J$62:$J$77)*(Quesería!$H$62:$H$77&gt;0)*Quesería!$F$62:$F$77*(1+Quesería!$I$62:$I$77)/(Quesería!$J$62:$J$77+(Quesería!$J$62:$J$77=0)))+SUMPRODUCT((Quesería!$C$62:$C$77=0)*(Quesería!$J$62:$J$77=0)*(E$43=0)*(Quesería!$H$62:$H$77&gt;0)*Quesería!$F$62:$F$77*(1+Quesería!$I$62:$I$77)))*$B$821+(SUMPRODUCT((Quesería!$C$62:$C$77=1)*(Quesería!$J$62:$J$77&gt;0)*(E$43&gt;=2)*(E$43&lt;=Quesería!$J$62:$J$77+1)*(Quesería!$H$62:$H$77&gt;0)*Quesería!$F$62:$F$77*(1+Quesería!$I$62:$I$77)/(Quesería!$J$62:$J$77+(Quesería!$J$62:$J$77=0)))+SUMPRODUCT((Quesería!$C$62:$C$77=1)*(Quesería!$J$62:$J$77=0)*(E$43=1)*(Quesería!$H$62:$H$77&gt;0)*Quesería!$F$62:$F$77*(1+Quesería!$I$62:$I$77)))*$C$821*$T$21,IF(AND(E$43&gt;=1,E$43&lt;=Quesería!$B$11),Quesería!$F$80/Quesería!$B$11,0)*$B$821+IF(AND(E$43&gt;=2,E$43&lt;=Quesería!$B$11+1),Quesería!$F$81/Quesería!$B$11,0)*$C$821*$T$21)*$T$11+IF(AND(E$43&gt;=6,E$43&lt;=10),$G825*$G821/5,0)+IF(AND(E$43&gt;=7,E$43&lt;=11),$H825*$H821/5,0))*E823</f>
        <v>111.912983058583</v>
      </c>
      <c r="F833" s="35" t="n">
        <f aca="false">(IF($T$19=1,(SUMPRODUCT((Quesería!$C$62:$C$77=0)*(Quesería!$J$62:$J$77&gt;0)*(F$43&gt;=1)*(F$43&lt;=Quesería!$J$62:$J$77)*(Quesería!$H$62:$H$77&gt;0)*Quesería!$F$62:$F$77*(1+Quesería!$I$62:$I$77)/(Quesería!$J$62:$J$77+(Quesería!$J$62:$J$77=0)))+SUMPRODUCT((Quesería!$C$62:$C$77=0)*(Quesería!$J$62:$J$77=0)*(F$43=0)*(Quesería!$H$62:$H$77&gt;0)*Quesería!$F$62:$F$77*(1+Quesería!$I$62:$I$77)))*$B$821+(SUMPRODUCT((Quesería!$C$62:$C$77=1)*(Quesería!$J$62:$J$77&gt;0)*(F$43&gt;=2)*(F$43&lt;=Quesería!$J$62:$J$77+1)*(Quesería!$H$62:$H$77&gt;0)*Quesería!$F$62:$F$77*(1+Quesería!$I$62:$I$77)/(Quesería!$J$62:$J$77+(Quesería!$J$62:$J$77=0)))+SUMPRODUCT((Quesería!$C$62:$C$77=1)*(Quesería!$J$62:$J$77=0)*(F$43=1)*(Quesería!$H$62:$H$77&gt;0)*Quesería!$F$62:$F$77*(1+Quesería!$I$62:$I$77)))*$C$821*$T$21,IF(AND(F$43&gt;=1,F$43&lt;=Quesería!$B$11),Quesería!$F$80/Quesería!$B$11,0)*$B$821+IF(AND(F$43&gt;=2,F$43&lt;=Quesería!$B$11+1),Quesería!$F$81/Quesería!$B$11,0)*$C$821*$T$21)*$T$11+IF(AND(F$43&gt;=6,F$43&lt;=10),$G825*$G821/5,0)+IF(AND(F$43&gt;=7,F$43&lt;=11),$H825*$H821/5,0))*F823</f>
        <v>107.608637556329</v>
      </c>
      <c r="G833" s="35" t="n">
        <f aca="false">(IF($T$19=1,(SUMPRODUCT((Quesería!$C$62:$C$77=0)*(Quesería!$J$62:$J$77&gt;0)*(G$43&gt;=1)*(G$43&lt;=Quesería!$J$62:$J$77)*(Quesería!$H$62:$H$77&gt;0)*Quesería!$F$62:$F$77*(1+Quesería!$I$62:$I$77)/(Quesería!$J$62:$J$77+(Quesería!$J$62:$J$77=0)))+SUMPRODUCT((Quesería!$C$62:$C$77=0)*(Quesería!$J$62:$J$77=0)*(G$43=0)*(Quesería!$H$62:$H$77&gt;0)*Quesería!$F$62:$F$77*(1+Quesería!$I$62:$I$77)))*$B$821+(SUMPRODUCT((Quesería!$C$62:$C$77=1)*(Quesería!$J$62:$J$77&gt;0)*(G$43&gt;=2)*(G$43&lt;=Quesería!$J$62:$J$77+1)*(Quesería!$H$62:$H$77&gt;0)*Quesería!$F$62:$F$77*(1+Quesería!$I$62:$I$77)/(Quesería!$J$62:$J$77+(Quesería!$J$62:$J$77=0)))+SUMPRODUCT((Quesería!$C$62:$C$77=1)*(Quesería!$J$62:$J$77=0)*(G$43=1)*(Quesería!$H$62:$H$77&gt;0)*Quesería!$F$62:$F$77*(1+Quesería!$I$62:$I$77)))*$C$821*$T$21,IF(AND(G$43&gt;=1,G$43&lt;=Quesería!$B$11),Quesería!$F$80/Quesería!$B$11,0)*$B$821+IF(AND(G$43&gt;=2,G$43&lt;=Quesería!$B$11+1),Quesería!$F$81/Quesería!$B$11,0)*$C$821*$T$21)*$T$11+IF(AND(G$43&gt;=6,G$43&lt;=10),$G825*$G821/5,0)+IF(AND(G$43&gt;=7,G$43&lt;=11),$H825*$H821/5,0))*G823</f>
        <v>103.469843804163</v>
      </c>
      <c r="H833" s="35" t="n">
        <f aca="false">(IF($T$19=1,(SUMPRODUCT((Quesería!$C$62:$C$77=0)*(Quesería!$J$62:$J$77&gt;0)*(H$43&gt;=1)*(H$43&lt;=Quesería!$J$62:$J$77)*(Quesería!$H$62:$H$77&gt;0)*Quesería!$F$62:$F$77*(1+Quesería!$I$62:$I$77)/(Quesería!$J$62:$J$77+(Quesería!$J$62:$J$77=0)))+SUMPRODUCT((Quesería!$C$62:$C$77=0)*(Quesería!$J$62:$J$77=0)*(H$43=0)*(Quesería!$H$62:$H$77&gt;0)*Quesería!$F$62:$F$77*(1+Quesería!$I$62:$I$77)))*$B$821+(SUMPRODUCT((Quesería!$C$62:$C$77=1)*(Quesería!$J$62:$J$77&gt;0)*(H$43&gt;=2)*(H$43&lt;=Quesería!$J$62:$J$77+1)*(Quesería!$H$62:$H$77&gt;0)*Quesería!$F$62:$F$77*(1+Quesería!$I$62:$I$77)/(Quesería!$J$62:$J$77+(Quesería!$J$62:$J$77=0)))+SUMPRODUCT((Quesería!$C$62:$C$77=1)*(Quesería!$J$62:$J$77=0)*(H$43=1)*(Quesería!$H$62:$H$77&gt;0)*Quesería!$F$62:$F$77*(1+Quesería!$I$62:$I$77)))*$C$821*$T$21,IF(AND(H$43&gt;=1,H$43&lt;=Quesería!$B$11),Quesería!$F$80/Quesería!$B$11,0)*$B$821+IF(AND(H$43&gt;=2,H$43&lt;=Quesería!$B$11+1),Quesería!$F$81/Quesería!$B$11,0)*$C$821*$T$21)*$T$11+IF(AND(H$43&gt;=6,H$43&lt;=10),$G825*$G821/5,0)+IF(AND(H$43&gt;=7,H$43&lt;=11),$H825*$H821/5,0))*H823</f>
        <v>92.6731239063542</v>
      </c>
      <c r="I833" s="35" t="n">
        <f aca="false">(IF($T$19=1,(SUMPRODUCT((Quesería!$C$62:$C$77=0)*(Quesería!$J$62:$J$77&gt;0)*(I$43&gt;=1)*(I$43&lt;=Quesería!$J$62:$J$77)*(Quesería!$H$62:$H$77&gt;0)*Quesería!$F$62:$F$77*(1+Quesería!$I$62:$I$77)/(Quesería!$J$62:$J$77+(Quesería!$J$62:$J$77=0)))+SUMPRODUCT((Quesería!$C$62:$C$77=0)*(Quesería!$J$62:$J$77=0)*(I$43=0)*(Quesería!$H$62:$H$77&gt;0)*Quesería!$F$62:$F$77*(1+Quesería!$I$62:$I$77)))*$B$821+(SUMPRODUCT((Quesería!$C$62:$C$77=1)*(Quesería!$J$62:$J$77&gt;0)*(I$43&gt;=2)*(I$43&lt;=Quesería!$J$62:$J$77+1)*(Quesería!$H$62:$H$77&gt;0)*Quesería!$F$62:$F$77*(1+Quesería!$I$62:$I$77)/(Quesería!$J$62:$J$77+(Quesería!$J$62:$J$77=0)))+SUMPRODUCT((Quesería!$C$62:$C$77=1)*(Quesería!$J$62:$J$77=0)*(I$43=1)*(Quesería!$H$62:$H$77&gt;0)*Quesería!$F$62:$F$77*(1+Quesería!$I$62:$I$77)))*$C$821*$T$21,IF(AND(I$43&gt;=1,I$43&lt;=Quesería!$B$11),Quesería!$F$80/Quesería!$B$11,0)*$B$821+IF(AND(I$43&gt;=2,I$43&lt;=Quesería!$B$11+1),Quesería!$F$81/Quesería!$B$11,0)*$C$821*$T$21)*$T$11+IF(AND(I$43&gt;=6,I$43&lt;=10),$G825*$G821/5,0)+IF(AND(I$43&gt;=7,I$43&lt;=11),$H825*$H821/5,0))*I823</f>
        <v>95.8981101131611</v>
      </c>
      <c r="J833" s="35" t="n">
        <f aca="false">(IF($T$19=1,(SUMPRODUCT((Quesería!$C$62:$C$77=0)*(Quesería!$J$62:$J$77&gt;0)*(J$43&gt;=1)*(J$43&lt;=Quesería!$J$62:$J$77)*(Quesería!$H$62:$H$77&gt;0)*Quesería!$F$62:$F$77*(1+Quesería!$I$62:$I$77)/(Quesería!$J$62:$J$77+(Quesería!$J$62:$J$77=0)))+SUMPRODUCT((Quesería!$C$62:$C$77=0)*(Quesería!$J$62:$J$77=0)*(J$43=0)*(Quesería!$H$62:$H$77&gt;0)*Quesería!$F$62:$F$77*(1+Quesería!$I$62:$I$77)))*$B$821+(SUMPRODUCT((Quesería!$C$62:$C$77=1)*(Quesería!$J$62:$J$77&gt;0)*(J$43&gt;=2)*(J$43&lt;=Quesería!$J$62:$J$77+1)*(Quesería!$H$62:$H$77&gt;0)*Quesería!$F$62:$F$77*(1+Quesería!$I$62:$I$77)/(Quesería!$J$62:$J$77+(Quesería!$J$62:$J$77=0)))+SUMPRODUCT((Quesería!$C$62:$C$77=1)*(Quesería!$J$62:$J$77=0)*(J$43=1)*(Quesería!$H$62:$H$77&gt;0)*Quesería!$F$62:$F$77*(1+Quesería!$I$62:$I$77)))*$C$821*$T$21,IF(AND(J$43&gt;=1,J$43&lt;=Quesería!$B$11),Quesería!$F$80/Quesería!$B$11,0)*$B$821+IF(AND(J$43&gt;=2,J$43&lt;=Quesería!$B$11+1),Quesería!$F$81/Quesería!$B$11,0)*$C$821*$T$21)*$T$11+IF(AND(J$43&gt;=6,J$43&lt;=10),$G825*$G821/5,0)+IF(AND(J$43&gt;=7,J$43&lt;=11),$H825*$H821/5,0))*J823</f>
        <v>92.2097212626549</v>
      </c>
      <c r="K833" s="35" t="n">
        <f aca="false">(IF($T$19=1,(SUMPRODUCT((Quesería!$C$62:$C$77=0)*(Quesería!$J$62:$J$77&gt;0)*(K$43&gt;=1)*(K$43&lt;=Quesería!$J$62:$J$77)*(Quesería!$H$62:$H$77&gt;0)*Quesería!$F$62:$F$77*(1+Quesería!$I$62:$I$77)/(Quesería!$J$62:$J$77+(Quesería!$J$62:$J$77=0)))+SUMPRODUCT((Quesería!$C$62:$C$77=0)*(Quesería!$J$62:$J$77=0)*(K$43=0)*(Quesería!$H$62:$H$77&gt;0)*Quesería!$F$62:$F$77*(1+Quesería!$I$62:$I$77)))*$B$821+(SUMPRODUCT((Quesería!$C$62:$C$77=1)*(Quesería!$J$62:$J$77&gt;0)*(K$43&gt;=2)*(K$43&lt;=Quesería!$J$62:$J$77+1)*(Quesería!$H$62:$H$77&gt;0)*Quesería!$F$62:$F$77*(1+Quesería!$I$62:$I$77)/(Quesería!$J$62:$J$77+(Quesería!$J$62:$J$77=0)))+SUMPRODUCT((Quesería!$C$62:$C$77=1)*(Quesería!$J$62:$J$77=0)*(K$43=1)*(Quesería!$H$62:$H$77&gt;0)*Quesería!$F$62:$F$77*(1+Quesería!$I$62:$I$77)))*$C$821*$T$21,IF(AND(K$43&gt;=1,K$43&lt;=Quesería!$B$11),Quesería!$F$80/Quesería!$B$11,0)*$B$821+IF(AND(K$43&gt;=2,K$43&lt;=Quesería!$B$11+1),Quesería!$F$81/Quesería!$B$11,0)*$C$821*$T$21)*$T$11+IF(AND(K$43&gt;=6,K$43&lt;=10),$G825*$G821/5,0)+IF(AND(K$43&gt;=7,K$43&lt;=11),$H825*$H821/5,0))*K823</f>
        <v>88.6631935217835</v>
      </c>
      <c r="L833" s="35" t="n">
        <f aca="false">(IF($T$19=1,(SUMPRODUCT((Quesería!$C$62:$C$77=0)*(Quesería!$J$62:$J$77&gt;0)*(L$43&gt;=1)*(L$43&lt;=Quesería!$J$62:$J$77)*(Quesería!$H$62:$H$77&gt;0)*Quesería!$F$62:$F$77*(1+Quesería!$I$62:$I$77)/(Quesería!$J$62:$J$77+(Quesería!$J$62:$J$77=0)))+SUMPRODUCT((Quesería!$C$62:$C$77=0)*(Quesería!$J$62:$J$77=0)*(L$43=0)*(Quesería!$H$62:$H$77&gt;0)*Quesería!$F$62:$F$77*(1+Quesería!$I$62:$I$77)))*$B$821+(SUMPRODUCT((Quesería!$C$62:$C$77=1)*(Quesería!$J$62:$J$77&gt;0)*(L$43&gt;=2)*(L$43&lt;=Quesería!$J$62:$J$77+1)*(Quesería!$H$62:$H$77&gt;0)*Quesería!$F$62:$F$77*(1+Quesería!$I$62:$I$77)/(Quesería!$J$62:$J$77+(Quesería!$J$62:$J$77=0)))+SUMPRODUCT((Quesería!$C$62:$C$77=1)*(Quesería!$J$62:$J$77=0)*(L$43=1)*(Quesería!$H$62:$H$77&gt;0)*Quesería!$F$62:$F$77*(1+Quesería!$I$62:$I$77)))*$C$821*$T$21,IF(AND(L$43&gt;=1,L$43&lt;=Quesería!$B$11),Quesería!$F$80/Quesería!$B$11,0)*$B$821+IF(AND(L$43&gt;=2,L$43&lt;=Quesería!$B$11+1),Quesería!$F$81/Quesería!$B$11,0)*$C$821*$T$21)*$T$11+IF(AND(L$43&gt;=6,L$43&lt;=10),$G825*$G821/5,0)+IF(AND(L$43&gt;=7,L$43&lt;=11),$H825*$H821/5,0))*L823</f>
        <v>85.2530706940226</v>
      </c>
    </row>
    <row r="834" customFormat="false" ht="15" hidden="false" customHeight="false" outlineLevel="0" collapsed="false">
      <c r="A834" s="9" t="s">
        <v>292</v>
      </c>
      <c r="B834" s="36" t="n">
        <f aca="false">IF(B$43=1,MIN($T$7*Quesería!$B$35*Quesería!$F$75*$T$11*$T$21,Quesería!$B$50*Quesería!$B$51),0)</f>
        <v>0</v>
      </c>
      <c r="C834" s="36" t="n">
        <f aca="false">IF(C$43=1,MIN($T$7*Quesería!$B$35*Quesería!$F$75*$T$11*$T$21,Quesería!$B$50*Quesería!$B$51),0)</f>
        <v>20</v>
      </c>
      <c r="D834" s="36" t="n">
        <f aca="false">IF(D$43=1,MIN($T$7*Quesería!$B$35*Quesería!$F$75*$T$11*$T$21,Quesería!$B$50*Quesería!$B$51),0)</f>
        <v>0</v>
      </c>
      <c r="E834" s="36" t="n">
        <f aca="false">IF(E$43=1,MIN($T$7*Quesería!$B$35*Quesería!$F$75*$T$11*$T$21,Quesería!$B$50*Quesería!$B$51),0)</f>
        <v>0</v>
      </c>
      <c r="F834" s="36" t="n">
        <f aca="false">IF(F$43=1,MIN($T$7*Quesería!$B$35*Quesería!$F$75*$T$11*$T$21,Quesería!$B$50*Quesería!$B$51),0)</f>
        <v>0</v>
      </c>
      <c r="G834" s="36" t="n">
        <f aca="false">IF(G$43=1,MIN($T$7*Quesería!$B$35*Quesería!$F$75*$T$11*$T$21,Quesería!$B$50*Quesería!$B$51),0)</f>
        <v>0</v>
      </c>
      <c r="H834" s="36" t="n">
        <f aca="false">IF(H$43=1,MIN($T$7*Quesería!$B$35*Quesería!$F$75*$T$11*$T$21,Quesería!$B$50*Quesería!$B$51),0)</f>
        <v>0</v>
      </c>
      <c r="I834" s="36" t="n">
        <f aca="false">IF(I$43=1,MIN($T$7*Quesería!$B$35*Quesería!$F$75*$T$11*$T$21,Quesería!$B$50*Quesería!$B$51),0)</f>
        <v>0</v>
      </c>
      <c r="J834" s="36" t="n">
        <f aca="false">IF(J$43=1,MIN($T$7*Quesería!$B$35*Quesería!$F$75*$T$11*$T$21,Quesería!$B$50*Quesería!$B$51),0)</f>
        <v>0</v>
      </c>
      <c r="K834" s="36" t="n">
        <f aca="false">IF(K$43=1,MIN($T$7*Quesería!$B$35*Quesería!$F$75*$T$11*$T$21,Quesería!$B$50*Quesería!$B$51),0)</f>
        <v>0</v>
      </c>
      <c r="L834" s="36" t="n">
        <f aca="false">IF(L$43=1,MIN($T$7*Quesería!$B$35*Quesería!$F$75*$T$11*$T$21,Quesería!$B$50*Quesería!$B$51),0)</f>
        <v>0</v>
      </c>
    </row>
    <row r="835" customFormat="false" ht="15" hidden="false" customHeight="false" outlineLevel="0" collapsed="false">
      <c r="A835" s="9" t="s">
        <v>293</v>
      </c>
      <c r="B835" s="36" t="n">
        <v>0</v>
      </c>
      <c r="C835" s="36" t="n">
        <f aca="false">$T$20*Quesería!$B$52*Quesería!$F$86*$T$11*$B$821/C821</f>
        <v>0</v>
      </c>
      <c r="D835" s="36" t="n">
        <v>0</v>
      </c>
      <c r="E835" s="36" t="n">
        <v>0</v>
      </c>
      <c r="F835" s="36" t="n">
        <v>0</v>
      </c>
      <c r="G835" s="36" t="n">
        <v>0</v>
      </c>
      <c r="H835" s="36" t="n">
        <v>0</v>
      </c>
      <c r="I835" s="36" t="n">
        <v>0</v>
      </c>
      <c r="J835" s="36" t="n">
        <v>0</v>
      </c>
      <c r="K835" s="36" t="n">
        <v>0</v>
      </c>
      <c r="L835" s="36" t="n">
        <v>0</v>
      </c>
    </row>
    <row r="836" customFormat="false" ht="15" hidden="false" customHeight="false" outlineLevel="0" collapsed="false">
      <c r="A836" s="9" t="s">
        <v>294</v>
      </c>
      <c r="B836" s="36" t="n">
        <f aca="false">0</f>
        <v>0</v>
      </c>
      <c r="C836" s="36" t="n">
        <f aca="false">B826*B821/C821</f>
        <v>94.6170242743742</v>
      </c>
      <c r="D836" s="36" t="n">
        <f aca="false">C826*C821/D821</f>
        <v>117.321834287022</v>
      </c>
      <c r="E836" s="36" t="n">
        <f aca="false">D826*D821/E821</f>
        <v>0</v>
      </c>
      <c r="F836" s="36" t="n">
        <f aca="false">E826*E821/F821</f>
        <v>0</v>
      </c>
      <c r="G836" s="36" t="n">
        <f aca="false">F826*F821/G821</f>
        <v>0</v>
      </c>
      <c r="H836" s="36" t="n">
        <f aca="false">G826*G821/H821</f>
        <v>4.87179487179487</v>
      </c>
      <c r="I836" s="36" t="n">
        <f aca="false">H826*H821/I821</f>
        <v>6.44987026996795</v>
      </c>
      <c r="J836" s="36" t="n">
        <f aca="false">I826*I821/J821</f>
        <v>0</v>
      </c>
      <c r="K836" s="36" t="n">
        <f aca="false">J826*J821/K821</f>
        <v>0</v>
      </c>
      <c r="L836" s="36" t="n">
        <f aca="false">K826*K821/L821</f>
        <v>0</v>
      </c>
    </row>
    <row r="837" customFormat="false" ht="15" hidden="false" customHeight="false" outlineLevel="0" collapsed="false">
      <c r="A837" s="6" t="s">
        <v>86</v>
      </c>
      <c r="B837" s="35" t="n">
        <f aca="false">$T$17*(B829-B830-B831-0.5*B832-B833)-B834-B835-B836</f>
        <v>-19.3080576189439</v>
      </c>
      <c r="C837" s="35" t="n">
        <f aca="false">$T$17*(C829-C830-C831-0.5*C832-C833)-C834-C835-C836</f>
        <v>-106.563561641212</v>
      </c>
      <c r="D837" s="35" t="n">
        <f aca="false">$T$17*(D829-D830-D831-0.5*D832-D833)-D834-D835-D836</f>
        <v>-55.9277356881633</v>
      </c>
      <c r="E837" s="35" t="n">
        <f aca="false">$T$17*(E829-E830-E831-0.5*E832-E833)-E834-E835-E836</f>
        <v>75.7936041207186</v>
      </c>
      <c r="F837" s="35" t="n">
        <f aca="false">$T$17*(F829-F830-F831-0.5*F832-F833)-F834-F835-F836</f>
        <v>77.4738068902017</v>
      </c>
      <c r="G837" s="35" t="n">
        <f aca="false">$T$17*(G829-G830-G831-0.5*G832-G833)-G834-G835-G836</f>
        <v>79.0747216230395</v>
      </c>
      <c r="H837" s="35" t="n">
        <f aca="false">$T$17*(H829-H830-H831-0.5*H832-H833)-H834-H835-H836</f>
        <v>78.1500063602923</v>
      </c>
      <c r="I837" s="35" t="n">
        <f aca="false">$T$17*(I829-I830-I831-0.5*I832-I833)-I834-I835-I836</f>
        <v>75.6488946016313</v>
      </c>
      <c r="J837" s="35" t="n">
        <f aca="false">$T$17*(J829-J830-J831-0.5*J832-J833)-J834-J835-J836</f>
        <v>83.5668825890707</v>
      </c>
      <c r="K837" s="35" t="n">
        <f aca="false">$T$17*(K829-K830-K831-0.5*K832-K833)-K834-K835-K836</f>
        <v>84.986234826269</v>
      </c>
      <c r="L837" s="35" t="n">
        <f aca="false">$T$17*(L829-L830-L831-0.5*L832-L833)-L834-L835-L836</f>
        <v>86.3587356815181</v>
      </c>
    </row>
    <row r="838" customFormat="false" ht="15" hidden="false" customHeight="false" outlineLevel="0" collapsed="false">
      <c r="A838" s="9" t="s">
        <v>295</v>
      </c>
      <c r="B838" s="36" t="n">
        <f aca="false">(IF(B$43&gt;=1,Quesería!$G$107*IF(B$43=1,Quesería!$B$12,1),Quesería!$G$107*Quesería!$B$12*Quesería!$B$13/12*$T$23)+IF(B$43&gt;=2,Quesería!$G$108*$T$21*IF(B$43=2,Quesería!$B$12,1),0))*$T$10</f>
        <v>26.8516916045565</v>
      </c>
      <c r="C838" s="36" t="n">
        <f aca="false">(IF(C$43&gt;=1,Quesería!$G$107*IF(C$43=1,Quesería!$B$12,1),Quesería!$G$107*Quesería!$B$12*Quesería!$B$13/12*$T$23)+IF(C$43&gt;=2,Quesería!$G$108*$T$21*IF(C$43=2,Quesería!$B$12,1),0))*$T$10</f>
        <v>80.5550748136695</v>
      </c>
      <c r="D838" s="36" t="n">
        <f aca="false">(IF(D$43&gt;=1,Quesería!$G$107*IF(D$43=1,Quesería!$B$12,1),Quesería!$G$107*Quesería!$B$12*Quesería!$B$13/12*$T$23)+IF(D$43&gt;=2,Quesería!$G$108*$T$21*IF(D$43=2,Quesería!$B$12,1),0))*$T$10</f>
        <v>189.651223070959</v>
      </c>
      <c r="E838" s="36" t="n">
        <f aca="false">(IF(E$43&gt;=1,Quesería!$G$107*IF(E$43=1,Quesería!$B$12,1),Quesería!$G$107*Quesería!$B$12*Quesería!$B$13/12*$T$23)+IF(E$43&gt;=2,Quesería!$G$108*$T$21*IF(E$43=2,Quesería!$B$12,1),0))*$T$10</f>
        <v>217.066041955203</v>
      </c>
      <c r="F838" s="36" t="n">
        <f aca="false">(IF(F$43&gt;=1,Quesería!$G$107*IF(F$43=1,Quesería!$B$12,1),Quesería!$G$107*Quesería!$B$12*Quesería!$B$13/12*$T$23)+IF(F$43&gt;=2,Quesería!$G$108*$T$21*IF(F$43=2,Quesería!$B$12,1),0))*$T$10</f>
        <v>217.066041955203</v>
      </c>
      <c r="G838" s="36" t="n">
        <f aca="false">(IF(G$43&gt;=1,Quesería!$G$107*IF(G$43=1,Quesería!$B$12,1),Quesería!$G$107*Quesería!$B$12*Quesería!$B$13/12*$T$23)+IF(G$43&gt;=2,Quesería!$G$108*$T$21*IF(G$43=2,Quesería!$B$12,1),0))*$T$10</f>
        <v>217.066041955203</v>
      </c>
      <c r="H838" s="36" t="n">
        <f aca="false">(IF(H$43&gt;=1,Quesería!$G$107*IF(H$43=1,Quesería!$B$12,1),Quesería!$G$107*Quesería!$B$12*Quesería!$B$13/12*$T$23)+IF(H$43&gt;=2,Quesería!$G$108*$T$21*IF(H$43=2,Quesería!$B$12,1),0))*$T$10</f>
        <v>217.066041955203</v>
      </c>
      <c r="I838" s="36" t="n">
        <f aca="false">(IF(I$43&gt;=1,Quesería!$G$107*IF(I$43=1,Quesería!$B$12,1),Quesería!$G$107*Quesería!$B$12*Quesería!$B$13/12*$T$23)+IF(I$43&gt;=2,Quesería!$G$108*$T$21*IF(I$43=2,Quesería!$B$12,1),0))*$T$10</f>
        <v>217.066041955203</v>
      </c>
      <c r="J838" s="36" t="n">
        <f aca="false">(IF(J$43&gt;=1,Quesería!$G$107*IF(J$43=1,Quesería!$B$12,1),Quesería!$G$107*Quesería!$B$12*Quesería!$B$13/12*$T$23)+IF(J$43&gt;=2,Quesería!$G$108*$T$21*IF(J$43=2,Quesería!$B$12,1),0))*$T$10</f>
        <v>217.066041955203</v>
      </c>
      <c r="K838" s="36" t="n">
        <f aca="false">(IF(K$43&gt;=1,Quesería!$G$107*IF(K$43=1,Quesería!$B$12,1),Quesería!$G$107*Quesería!$B$12*Quesería!$B$13/12*$T$23)+IF(K$43&gt;=2,Quesería!$G$108*$T$21*IF(K$43=2,Quesería!$B$12,1),0))*$T$10</f>
        <v>217.066041955203</v>
      </c>
      <c r="L838" s="36" t="n">
        <f aca="false">(IF(L$43&gt;=1,Quesería!$G$107*IF(L$43=1,Quesería!$B$12,1),Quesería!$G$107*Quesería!$B$12*Quesería!$B$13/12*$T$23)+IF(L$43&gt;=2,Quesería!$G$108*$T$21*IF(L$43=2,Quesería!$B$12,1),0))*$T$10</f>
        <v>217.066041955203</v>
      </c>
    </row>
    <row r="839" customFormat="false" ht="15" hidden="false" customHeight="false" outlineLevel="0" collapsed="false">
      <c r="A839" s="6" t="s">
        <v>296</v>
      </c>
      <c r="B839" s="35" t="n">
        <f aca="false">(B838*(Quesería!$B$23+Quesería!$B$25*Quesería!$B$24)/365-B830*Quesería!$B$26/365)</f>
        <v>2.50861009237089</v>
      </c>
      <c r="C839" s="35" t="n">
        <f aca="false">(C838*(Quesería!$B$23+Quesería!$B$25*Quesería!$B$24)/365-C830*Quesería!$B$26/365)-(B838*(Quesería!$B$23+Quesería!$B$25*Quesería!$B$24)/365-B830*Quesería!$B$26/365)*B821/C821</f>
        <v>2.91304119724236</v>
      </c>
      <c r="D839" s="35" t="n">
        <f aca="false">(D838*(Quesería!$B$23+Quesería!$B$25*Quesería!$B$24)/365-D830*Quesería!$B$26/365)-(C838*(Quesería!$B$23+Quesería!$B$25*Quesería!$B$24)/365-C830*Quesería!$B$26/365)*C821/D821</f>
        <v>7.29151021833416</v>
      </c>
      <c r="E839" s="35" t="n">
        <f aca="false">(E838*(Quesería!$B$23+Quesería!$B$25*Quesería!$B$24)/365-E830*Quesería!$B$26/365)-(D838*(Quesería!$B$23+Quesería!$B$25*Quesería!$B$24)/365-D830*Quesería!$B$26/365)*D821/E821</f>
        <v>3.03681159467532</v>
      </c>
      <c r="F839" s="35" t="n">
        <f aca="false">(F838*(Quesería!$B$23+Quesería!$B$25*Quesería!$B$24)/365-F830*Quesería!$B$26/365)-(E838*(Quesería!$B$23+Quesería!$B$25*Quesería!$B$24)/365-E830*Quesería!$B$26/365)*E821/F821</f>
        <v>0.574099993113848</v>
      </c>
      <c r="G839" s="35" t="n">
        <f aca="false">(G838*(Quesería!$B$23+Quesería!$B$25*Quesería!$B$24)/365-G830*Quesería!$B$26/365)-(F838*(Quesería!$B$23+Quesería!$B$25*Quesería!$B$24)/365-F830*Quesería!$B$26/365)*F821/G821</f>
        <v>0.574099993113849</v>
      </c>
      <c r="H839" s="35" t="n">
        <f aca="false">(H838*(Quesería!$B$23+Quesería!$B$25*Quesería!$B$24)/365-H830*Quesería!$B$26/365)-(G838*(Quesería!$B$23+Quesería!$B$25*Quesería!$B$24)/365-G830*Quesería!$B$26/365)*G821/H821</f>
        <v>0.574099993113848</v>
      </c>
      <c r="I839" s="35" t="n">
        <f aca="false">(I838*(Quesería!$B$23+Quesería!$B$25*Quesería!$B$24)/365-I830*Quesería!$B$26/365)-(H838*(Quesería!$B$23+Quesería!$B$25*Quesería!$B$24)/365-H830*Quesería!$B$26/365)*H821/I821</f>
        <v>0.574099993113846</v>
      </c>
      <c r="J839" s="35" t="n">
        <f aca="false">(J838*(Quesería!$B$23+Quesería!$B$25*Quesería!$B$24)/365-J830*Quesería!$B$26/365)-(I838*(Quesería!$B$23+Quesería!$B$25*Quesería!$B$24)/365-I830*Quesería!$B$26/365)*I821/J821</f>
        <v>0.574099993113849</v>
      </c>
      <c r="K839" s="35" t="n">
        <f aca="false">(K838*(Quesería!$B$23+Quesería!$B$25*Quesería!$B$24)/365-K830*Quesería!$B$26/365)-(J838*(Quesería!$B$23+Quesería!$B$25*Quesería!$B$24)/365-J830*Quesería!$B$26/365)*J821/K821</f>
        <v>0.574099993113848</v>
      </c>
      <c r="L839" s="35" t="n">
        <f aca="false">-(K838*(Quesería!$B$23+Quesería!$B$25*Quesería!$B$24)/365-K830*Quesería!$B$26/365)*K821/L821</f>
        <v>-14.3524998278462</v>
      </c>
    </row>
    <row r="840" customFormat="false" ht="15" hidden="false" customHeight="false" outlineLevel="0" collapsed="false">
      <c r="A840" s="6" t="s">
        <v>297</v>
      </c>
      <c r="B840" s="35" t="n">
        <v>0</v>
      </c>
      <c r="C840" s="35" t="n">
        <v>0</v>
      </c>
      <c r="D840" s="35" t="n">
        <v>0</v>
      </c>
      <c r="E840" s="35" t="n">
        <v>0</v>
      </c>
      <c r="F840" s="35" t="n">
        <v>0</v>
      </c>
      <c r="G840" s="35" t="n">
        <v>0</v>
      </c>
      <c r="H840" s="35" t="n">
        <v>0</v>
      </c>
      <c r="I840" s="35" t="n">
        <v>0</v>
      </c>
      <c r="J840" s="35" t="n">
        <v>0</v>
      </c>
      <c r="K840" s="35" t="n">
        <v>0</v>
      </c>
      <c r="L840" s="35" t="n">
        <f aca="false">$T$8*Quesería!$B$39*(Quesería!$F$82+Quesería!$F$83*$T$21)*$T$11*(1-$T$17)</f>
        <v>56.0502928201667</v>
      </c>
    </row>
    <row r="841" customFormat="false" ht="15" hidden="false" customHeight="false" outlineLevel="0" collapsed="false">
      <c r="A841" s="5" t="s">
        <v>298</v>
      </c>
      <c r="B841" s="37" t="n">
        <f aca="false">B829-B830-B831-B832-B837-B824-B825-B826-B839+B840</f>
        <v>-662.041045072899</v>
      </c>
      <c r="C841" s="37" t="n">
        <f aca="false">C829-C830-C831-C832-C837-C824-C825-C826-C839+C840</f>
        <v>-585.757531015209</v>
      </c>
      <c r="D841" s="37" t="n">
        <f aca="false">D829-D830-D831-D832-D837-D824-D825-D826-D839+D840</f>
        <v>340.259825124479</v>
      </c>
      <c r="E841" s="37" t="n">
        <f aca="false">E829-E830-E831-E832-E837-E824-E825-E826-E839+E840</f>
        <v>249.458108965084</v>
      </c>
      <c r="F841" s="37" t="n">
        <f aca="false">F829-F830-F831-F832-F837-F824-F825-F826-F839+F840</f>
        <v>250.736851636289</v>
      </c>
      <c r="G841" s="37" t="n">
        <f aca="false">G829-G830-G831-G832-G837-G824-G825-G826-G839+G840</f>
        <v>217.774385245107</v>
      </c>
      <c r="H841" s="37" t="n">
        <f aca="false">H829-H830-H831-H832-H837-H824-H825-H826-H839+H840</f>
        <v>208.880107947902</v>
      </c>
      <c r="I841" s="37" t="n">
        <f aca="false">I829-I830-I831-I832-I837-I824-I825-I826-I839+I840</f>
        <v>254.065402142827</v>
      </c>
      <c r="J841" s="37" t="n">
        <f aca="false">J829-J830-J831-J832-J837-J824-J825-J826-J839+J840</f>
        <v>246.6536473548</v>
      </c>
      <c r="K841" s="37" t="n">
        <f aca="false">K829-K830-K831-K832-K837-K824-K825-K826-K839+K840</f>
        <v>245.743059483011</v>
      </c>
      <c r="L841" s="37" t="n">
        <f aca="false">L829-L830-L831-L832-L837-L824-L825-L826-L839+L840</f>
        <v>315.858759456126</v>
      </c>
    </row>
    <row r="842" customFormat="false" ht="15" hidden="false" customHeight="false" outlineLevel="0" collapsed="false">
      <c r="A842" s="9" t="s">
        <v>299</v>
      </c>
      <c r="B842" s="36" t="n">
        <f aca="false">B841*B821</f>
        <v>-701.763507777273</v>
      </c>
      <c r="C842" s="36" t="n">
        <f aca="false">C841*C821</f>
        <v>-651.948132019928</v>
      </c>
      <c r="D842" s="36" t="n">
        <f aca="false">D841*D821</f>
        <v>395.751098704905</v>
      </c>
      <c r="E842" s="36" t="n">
        <f aca="false">E841*E821</f>
        <v>301.746624052281</v>
      </c>
      <c r="F842" s="36" t="n">
        <f aca="false">F841*F821</f>
        <v>315.425138005962</v>
      </c>
      <c r="G842" s="36" t="n">
        <f aca="false">G841*G821</f>
        <v>284.916938514219</v>
      </c>
      <c r="H842" s="36" t="n">
        <f aca="false">H841*H821</f>
        <v>284.211662626415</v>
      </c>
      <c r="I842" s="36" t="n">
        <f aca="false">I841*I821</f>
        <v>359.520516869641</v>
      </c>
      <c r="J842" s="36" t="n">
        <f aca="false">J841*J821</f>
        <v>362.993653910916</v>
      </c>
      <c r="K842" s="36" t="n">
        <f aca="false">K841*K821</f>
        <v>376.119708438521</v>
      </c>
      <c r="L842" s="36" t="n">
        <f aca="false">L841*L821</f>
        <v>502.772012991512</v>
      </c>
    </row>
    <row r="843" customFormat="false" ht="15" hidden="false" customHeight="false" outlineLevel="0" collapsed="false">
      <c r="A843" s="6" t="s">
        <v>300</v>
      </c>
      <c r="B843" s="35" t="n">
        <f aca="false">B841</f>
        <v>-662.041045072899</v>
      </c>
      <c r="C843" s="35" t="n">
        <f aca="false">B843+C841</f>
        <v>-1247.79857608811</v>
      </c>
      <c r="D843" s="35" t="n">
        <f aca="false">C843+D841</f>
        <v>-907.538750963628</v>
      </c>
      <c r="E843" s="35" t="n">
        <f aca="false">D843+E841</f>
        <v>-658.080641998544</v>
      </c>
      <c r="F843" s="35" t="n">
        <f aca="false">E843+F841</f>
        <v>-407.343790362255</v>
      </c>
      <c r="G843" s="35" t="n">
        <f aca="false">F843+G841</f>
        <v>-189.569405117147</v>
      </c>
      <c r="H843" s="35" t="n">
        <f aca="false">G843+H841</f>
        <v>19.3107028307551</v>
      </c>
      <c r="I843" s="35" t="n">
        <f aca="false">H843+I841</f>
        <v>273.376104973582</v>
      </c>
      <c r="J843" s="35" t="n">
        <f aca="false">I843+J841</f>
        <v>520.029752328383</v>
      </c>
      <c r="K843" s="35" t="n">
        <f aca="false">J843+K841</f>
        <v>765.772811811394</v>
      </c>
      <c r="L843" s="35" t="n">
        <f aca="false">K843+L841</f>
        <v>1081.63157126752</v>
      </c>
    </row>
    <row r="844" customFormat="false" ht="15" hidden="false" customHeight="false" outlineLevel="0" collapsed="false">
      <c r="A844" s="9" t="s">
        <v>301</v>
      </c>
      <c r="B844" s="38" t="n">
        <v>0</v>
      </c>
      <c r="C844" s="38" t="n">
        <f aca="false">IF(AND(B843&lt;0,C843&gt;=0),B$43+(-B843)/C841,0)</f>
        <v>0</v>
      </c>
      <c r="D844" s="38" t="n">
        <f aca="false">IF(AND(C843&lt;0,D843&gt;=0),C$43+(-C843)/D841,0)</f>
        <v>0</v>
      </c>
      <c r="E844" s="38" t="n">
        <f aca="false">IF(AND(D843&lt;0,E843&gt;=0),D$43+(-D843)/E841,0)</f>
        <v>0</v>
      </c>
      <c r="F844" s="38" t="n">
        <f aca="false">IF(AND(E843&lt;0,F843&gt;=0),E$43+(-E843)/F841,0)</f>
        <v>0</v>
      </c>
      <c r="G844" s="38" t="n">
        <f aca="false">IF(AND(F843&lt;0,G843&gt;=0),F$43+(-F843)/G841,0)</f>
        <v>0</v>
      </c>
      <c r="H844" s="38" t="n">
        <f aca="false">IF(AND(G843&lt;0,H843&gt;=0),G$43+(-G843)/H841,0)</f>
        <v>5.90755125980895</v>
      </c>
      <c r="I844" s="38" t="n">
        <f aca="false">IF(AND(H843&lt;0,I843&gt;=0),H$43+(-H843)/I841,0)</f>
        <v>0</v>
      </c>
      <c r="J844" s="38" t="n">
        <f aca="false">IF(AND(I843&lt;0,J843&gt;=0),I$43+(-I843)/J841,0)</f>
        <v>0</v>
      </c>
      <c r="K844" s="38" t="n">
        <f aca="false">IF(AND(J843&lt;0,K843&gt;=0),J$43+(-J843)/K841,0)</f>
        <v>0</v>
      </c>
      <c r="L844" s="38" t="n">
        <f aca="false">IF(AND(K843&lt;0,L843&gt;=0),K$43+(-K843)/L841,0)</f>
        <v>0</v>
      </c>
    </row>
    <row r="845" customFormat="false" ht="15" hidden="false" customHeight="false" outlineLevel="0" collapsed="false">
      <c r="A845" s="9" t="s">
        <v>302</v>
      </c>
      <c r="B845" s="34" t="n">
        <f aca="false">(B821/$B$821)/(1+$T$25)^B$43</f>
        <v>1</v>
      </c>
      <c r="C845" s="34" t="n">
        <f aca="false">(C821/$B$821)/(1+$T$25)^C$43</f>
        <v>0.921735848062819</v>
      </c>
      <c r="D845" s="34" t="n">
        <f aca="false">(D821/$B$821)/(1+$T$25)^D$43</f>
        <v>0.845551273729778</v>
      </c>
      <c r="E845" s="34" t="n">
        <f aca="false">(E821/$B$821)/(1+$T$25)^E$43</f>
        <v>0.771952302082657</v>
      </c>
      <c r="F845" s="34" t="n">
        <f aca="false">(F821/$B$821)/(1+$T$25)^F$43</f>
        <v>0.704759575444925</v>
      </c>
      <c r="G845" s="34" t="n">
        <f aca="false">(G821/$B$821)/(1+$T$25)^G$43</f>
        <v>0.643415477667852</v>
      </c>
      <c r="H845" s="34" t="n">
        <f aca="false">(H821/$B$821)/(1+$T$25)^H$43</f>
        <v>0.587410928955732</v>
      </c>
      <c r="I845" s="34" t="n">
        <f aca="false">(I821/$B$821)/(1+$T$25)^I$43</f>
        <v>0.536281161136071</v>
      </c>
      <c r="J845" s="34" t="n">
        <f aca="false">(J821/$B$821)/(1+$T$25)^J$43</f>
        <v>0.489601860661204</v>
      </c>
      <c r="K845" s="34" t="n">
        <f aca="false">(K821/$B$821)/(1+$T$25)^K$43</f>
        <v>0.446985647333025</v>
      </c>
      <c r="L845" s="34" t="n">
        <f aca="false">(L821/$B$821)/(1+$T$25)^L$43</f>
        <v>0.408078859528639</v>
      </c>
    </row>
    <row r="846" customFormat="false" ht="15" hidden="false" customHeight="false" outlineLevel="0" collapsed="false">
      <c r="A846" s="9" t="s">
        <v>303</v>
      </c>
      <c r="B846" s="36" t="n">
        <f aca="false">B841*B845</f>
        <v>-662.041045072899</v>
      </c>
      <c r="C846" s="36" t="n">
        <f aca="false">C841*C845</f>
        <v>-539.913714609486</v>
      </c>
      <c r="D846" s="36" t="n">
        <f aca="false">D841*D845</f>
        <v>287.707128533075</v>
      </c>
      <c r="E846" s="36" t="n">
        <f aca="false">E841*E845</f>
        <v>192.569761488783</v>
      </c>
      <c r="F846" s="36" t="n">
        <f aca="false">F841*F845</f>
        <v>176.709197107588</v>
      </c>
      <c r="G846" s="36" t="n">
        <f aca="false">G841*G845</f>
        <v>140.119410106304</v>
      </c>
      <c r="H846" s="36" t="n">
        <f aca="false">H841*H845</f>
        <v>122.698458250051</v>
      </c>
      <c r="I846" s="36" t="n">
        <f aca="false">I841*I845</f>
        <v>136.250488865658</v>
      </c>
      <c r="J846" s="36" t="n">
        <f aca="false">J841*J845</f>
        <v>120.762084683783</v>
      </c>
      <c r="K846" s="36" t="n">
        <f aca="false">K841*K845</f>
        <v>109.843620520612</v>
      </c>
      <c r="L846" s="36" t="n">
        <f aca="false">L841*L845</f>
        <v>128.895282330986</v>
      </c>
    </row>
    <row r="847" customFormat="false" ht="15" hidden="false" customHeight="false" outlineLevel="0" collapsed="false">
      <c r="A847" s="9" t="s">
        <v>304</v>
      </c>
      <c r="B847" s="36" t="n">
        <f aca="false">B846</f>
        <v>-662.041045072899</v>
      </c>
      <c r="C847" s="36" t="n">
        <f aca="false">B847+C846</f>
        <v>-1201.95475968239</v>
      </c>
      <c r="D847" s="36" t="n">
        <f aca="false">C847+D846</f>
        <v>-914.24763114931</v>
      </c>
      <c r="E847" s="36" t="n">
        <f aca="false">D847+E846</f>
        <v>-721.677869660527</v>
      </c>
      <c r="F847" s="36" t="n">
        <f aca="false">E847+F846</f>
        <v>-544.968672552938</v>
      </c>
      <c r="G847" s="36" t="n">
        <f aca="false">F847+G846</f>
        <v>-404.849262446635</v>
      </c>
      <c r="H847" s="36" t="n">
        <f aca="false">G847+H846</f>
        <v>-282.150804196584</v>
      </c>
      <c r="I847" s="36" t="n">
        <f aca="false">H847+I846</f>
        <v>-145.900315330926</v>
      </c>
      <c r="J847" s="36" t="n">
        <f aca="false">I847+J846</f>
        <v>-25.1382306471431</v>
      </c>
      <c r="K847" s="36" t="n">
        <f aca="false">J847+K846</f>
        <v>84.7053898734689</v>
      </c>
      <c r="L847" s="36" t="n">
        <f aca="false">K847+L846</f>
        <v>213.600672204455</v>
      </c>
    </row>
    <row r="848" customFormat="false" ht="15" hidden="false" customHeight="false" outlineLevel="0" collapsed="false">
      <c r="A848" s="9" t="s">
        <v>305</v>
      </c>
      <c r="B848" s="38" t="n">
        <v>0</v>
      </c>
      <c r="C848" s="38" t="n">
        <f aca="false">IF(AND(B847&lt;0,C847&gt;=0),B$43+(-B847)/C846,0)</f>
        <v>0</v>
      </c>
      <c r="D848" s="38" t="n">
        <f aca="false">IF(AND(C847&lt;0,D847&gt;=0),C$43+(-C847)/D846,0)</f>
        <v>0</v>
      </c>
      <c r="E848" s="38" t="n">
        <f aca="false">IF(AND(D847&lt;0,E847&gt;=0),D$43+(-D847)/E846,0)</f>
        <v>0</v>
      </c>
      <c r="F848" s="38" t="n">
        <f aca="false">IF(AND(E847&lt;0,F847&gt;=0),E$43+(-E847)/F846,0)</f>
        <v>0</v>
      </c>
      <c r="G848" s="38" t="n">
        <f aca="false">IF(AND(F847&lt;0,G847&gt;=0),F$43+(-F847)/G846,0)</f>
        <v>0</v>
      </c>
      <c r="H848" s="38" t="n">
        <f aca="false">IF(AND(G847&lt;0,H847&gt;=0),G$43+(-G847)/H846,0)</f>
        <v>0</v>
      </c>
      <c r="I848" s="38" t="n">
        <f aca="false">IF(AND(H847&lt;0,I847&gt;=0),H$43+(-H847)/I846,0)</f>
        <v>0</v>
      </c>
      <c r="J848" s="38" t="n">
        <f aca="false">IF(AND(I847&lt;0,J847&gt;=0),I$43+(-I847)/J846,0)</f>
        <v>0</v>
      </c>
      <c r="K848" s="38" t="n">
        <f aca="false">IF(AND(J847&lt;0,K847&gt;=0),J$43+(-J847)/K846,0)</f>
        <v>8.22885471662349</v>
      </c>
      <c r="L848" s="38" t="n">
        <f aca="false">IF(AND(K847&lt;0,L847&gt;=0),K$43+(-K847)/L846,0)</f>
        <v>0</v>
      </c>
    </row>
    <row r="849" customFormat="false" ht="15" hidden="false" customHeight="false" outlineLevel="0" collapsed="false">
      <c r="A849" s="9" t="s">
        <v>306</v>
      </c>
      <c r="B849" s="36" t="n">
        <f aca="false">IF(B$43&lt;0,0,(Quesería!$B$40*$B$824*$B$821)*(1-MAX(0,MIN(B$43-0-Quesería!$B$43,(Quesería!$B$42-Quesería!$B$43)))/(Quesería!$B$42-Quesería!$B$43)))+IF(B$43&lt;1,0,(Quesería!$B$40*$C$824*$C$821)*(1-MAX(0,MIN(B$43-1-Quesería!$B$43,(Quesería!$B$42-Quesería!$B$43)))/(Quesería!$B$42-Quesería!$B$43)))</f>
        <v>461.704769247221</v>
      </c>
      <c r="C849" s="36" t="n">
        <f aca="false">IF(C$43&lt;0,0,(Quesería!$B$40*$B$824*$B$821)*(1-MAX(0,MIN(C$43-0-Quesería!$B$43,(Quesería!$B$42-Quesería!$B$43)))/(Quesería!$B$42-Quesería!$B$43)))+IF(C$43&lt;1,0,(Quesería!$B$40*$C$824*$C$821)*(1-MAX(0,MIN(C$43-1-Quesería!$B$43,(Quesería!$B$42-Quesería!$B$43)))/(Quesería!$B$42-Quesería!$B$43)))</f>
        <v>964.434695258825</v>
      </c>
      <c r="D849" s="36" t="n">
        <f aca="false">IF(D$43&lt;0,0,(Quesería!$B$40*$B$824*$B$821)*(1-MAX(0,MIN(D$43-0-Quesería!$B$43,(Quesería!$B$42-Quesería!$B$43)))/(Quesería!$B$42-Quesería!$B$43)))+IF(D$43&lt;1,0,(Quesería!$B$40*$C$824*$C$821)*(1-MAX(0,MIN(D$43-1-Quesería!$B$43,(Quesería!$B$42-Quesería!$B$43)))/(Quesería!$B$42-Quesería!$B$43)))</f>
        <v>887.483900384289</v>
      </c>
      <c r="E849" s="36" t="n">
        <f aca="false">IF(E$43&lt;0,0,(Quesería!$B$40*$B$824*$B$821)*(1-MAX(0,MIN(E$43-0-Quesería!$B$43,(Quesería!$B$42-Quesería!$B$43)))/(Quesería!$B$42-Quesería!$B$43)))+IF(E$43&lt;1,0,(Quesería!$B$40*$C$824*$C$821)*(1-MAX(0,MIN(E$43-1-Quesería!$B$43,(Quesería!$B$42-Quesería!$B$43)))/(Quesería!$B$42-Quesería!$B$43)))</f>
        <v>726.744784507818</v>
      </c>
      <c r="F849" s="36" t="n">
        <f aca="false">IF(F$43&lt;0,0,(Quesería!$B$40*$B$824*$B$821)*(1-MAX(0,MIN(F$43-0-Quesería!$B$43,(Quesería!$B$42-Quesería!$B$43)))/(Quesería!$B$42-Quesería!$B$43)))+IF(F$43&lt;1,0,(Quesería!$B$40*$C$824*$C$821)*(1-MAX(0,MIN(F$43-1-Quesería!$B$43,(Quesería!$B$42-Quesería!$B$43)))/(Quesería!$B$42-Quesería!$B$43)))</f>
        <v>566.005668631347</v>
      </c>
      <c r="G849" s="36" t="n">
        <f aca="false">IF(G$43&lt;0,0,(Quesería!$B$40*$B$824*$B$821)*(1-MAX(0,MIN(G$43-0-Quesería!$B$43,(Quesería!$B$42-Quesería!$B$43)))/(Quesería!$B$42-Quesería!$B$43)))+IF(G$43&lt;1,0,(Quesería!$B$40*$C$824*$C$821)*(1-MAX(0,MIN(G$43-1-Quesería!$B$43,(Quesería!$B$42-Quesería!$B$43)))/(Quesería!$B$42-Quesería!$B$43)))</f>
        <v>405.266552754876</v>
      </c>
      <c r="H849" s="36" t="n">
        <f aca="false">IF(H$43&lt;0,0,(Quesería!$B$40*$B$824*$B$821)*(1-MAX(0,MIN(H$43-0-Quesería!$B$43,(Quesería!$B$42-Quesería!$B$43)))/(Quesería!$B$42-Quesería!$B$43)))+IF(H$43&lt;1,0,(Quesería!$B$40*$C$824*$C$821)*(1-MAX(0,MIN(H$43-1-Quesería!$B$43,(Quesería!$B$42-Quesería!$B$43)))/(Quesería!$B$42-Quesería!$B$43)))</f>
        <v>244.527436878405</v>
      </c>
      <c r="I849" s="36" t="n">
        <f aca="false">IF(I$43&lt;0,0,(Quesería!$B$40*$B$824*$B$821)*(1-MAX(0,MIN(I$43-0-Quesería!$B$43,(Quesería!$B$42-Quesería!$B$43)))/(Quesería!$B$42-Quesería!$B$43)))+IF(I$43&lt;1,0,(Quesería!$B$40*$C$824*$C$821)*(1-MAX(0,MIN(I$43-1-Quesería!$B$43,(Quesería!$B$42-Quesería!$B$43)))/(Quesería!$B$42-Quesería!$B$43)))</f>
        <v>83.788321001934</v>
      </c>
      <c r="J849" s="36" t="n">
        <f aca="false">IF(J$43&lt;0,0,(Quesería!$B$40*$B$824*$B$821)*(1-MAX(0,MIN(J$43-0-Quesería!$B$43,(Quesería!$B$42-Quesería!$B$43)))/(Quesería!$B$42-Quesería!$B$43)))+IF(J$43&lt;1,0,(Quesería!$B$40*$C$824*$C$821)*(1-MAX(0,MIN(J$43-1-Quesería!$B$43,(Quesería!$B$42-Quesería!$B$43)))/(Quesería!$B$42-Quesería!$B$43)))</f>
        <v>0</v>
      </c>
      <c r="K849" s="36" t="n">
        <f aca="false">IF(K$43&lt;0,0,(Quesería!$B$40*$B$824*$B$821)*(1-MAX(0,MIN(K$43-0-Quesería!$B$43,(Quesería!$B$42-Quesería!$B$43)))/(Quesería!$B$42-Quesería!$B$43)))+IF(K$43&lt;1,0,(Quesería!$B$40*$C$824*$C$821)*(1-MAX(0,MIN(K$43-1-Quesería!$B$43,(Quesería!$B$42-Quesería!$B$43)))/(Quesería!$B$42-Quesería!$B$43)))</f>
        <v>0</v>
      </c>
      <c r="L849" s="36" t="n">
        <f aca="false">IF(L$43&lt;0,0,(Quesería!$B$40*$B$824*$B$821)*(1-MAX(0,MIN(L$43-0-Quesería!$B$43,(Quesería!$B$42-Quesería!$B$43)))/(Quesería!$B$42-Quesería!$B$43)))+IF(L$43&lt;1,0,(Quesería!$B$40*$C$824*$C$821)*(1-MAX(0,MIN(L$43-1-Quesería!$B$43,(Quesería!$B$42-Quesería!$B$43)))/(Quesería!$B$42-Quesería!$B$43)))</f>
        <v>0</v>
      </c>
    </row>
    <row r="850" customFormat="false" ht="15" hidden="false" customHeight="false" outlineLevel="0" collapsed="false">
      <c r="A850" s="6" t="s">
        <v>307</v>
      </c>
      <c r="B850" s="35" t="n">
        <f aca="false">Quesería!$B$40*B824</f>
        <v>435.57053702568</v>
      </c>
      <c r="C850" s="35" t="n">
        <f aca="false">Quesería!$B$40*C824</f>
        <v>451.689062005035</v>
      </c>
      <c r="D850" s="35" t="n">
        <f aca="false">Quesería!$B$40*D824</f>
        <v>0</v>
      </c>
      <c r="E850" s="35" t="n">
        <f aca="false">Quesería!$B$40*E824</f>
        <v>0</v>
      </c>
      <c r="F850" s="35" t="n">
        <f aca="false">Quesería!$B$40*F824</f>
        <v>0</v>
      </c>
      <c r="G850" s="35" t="n">
        <f aca="false">Quesería!$B$40*G824</f>
        <v>0</v>
      </c>
      <c r="H850" s="35" t="n">
        <f aca="false">Quesería!$B$40*H824</f>
        <v>0</v>
      </c>
      <c r="I850" s="35" t="n">
        <f aca="false">Quesería!$B$40*I824</f>
        <v>0</v>
      </c>
      <c r="J850" s="35" t="n">
        <f aca="false">Quesería!$B$40*J824</f>
        <v>0</v>
      </c>
      <c r="K850" s="35" t="n">
        <f aca="false">Quesería!$B$40*K824</f>
        <v>0</v>
      </c>
      <c r="L850" s="35" t="n">
        <f aca="false">Quesería!$B$40*L824</f>
        <v>0</v>
      </c>
    </row>
    <row r="851" customFormat="false" ht="15" hidden="false" customHeight="false" outlineLevel="0" collapsed="false">
      <c r="A851" s="6" t="s">
        <v>308</v>
      </c>
      <c r="B851" s="35" t="n">
        <f aca="false">(IF(AND(B$43&gt;0,B$43&lt;=0+Quesería!$B$42),($T$14+$T$24)*((Quesería!$B$40*$B$824*$B$821)-(Quesería!$B$40*$B$824*$B$821)/(Quesería!$B$42-Quesería!$B$43)*MAX(0,MIN(B$43-1-0-Quesería!$B$43,(Quesería!$B$42-Quesería!$B$43)))),0)+IF(AND(B$43&gt;1,B$43&lt;=1+Quesería!$B$42),($T$14+$T$24)*((Quesería!$B$40*$C$824*$C$821)-(Quesería!$B$40*$C$824*$C$821)/(Quesería!$B$42-Quesería!$B$43)*MAX(0,MIN(B$43-1-1-Quesería!$B$43,(Quesería!$B$42-Quesería!$B$43)))),0))*B823</f>
        <v>0</v>
      </c>
      <c r="C851" s="35" t="n">
        <f aca="false">(IF(AND(C$43&gt;0,C$43&lt;=0+Quesería!$B$42),($T$14+$T$24)*((Quesería!$B$40*$B$824*$B$821)-(Quesería!$B$40*$B$824*$B$821)/(Quesería!$B$42-Quesería!$B$43)*MAX(0,MIN(C$43-1-0-Quesería!$B$43,(Quesería!$B$42-Quesería!$B$43)))),0)+IF(AND(C$43&gt;1,C$43&lt;=1+Quesería!$B$42),($T$14+$T$24)*((Quesería!$B$40*$C$824*$C$821)-(Quesería!$B$40*$C$824*$C$821)/(Quesería!$B$42-Quesería!$B$43)*MAX(0,MIN(C$43-1-1-Quesería!$B$43,(Quesería!$B$42-Quesería!$B$43)))),0))*C823</f>
        <v>58.4909006863056</v>
      </c>
      <c r="D851" s="35" t="n">
        <f aca="false">(IF(AND(D$43&gt;0,D$43&lt;=0+Quesería!$B$42),($T$14+$T$24)*((Quesería!$B$40*$B$824*$B$821)-(Quesería!$B$40*$B$824*$B$821)/(Quesería!$B$42-Quesería!$B$43)*MAX(0,MIN(D$43-1-0-Quesería!$B$43,(Quesería!$B$42-Quesería!$B$43)))),0)+IF(AND(D$43&gt;1,D$43&lt;=1+Quesería!$B$42),($T$14+$T$24)*((Quesería!$B$40*$C$824*$C$821)-(Quesería!$B$40*$C$824*$C$821)/(Quesería!$B$42-Quesería!$B$43)*MAX(0,MIN(D$43-1-1-Quesería!$B$43,(Quesería!$B$42-Quesería!$B$43)))),0))*D823</f>
        <v>116.917759262216</v>
      </c>
      <c r="E851" s="35" t="n">
        <f aca="false">(IF(AND(E$43&gt;0,E$43&lt;=0+Quesería!$B$42),($T$14+$T$24)*((Quesería!$B$40*$B$824*$B$821)-(Quesería!$B$40*$B$824*$B$821)/(Quesería!$B$42-Quesería!$B$43)*MAX(0,MIN(E$43-1-0-Quesería!$B$43,(Quesería!$B$42-Quesería!$B$43)))),0)+IF(AND(E$43&gt;1,E$43&lt;=1+Quesería!$B$42),($T$14+$T$24)*((Quesería!$B$40*$C$824*$C$821)-(Quesería!$B$40*$C$824*$C$821)/(Quesería!$B$42-Quesería!$B$43)*MAX(0,MIN(E$43-1-1-Quesería!$B$43,(Quesería!$B$42-Quesería!$B$43)))),0))*E823</f>
        <v>103.451025930528</v>
      </c>
      <c r="F851" s="35" t="n">
        <f aca="false">(IF(AND(F$43&gt;0,F$43&lt;=0+Quesería!$B$42),($T$14+$T$24)*((Quesería!$B$40*$B$824*$B$821)-(Quesería!$B$40*$B$824*$B$821)/(Quesería!$B$42-Quesería!$B$43)*MAX(0,MIN(F$43-1-0-Quesería!$B$43,(Quesería!$B$42-Quesería!$B$43)))),0)+IF(AND(F$43&gt;1,F$43&lt;=1+Quesería!$B$42),($T$14+$T$24)*((Quesería!$B$40*$C$824*$C$821)-(Quesería!$B$40*$C$824*$C$821)/(Quesería!$B$42-Quesería!$B$43)*MAX(0,MIN(F$43-1-1-Quesería!$B$43,(Quesería!$B$42-Quesería!$B$43)))),0))*F823</f>
        <v>81.455966861483</v>
      </c>
      <c r="G851" s="35" t="n">
        <f aca="false">(IF(AND(G$43&gt;0,G$43&lt;=0+Quesería!$B$42),($T$14+$T$24)*((Quesería!$B$40*$B$824*$B$821)-(Quesería!$B$40*$B$824*$B$821)/(Quesería!$B$42-Quesería!$B$43)*MAX(0,MIN(G$43-1-0-Quesería!$B$43,(Quesería!$B$42-Quesería!$B$43)))),0)+IF(AND(G$43&gt;1,G$43&lt;=1+Quesería!$B$42),($T$14+$T$24)*((Quesería!$B$40*$C$824*$C$821)-(Quesería!$B$40*$C$824*$C$821)/(Quesería!$B$42-Quesería!$B$43)*MAX(0,MIN(G$43-1-1-Quesería!$B$43,(Quesería!$B$42-Quesería!$B$43)))),0))*G823</f>
        <v>60.9998013511061</v>
      </c>
      <c r="H851" s="35" t="n">
        <f aca="false">(IF(AND(H$43&gt;0,H$43&lt;=0+Quesería!$B$42),($T$14+$T$24)*((Quesería!$B$40*$B$824*$B$821)-(Quesería!$B$40*$B$824*$B$821)/(Quesería!$B$42-Quesería!$B$43)*MAX(0,MIN(H$43-1-0-Quesería!$B$43,(Quesería!$B$42-Quesería!$B$43)))),0)+IF(AND(H$43&gt;1,H$43&lt;=1+Quesería!$B$42),($T$14+$T$24)*((Quesería!$B$40*$C$824*$C$821)-(Quesería!$B$40*$C$824*$C$821)/(Quesería!$B$42-Quesería!$B$43)*MAX(0,MIN(H$43-1-1-Quesería!$B$43,(Quesería!$B$42-Quesería!$B$43)))),0))*H823</f>
        <v>41.9966900414366</v>
      </c>
      <c r="I851" s="35" t="n">
        <f aca="false">(IF(AND(I$43&gt;0,I$43&lt;=0+Quesería!$B$42),($T$14+$T$24)*((Quesería!$B$40*$B$824*$B$821)-(Quesería!$B$40*$B$824*$B$821)/(Quesería!$B$42-Quesería!$B$43)*MAX(0,MIN(I$43-1-0-Quesería!$B$43,(Quesería!$B$42-Quesería!$B$43)))),0)+IF(AND(I$43&gt;1,I$43&lt;=1+Quesería!$B$42),($T$14+$T$24)*((Quesería!$B$40*$C$824*$C$821)-(Quesería!$B$40*$C$824*$C$821)/(Quesería!$B$42-Quesería!$B$43)*MAX(0,MIN(I$43-1-1-Quesería!$B$43,(Quesería!$B$42-Quesería!$B$43)))),0))*I823</f>
        <v>24.3651201322873</v>
      </c>
      <c r="J851" s="35" t="n">
        <f aca="false">(IF(AND(J$43&gt;0,J$43&lt;=0+Quesería!$B$42),($T$14+$T$24)*((Quesería!$B$40*$B$824*$B$821)-(Quesería!$B$40*$B$824*$B$821)/(Quesería!$B$42-Quesería!$B$43)*MAX(0,MIN(J$43-1-0-Quesería!$B$43,(Quesería!$B$42-Quesería!$B$43)))),0)+IF(AND(J$43&gt;1,J$43&lt;=1+Quesería!$B$42),($T$14+$T$24)*((Quesería!$B$40*$C$824*$C$821)-(Quesería!$B$40*$C$824*$C$821)/(Quesería!$B$42-Quesería!$B$43)*MAX(0,MIN(J$43-1-1-Quesería!$B$43,(Quesería!$B$42-Quesería!$B$43)))),0))*J823</f>
        <v>8.02769955040774</v>
      </c>
      <c r="K851" s="35" t="n">
        <f aca="false">(IF(AND(K$43&gt;0,K$43&lt;=0+Quesería!$B$42),($T$14+$T$24)*((Quesería!$B$40*$B$824*$B$821)-(Quesería!$B$40*$B$824*$B$821)/(Quesería!$B$42-Quesería!$B$43)*MAX(0,MIN(K$43-1-0-Quesería!$B$43,(Quesería!$B$42-Quesería!$B$43)))),0)+IF(AND(K$43&gt;1,K$43&lt;=1+Quesería!$B$42),($T$14+$T$24)*((Quesería!$B$40*$C$824*$C$821)-(Quesería!$B$40*$C$824*$C$821)/(Quesería!$B$42-Quesería!$B$43)*MAX(0,MIN(K$43-1-1-Quesería!$B$43,(Quesería!$B$42-Quesería!$B$43)))),0))*K823</f>
        <v>0</v>
      </c>
      <c r="L851" s="35" t="n">
        <f aca="false">(IF(AND(L$43&gt;0,L$43&lt;=0+Quesería!$B$42),($T$14+$T$24)*((Quesería!$B$40*$B$824*$B$821)-(Quesería!$B$40*$B$824*$B$821)/(Quesería!$B$42-Quesería!$B$43)*MAX(0,MIN(L$43-1-0-Quesería!$B$43,(Quesería!$B$42-Quesería!$B$43)))),0)+IF(AND(L$43&gt;1,L$43&lt;=1+Quesería!$B$42),($T$14+$T$24)*((Quesería!$B$40*$C$824*$C$821)-(Quesería!$B$40*$C$824*$C$821)/(Quesería!$B$42-Quesería!$B$43)*MAX(0,MIN(L$43-1-1-Quesería!$B$43,(Quesería!$B$42-Quesería!$B$43)))),0))*L823</f>
        <v>0</v>
      </c>
    </row>
    <row r="852" customFormat="false" ht="15" hidden="false" customHeight="false" outlineLevel="0" collapsed="false">
      <c r="A852" s="6" t="s">
        <v>309</v>
      </c>
      <c r="B852" s="35" t="n">
        <f aca="false">(IF(AND(B$43&gt;0+Quesería!$B$43,B$43&lt;=0+Quesería!$B$42),(Quesería!$B$40*$B$824*$B$821)/(Quesería!$B$42-Quesería!$B$43),0)+IF(AND(B$43&gt;1+Quesería!$B$43,B$43&lt;=1+Quesería!$B$42),(Quesería!$B$40*$C$824*$C$821)/(Quesería!$B$42-Quesería!$B$43),0))*B823</f>
        <v>0</v>
      </c>
      <c r="C852" s="35" t="n">
        <f aca="false">(IF(AND(C$43&gt;0+Quesería!$B$43,C$43&lt;=0+Quesería!$B$42),(Quesería!$B$40*$B$824*$B$821)/(Quesería!$B$42-Quesería!$B$43),0)+IF(AND(C$43&gt;1+Quesería!$B$43,C$43&lt;=1+Quesería!$B$42),(Quesería!$B$40*$C$824*$C$821)/(Quesería!$B$42-Quesería!$B$43),0))*C823</f>
        <v>0</v>
      </c>
      <c r="D852" s="35" t="n">
        <f aca="false">(IF(AND(D$43&gt;0+Quesería!$B$43,D$43&lt;=0+Quesería!$B$42),(Quesería!$B$40*$B$824*$B$821)/(Quesería!$B$42-Quesería!$B$43),0)+IF(AND(D$43&gt;1+Quesería!$B$43,D$43&lt;=1+Quesería!$B$42),(Quesería!$B$40*$C$824*$C$821)/(Quesería!$B$42-Quesería!$B$43),0))*D823</f>
        <v>66.1609382586284</v>
      </c>
      <c r="E852" s="35" t="n">
        <f aca="false">(IF(AND(E$43&gt;0+Quesería!$B$43,E$43&lt;=0+Quesería!$B$42),(Quesería!$B$40*$B$824*$B$821)/(Quesería!$B$42-Quesería!$B$43),0)+IF(AND(E$43&gt;1+Quesería!$B$43,E$43&lt;=1+Quesería!$B$42),(Quesería!$B$40*$C$824*$C$821)/(Quesería!$B$42-Quesería!$B$43),0))*E823</f>
        <v>132.885251025432</v>
      </c>
      <c r="F852" s="35" t="n">
        <f aca="false">(IF(AND(F$43&gt;0+Quesería!$B$43,F$43&lt;=0+Quesería!$B$42),(Quesería!$B$40*$B$824*$B$821)/(Quesería!$B$42-Quesería!$B$43),0)+IF(AND(F$43&gt;1+Quesería!$B$43,F$43&lt;=1+Quesería!$B$42),(Quesería!$B$40*$C$824*$C$821)/(Quesería!$B$42-Quesería!$B$43),0))*F823</f>
        <v>127.774279832146</v>
      </c>
      <c r="G852" s="35" t="n">
        <f aca="false">(IF(AND(G$43&gt;0+Quesería!$B$43,G$43&lt;=0+Quesería!$B$42),(Quesería!$B$40*$B$824*$B$821)/(Quesería!$B$42-Quesería!$B$43),0)+IF(AND(G$43&gt;1+Quesería!$B$43,G$43&lt;=1+Quesería!$B$42),(Quesería!$B$40*$C$824*$C$821)/(Quesería!$B$42-Quesería!$B$43),0))*G823</f>
        <v>122.859884453986</v>
      </c>
      <c r="H852" s="35" t="n">
        <f aca="false">(IF(AND(H$43&gt;0+Quesería!$B$43,H$43&lt;=0+Quesería!$B$42),(Quesería!$B$40*$B$824*$B$821)/(Quesería!$B$42-Quesería!$B$43),0)+IF(AND(H$43&gt;1+Quesería!$B$43,H$43&lt;=1+Quesería!$B$42),(Quesería!$B$40*$C$824*$C$821)/(Quesería!$B$42-Quesería!$B$43),0))*H823</f>
        <v>118.134504282679</v>
      </c>
      <c r="I852" s="35" t="n">
        <f aca="false">(IF(AND(I$43&gt;0+Quesería!$B$43,I$43&lt;=0+Quesería!$B$42),(Quesería!$B$40*$B$824*$B$821)/(Quesería!$B$42-Quesería!$B$43),0)+IF(AND(I$43&gt;1+Quesería!$B$43,I$43&lt;=1+Quesería!$B$42),(Quesería!$B$40*$C$824*$C$821)/(Quesería!$B$42-Quesería!$B$43),0))*I823</f>
        <v>113.590869502576</v>
      </c>
      <c r="J852" s="35" t="n">
        <f aca="false">(IF(AND(J$43&gt;0+Quesería!$B$43,J$43&lt;=0+Quesería!$B$42),(Quesería!$B$40*$B$824*$B$821)/(Quesería!$B$42-Quesería!$B$43),0)+IF(AND(J$43&gt;1+Quesería!$B$43,J$43&lt;=1+Quesería!$B$42),(Quesería!$B$40*$C$824*$C$821)/(Quesería!$B$42-Quesería!$B$43),0))*J823</f>
        <v>56.9340393645939</v>
      </c>
      <c r="K852" s="35" t="n">
        <f aca="false">(IF(AND(K$43&gt;0+Quesería!$B$43,K$43&lt;=0+Quesería!$B$42),(Quesería!$B$40*$B$824*$B$821)/(Quesería!$B$42-Quesería!$B$43),0)+IF(AND(K$43&gt;1+Quesería!$B$43,K$43&lt;=1+Quesería!$B$42),(Quesería!$B$40*$C$824*$C$821)/(Quesería!$B$42-Quesería!$B$43),0))*K823</f>
        <v>0</v>
      </c>
      <c r="L852" s="35" t="n">
        <f aca="false">(IF(AND(L$43&gt;0+Quesería!$B$43,L$43&lt;=0+Quesería!$B$42),(Quesería!$B$40*$B$824*$B$821)/(Quesería!$B$42-Quesería!$B$43),0)+IF(AND(L$43&gt;1+Quesería!$B$43,L$43&lt;=1+Quesería!$B$42),(Quesería!$B$40*$C$824*$C$821)/(Quesería!$B$42-Quesería!$B$43),0))*L823</f>
        <v>0</v>
      </c>
    </row>
    <row r="853" customFormat="false" ht="15" hidden="false" customHeight="false" outlineLevel="0" collapsed="false">
      <c r="A853" s="6" t="s">
        <v>310</v>
      </c>
      <c r="B853" s="35" t="n">
        <f aca="false">$T$13*Quesería!$B$44*(1+0.19)*B849*B823+(1-$T$13)*IF(B$43=0,Quesería!$B$53,0)</f>
        <v>4</v>
      </c>
      <c r="C853" s="35" t="n">
        <f aca="false">$T$13*Quesería!$B$44*(1+0.19)*C849*C823+(1-$T$13)*IF(C$43=0,Quesería!$B$53,0)</f>
        <v>0</v>
      </c>
      <c r="D853" s="35" t="n">
        <f aca="false">$T$13*Quesería!$B$44*(1+0.19)*D849*D823+(1-$T$13)*IF(D$43=0,Quesería!$B$53,0)</f>
        <v>0</v>
      </c>
      <c r="E853" s="35" t="n">
        <f aca="false">$T$13*Quesería!$B$44*(1+0.19)*E849*E823+(1-$T$13)*IF(E$43=0,Quesería!$B$53,0)</f>
        <v>0</v>
      </c>
      <c r="F853" s="35" t="n">
        <f aca="false">$T$13*Quesería!$B$44*(1+0.19)*F849*F823+(1-$T$13)*IF(F$43=0,Quesería!$B$53,0)</f>
        <v>0</v>
      </c>
      <c r="G853" s="35" t="n">
        <f aca="false">$T$13*Quesería!$B$44*(1+0.19)*G849*G823+(1-$T$13)*IF(G$43=0,Quesería!$B$53,0)</f>
        <v>0</v>
      </c>
      <c r="H853" s="35" t="n">
        <f aca="false">$T$13*Quesería!$B$44*(1+0.19)*H849*H823+(1-$T$13)*IF(H$43=0,Quesería!$B$53,0)</f>
        <v>0</v>
      </c>
      <c r="I853" s="35" t="n">
        <f aca="false">$T$13*Quesería!$B$44*(1+0.19)*I849*I823+(1-$T$13)*IF(I$43=0,Quesería!$B$53,0)</f>
        <v>0</v>
      </c>
      <c r="J853" s="35" t="n">
        <f aca="false">$T$13*Quesería!$B$44*(1+0.19)*J849*J823+(1-$T$13)*IF(J$43=0,Quesería!$B$53,0)</f>
        <v>0</v>
      </c>
      <c r="K853" s="35" t="n">
        <f aca="false">$T$13*Quesería!$B$44*(1+0.19)*K849*K823+(1-$T$13)*IF(K$43=0,Quesería!$B$53,0)</f>
        <v>0</v>
      </c>
      <c r="L853" s="35" t="n">
        <f aca="false">$T$13*Quesería!$B$44*(1+0.19)*L849*L823+(1-$T$13)*IF(L$43=0,Quesería!$B$53,0)</f>
        <v>0</v>
      </c>
    </row>
    <row r="854" customFormat="false" ht="15" hidden="false" customHeight="false" outlineLevel="0" collapsed="false">
      <c r="A854" s="6" t="s">
        <v>311</v>
      </c>
      <c r="B854" s="35" t="n">
        <f aca="false">Quesería!$B$45*(B851+B852+B853)</f>
        <v>0.016</v>
      </c>
      <c r="C854" s="35" t="n">
        <f aca="false">Quesería!$B$45*(C851+C852+C853)</f>
        <v>0.233963602745223</v>
      </c>
      <c r="D854" s="35" t="n">
        <f aca="false">Quesería!$B$45*(D851+D852+D853)</f>
        <v>0.732314790083377</v>
      </c>
      <c r="E854" s="35" t="n">
        <f aca="false">Quesería!$B$45*(E851+E852+E853)</f>
        <v>0.94534510782384</v>
      </c>
      <c r="F854" s="35" t="n">
        <f aca="false">Quesería!$B$45*(F851+F852+F853)</f>
        <v>0.836920986774515</v>
      </c>
      <c r="G854" s="35" t="n">
        <f aca="false">Quesería!$B$45*(G851+G852+G853)</f>
        <v>0.73543874322037</v>
      </c>
      <c r="H854" s="35" t="n">
        <f aca="false">Quesería!$B$45*(H851+H852+H853)</f>
        <v>0.640524777296463</v>
      </c>
      <c r="I854" s="35" t="n">
        <f aca="false">Quesería!$B$45*(I851+I852+I853)</f>
        <v>0.551823958539454</v>
      </c>
      <c r="J854" s="35" t="n">
        <f aca="false">Quesería!$B$45*(J851+J852+J853)</f>
        <v>0.259846955660007</v>
      </c>
      <c r="K854" s="35" t="n">
        <f aca="false">Quesería!$B$45*(K851+K852+K853)</f>
        <v>0</v>
      </c>
      <c r="L854" s="35" t="n">
        <f aca="false">Quesería!$B$45*(L851+L852+L853)</f>
        <v>0</v>
      </c>
    </row>
    <row r="855" customFormat="false" ht="15" hidden="false" customHeight="false" outlineLevel="0" collapsed="false">
      <c r="A855" s="6" t="s">
        <v>312</v>
      </c>
      <c r="B855" s="35" t="n">
        <f aca="false">$T$17*(B851+B853+0.5*B854)</f>
        <v>1.4028</v>
      </c>
      <c r="C855" s="35" t="n">
        <f aca="false">$T$17*(C851+C853+0.5*C854)</f>
        <v>20.5127588706874</v>
      </c>
      <c r="D855" s="35" t="n">
        <f aca="false">$T$17*(D851+D853+0.5*D854)</f>
        <v>41.0493708300401</v>
      </c>
      <c r="E855" s="35" t="n">
        <f aca="false">$T$17*(E851+E853+0.5*E854)</f>
        <v>36.373294469554</v>
      </c>
      <c r="F855" s="35" t="n">
        <f aca="false">$T$17*(F851+F853+0.5*F854)</f>
        <v>28.6560495742046</v>
      </c>
      <c r="G855" s="35" t="n">
        <f aca="false">$T$17*(G851+G853+0.5*G854)</f>
        <v>21.4786322529507</v>
      </c>
      <c r="H855" s="35" t="n">
        <f aca="false">$T$17*(H851+H853+0.5*H854)</f>
        <v>14.8109333505297</v>
      </c>
      <c r="I855" s="35" t="n">
        <f aca="false">$T$17*(I851+I853+0.5*I854)</f>
        <v>8.62436123904496</v>
      </c>
      <c r="J855" s="35" t="n">
        <f aca="false">$T$17*(J851+J853+0.5*J854)</f>
        <v>2.85516805988321</v>
      </c>
      <c r="K855" s="35" t="n">
        <f aca="false">$T$17*(K851+K853+0.5*K854)</f>
        <v>0</v>
      </c>
      <c r="L855" s="35" t="n">
        <f aca="false">$T$17*(L851+L853+0.5*L854)</f>
        <v>0</v>
      </c>
    </row>
    <row r="856" customFormat="false" ht="15" hidden="false" customHeight="false" outlineLevel="0" collapsed="false">
      <c r="A856" s="5" t="s">
        <v>313</v>
      </c>
      <c r="B856" s="37" t="n">
        <f aca="false">B841+B850-B851-B852-B853-B854+B855</f>
        <v>-229.083708047218</v>
      </c>
      <c r="C856" s="37" t="n">
        <f aca="false">C841+C850-C851-C852-C853-C854+C855</f>
        <v>-172.280574428537</v>
      </c>
      <c r="D856" s="37" t="n">
        <f aca="false">D841+D850-D851-D852-D853-D854+D855</f>
        <v>197.498183643592</v>
      </c>
      <c r="E856" s="37" t="n">
        <f aca="false">E841+E850-E851-E852-E853-E854+E855</f>
        <v>48.5497813708543</v>
      </c>
      <c r="F856" s="37" t="n">
        <f aca="false">F841+F850-F851-F852-F853-F854+F855</f>
        <v>69.3257335300906</v>
      </c>
      <c r="G856" s="37" t="n">
        <f aca="false">G841+G850-G851-G852-G853-G854+G855</f>
        <v>54.6578929497451</v>
      </c>
      <c r="H856" s="37" t="n">
        <f aca="false">H841+H850-H851-H852-H853-H854+H855</f>
        <v>62.9193221970198</v>
      </c>
      <c r="I856" s="37" t="n">
        <f aca="false">I841+I850-I851-I852-I853-I854+I855</f>
        <v>124.181949788469</v>
      </c>
      <c r="J856" s="37" t="n">
        <f aca="false">J841+J850-J851-J852-J853-J854+J855</f>
        <v>184.287229544022</v>
      </c>
      <c r="K856" s="37" t="n">
        <f aca="false">K841+K850-K851-K852-K853-K854+K855</f>
        <v>245.743059483011</v>
      </c>
      <c r="L856" s="37" t="n">
        <f aca="false">L841+L850-L851-L852-L853-L854+L855</f>
        <v>315.858759456126</v>
      </c>
    </row>
    <row r="857" customFormat="false" ht="15" hidden="false" customHeight="false" outlineLevel="0" collapsed="false">
      <c r="A857" s="9" t="s">
        <v>314</v>
      </c>
      <c r="B857" s="36" t="n">
        <f aca="false">B856*B821</f>
        <v>-242.828730530051</v>
      </c>
      <c r="C857" s="36" t="n">
        <f aca="false">C856*C821</f>
        <v>-191.748279338962</v>
      </c>
      <c r="D857" s="36" t="n">
        <f aca="false">D856*D821</f>
        <v>229.707174923107</v>
      </c>
      <c r="E857" s="36" t="n">
        <f aca="false">E856*E821</f>
        <v>58.7262233643489</v>
      </c>
      <c r="F857" s="36" t="n">
        <f aca="false">F856*F821</f>
        <v>87.2112691987256</v>
      </c>
      <c r="G857" s="36" t="n">
        <f aca="false">G856*G821</f>
        <v>71.5096015876788</v>
      </c>
      <c r="H857" s="36" t="n">
        <f aca="false">H856*H821</f>
        <v>85.6108575805706</v>
      </c>
      <c r="I857" s="36" t="n">
        <f aca="false">I856*I821</f>
        <v>175.726243704492</v>
      </c>
      <c r="J857" s="36" t="n">
        <f aca="false">J856*J821</f>
        <v>271.210645124086</v>
      </c>
      <c r="K857" s="36" t="n">
        <f aca="false">K856*K821</f>
        <v>376.119708438521</v>
      </c>
      <c r="L857" s="36" t="n">
        <f aca="false">L856*L821</f>
        <v>502.772012991512</v>
      </c>
    </row>
    <row r="858" customFormat="false" ht="15" hidden="false" customHeight="false" outlineLevel="0" collapsed="false">
      <c r="A858" s="9" t="s">
        <v>315</v>
      </c>
      <c r="B858" s="34" t="n">
        <f aca="false">(B821/$B$821)/(1+Quesería!$B$46+$T$24)^B$43</f>
        <v>1</v>
      </c>
      <c r="C858" s="34" t="n">
        <f aca="false">(C821/$B$821)/(1+Quesería!$B$46+$T$24)^C$43</f>
        <v>0.84</v>
      </c>
      <c r="D858" s="34" t="n">
        <f aca="false">(D821/$B$821)/(1+Quesería!$B$46+$T$24)^D$43</f>
        <v>0.70224</v>
      </c>
      <c r="E858" s="34" t="n">
        <f aca="false">(E821/$B$821)/(1+Quesería!$B$46+$T$24)^E$43</f>
        <v>0.58426368</v>
      </c>
      <c r="F858" s="34" t="n">
        <f aca="false">(F821/$B$821)/(1+Quesería!$B$46+$T$24)^F$43</f>
        <v>0.48610738176</v>
      </c>
      <c r="G858" s="34" t="n">
        <f aca="false">(G821/$B$821)/(1+Quesería!$B$46+$T$24)^G$43</f>
        <v>0.40444134162432</v>
      </c>
      <c r="H858" s="34" t="n">
        <f aca="false">(H821/$B$821)/(1+Quesería!$B$46+$T$24)^H$43</f>
        <v>0.336495196231434</v>
      </c>
      <c r="I858" s="34" t="n">
        <f aca="false">(I821/$B$821)/(1+Quesería!$B$46+$T$24)^I$43</f>
        <v>0.279964003264553</v>
      </c>
      <c r="J858" s="34" t="n">
        <f aca="false">(J821/$B$821)/(1+Quesería!$B$46+$T$24)^J$43</f>
        <v>0.232930050716108</v>
      </c>
      <c r="K858" s="34" t="n">
        <f aca="false">(K821/$B$821)/(1+Quesería!$B$46+$T$24)^K$43</f>
        <v>0.193797802195802</v>
      </c>
      <c r="L858" s="34" t="n">
        <f aca="false">(L821/$B$821)/(1+Quesería!$B$46+$T$24)^L$43</f>
        <v>0.161239771426907</v>
      </c>
    </row>
    <row r="859" customFormat="false" ht="15" hidden="false" customHeight="false" outlineLevel="0" collapsed="false">
      <c r="A859" s="9" t="s">
        <v>316</v>
      </c>
      <c r="B859" s="36" t="n">
        <f aca="false">B841+B824+B826+B855</f>
        <v>60.9532547375949</v>
      </c>
      <c r="C859" s="36" t="n">
        <f aca="false">C841+C824+C826+C855</f>
        <v>202.626633264038</v>
      </c>
      <c r="D859" s="36" t="n">
        <f aca="false">D841+D824+D826+D855</f>
        <v>381.30919595452</v>
      </c>
      <c r="E859" s="36" t="n">
        <f aca="false">E841+E824+E826+E855</f>
        <v>285.831403434638</v>
      </c>
      <c r="F859" s="36" t="n">
        <f aca="false">F841+F824+F826+F855</f>
        <v>279.392901210494</v>
      </c>
      <c r="G859" s="36" t="n">
        <f aca="false">G841+G824+G826+G855</f>
        <v>244.319684164725</v>
      </c>
      <c r="H859" s="36" t="n">
        <f aca="false">H841+H824+H826+H855</f>
        <v>230.398906379199</v>
      </c>
      <c r="I859" s="36" t="n">
        <f aca="false">I841+I824+I826+I855</f>
        <v>262.689763381872</v>
      </c>
      <c r="J859" s="36" t="n">
        <f aca="false">J841+J824+J826+J855</f>
        <v>249.508815414683</v>
      </c>
      <c r="K859" s="36" t="n">
        <f aca="false">K841+K824+K826+K855</f>
        <v>245.743059483011</v>
      </c>
      <c r="L859" s="36" t="n">
        <f aca="false">L841+L824+L826+L855</f>
        <v>315.858759456126</v>
      </c>
    </row>
    <row r="860" customFormat="false" ht="15" hidden="false" customHeight="false" outlineLevel="0" collapsed="false">
      <c r="A860" s="5" t="s">
        <v>317</v>
      </c>
      <c r="B860" s="12" t="str">
        <f aca="false">IF(AND(B$43&gt;=1,(B851+B852+B853)&gt;0.001),B859/(B851+B852+B853),"")</f>
        <v/>
      </c>
      <c r="C860" s="12" t="n">
        <f aca="false">IF(AND(C$43&gt;=1,(C851+C852+C853)&gt;0.001),C859/(C851+C852+C853),"")</f>
        <v>3.46424197416195</v>
      </c>
      <c r="D860" s="12" t="n">
        <f aca="false">IF(AND(D$43&gt;=1,(D851+D852+D853)&gt;0.001),D859/(D851+D852+D853),"")</f>
        <v>2.08276113561003</v>
      </c>
      <c r="E860" s="12" t="n">
        <f aca="false">IF(AND(E$43&gt;=1,(E851+E852+E853)&gt;0.001),E859/(E851+E852+E853),"")</f>
        <v>1.20942669960017</v>
      </c>
      <c r="F860" s="12" t="n">
        <f aca="false">IF(AND(F$43&gt;=1,(F851+F852+F853)&gt;0.001),F859/(F851+F852+F853),"")</f>
        <v>1.33533705391842</v>
      </c>
      <c r="G860" s="12" t="n">
        <f aca="false">IF(AND(G$43&gt;=1,(G851+G852+G853)&gt;0.001),G859/(G851+G852+G853),"")</f>
        <v>1.32883771173048</v>
      </c>
      <c r="H860" s="12" t="n">
        <f aca="false">IF(AND(H$43&gt;=1,(H851+H852+H853)&gt;0.001),H859/(H851+H852+H853),"")</f>
        <v>1.43881338893193</v>
      </c>
      <c r="I860" s="12" t="n">
        <f aca="false">IF(AND(I$43&gt;=1,(I851+I852+I853)&gt;0.001),I859/(I851+I852+I853),"")</f>
        <v>1.90415627532483</v>
      </c>
      <c r="J860" s="12" t="n">
        <f aca="false">IF(AND(J$43&gt;=1,(J851+J852+J853)&gt;0.001),J859/(J851+J852+J853),"")</f>
        <v>3.84085801245484</v>
      </c>
      <c r="K860" s="12" t="str">
        <f aca="false">IF(AND(K$43&gt;=1,(K851+K852+K853)&gt;0.001),K859/(K851+K852+K853),"")</f>
        <v/>
      </c>
      <c r="L860" s="12" t="str">
        <f aca="false">IF(AND(L$43&gt;=1,(L851+L852+L853)&gt;0.001),L859/(L851+L852+L853),"")</f>
        <v/>
      </c>
    </row>
    <row r="862" customFormat="false" ht="15" hidden="false" customHeight="false" outlineLevel="0" collapsed="false">
      <c r="A862" s="66" t="s">
        <v>645</v>
      </c>
      <c r="B862" s="67"/>
      <c r="C862" s="67"/>
      <c r="D862" s="67"/>
      <c r="E862" s="67"/>
      <c r="F862" s="67"/>
      <c r="G862" s="67"/>
      <c r="H862" s="67"/>
      <c r="I862" s="67"/>
      <c r="J862" s="67"/>
      <c r="K862" s="67"/>
      <c r="L862" s="67"/>
    </row>
    <row r="863" customFormat="false" ht="15" hidden="false" customHeight="false" outlineLevel="0" collapsed="false">
      <c r="A863" s="9" t="s">
        <v>281</v>
      </c>
      <c r="B863" s="33" t="n">
        <f aca="false">CHOOSE($U$15,Entorno!B$7,Entorno!B$8,Entorno!B$9)</f>
        <v>0.06</v>
      </c>
      <c r="C863" s="33" t="n">
        <f aca="false">CHOOSE($U$15,Entorno!C$7,Entorno!C$8,Entorno!C$9)</f>
        <v>0.05</v>
      </c>
      <c r="D863" s="33" t="n">
        <f aca="false">CHOOSE($U$15,Entorno!D$7,Entorno!D$8,Entorno!D$9)</f>
        <v>0.045</v>
      </c>
      <c r="E863" s="33" t="n">
        <f aca="false">CHOOSE($U$15,Entorno!E$7,Entorno!E$8,Entorno!E$9)</f>
        <v>0.04</v>
      </c>
      <c r="F863" s="33" t="n">
        <f aca="false">CHOOSE($U$15,Entorno!F$7,Entorno!F$8,Entorno!F$9)</f>
        <v>0.04</v>
      </c>
      <c r="G863" s="33" t="n">
        <f aca="false">CHOOSE($U$15,Entorno!G$7,Entorno!G$8,Entorno!G$9)</f>
        <v>0.04</v>
      </c>
      <c r="H863" s="33" t="n">
        <f aca="false">CHOOSE($U$15,Entorno!H$7,Entorno!H$8,Entorno!H$9)</f>
        <v>0.04</v>
      </c>
      <c r="I863" s="33" t="n">
        <f aca="false">CHOOSE($U$15,Entorno!I$7,Entorno!I$8,Entorno!I$9)</f>
        <v>0.04</v>
      </c>
      <c r="J863" s="33" t="n">
        <f aca="false">CHOOSE($U$15,Entorno!J$7,Entorno!J$8,Entorno!J$9)</f>
        <v>0.04</v>
      </c>
      <c r="K863" s="33" t="n">
        <f aca="false">CHOOSE($U$15,Entorno!K$7,Entorno!K$8,Entorno!K$9)</f>
        <v>0.04</v>
      </c>
      <c r="L863" s="33" t="n">
        <f aca="false">CHOOSE($U$15,Entorno!L$7,Entorno!L$8,Entorno!L$9)</f>
        <v>0.04</v>
      </c>
    </row>
    <row r="864" customFormat="false" ht="15" hidden="false" customHeight="false" outlineLevel="0" collapsed="false">
      <c r="A864" s="9" t="s">
        <v>282</v>
      </c>
      <c r="B864" s="34" t="n">
        <f aca="false">1+B863</f>
        <v>1.06</v>
      </c>
      <c r="C864" s="34" t="n">
        <f aca="false">B864*(1+C863)</f>
        <v>1.113</v>
      </c>
      <c r="D864" s="34" t="n">
        <f aca="false">C864*(1+D863)</f>
        <v>1.163085</v>
      </c>
      <c r="E864" s="34" t="n">
        <f aca="false">D864*(1+E863)</f>
        <v>1.2096084</v>
      </c>
      <c r="F864" s="34" t="n">
        <f aca="false">E864*(1+F863)</f>
        <v>1.257992736</v>
      </c>
      <c r="G864" s="34" t="n">
        <f aca="false">F864*(1+G863)</f>
        <v>1.30831244544</v>
      </c>
      <c r="H864" s="34" t="n">
        <f aca="false">G864*(1+H863)</f>
        <v>1.3606449432576</v>
      </c>
      <c r="I864" s="34" t="n">
        <f aca="false">H864*(1+I863)</f>
        <v>1.4150707409879</v>
      </c>
      <c r="J864" s="34" t="n">
        <f aca="false">I864*(1+J863)</f>
        <v>1.47167357062742</v>
      </c>
      <c r="K864" s="34" t="n">
        <f aca="false">J864*(1+K863)</f>
        <v>1.53054051345252</v>
      </c>
      <c r="L864" s="34" t="n">
        <f aca="false">K864*(1+L863)</f>
        <v>1.59176213399062</v>
      </c>
    </row>
    <row r="865" customFormat="false" ht="15" hidden="false" customHeight="false" outlineLevel="0" collapsed="false">
      <c r="A865" s="9" t="s">
        <v>283</v>
      </c>
      <c r="B865" s="34" t="n">
        <f aca="false">(1+$U$16)/(1+B863)</f>
        <v>1.02358490566038</v>
      </c>
      <c r="C865" s="34" t="n">
        <f aca="false">B865*(1+Entorno!$B$13)</f>
        <v>1.02870283018868</v>
      </c>
      <c r="D865" s="34" t="n">
        <f aca="false">C865*(1+Entorno!$B$13)</f>
        <v>1.03384634433962</v>
      </c>
      <c r="E865" s="34" t="n">
        <f aca="false">D865*(1+Entorno!$B$13)</f>
        <v>1.03901557606132</v>
      </c>
      <c r="F865" s="34" t="n">
        <f aca="false">E865*(1+Entorno!$B$13)</f>
        <v>1.04421065394163</v>
      </c>
      <c r="G865" s="34" t="n">
        <f aca="false">F865*(1+Entorno!$B$13)</f>
        <v>1.04943170721133</v>
      </c>
      <c r="H865" s="34" t="n">
        <f aca="false">G865*(1+Entorno!$B$13)</f>
        <v>1.05467886574739</v>
      </c>
      <c r="I865" s="34" t="n">
        <f aca="false">H865*(1+Entorno!$B$13)</f>
        <v>1.05995226007613</v>
      </c>
      <c r="J865" s="34" t="n">
        <f aca="false">I865*(1+Entorno!$B$13)</f>
        <v>1.06525202137651</v>
      </c>
      <c r="K865" s="34" t="n">
        <f aca="false">J865*(1+Entorno!$B$13)</f>
        <v>1.07057828148339</v>
      </c>
      <c r="L865" s="34" t="n">
        <f aca="false">K865*(1+Entorno!$B$13)</f>
        <v>1.07593117289081</v>
      </c>
    </row>
    <row r="866" customFormat="false" ht="15" hidden="false" customHeight="false" outlineLevel="0" collapsed="false">
      <c r="A866" s="9" t="s">
        <v>284</v>
      </c>
      <c r="B866" s="34" t="n">
        <f aca="false">1/B864</f>
        <v>0.943396226415094</v>
      </c>
      <c r="C866" s="34" t="n">
        <f aca="false">1/C864</f>
        <v>0.898472596585804</v>
      </c>
      <c r="D866" s="34" t="n">
        <f aca="false">1/D864</f>
        <v>0.859782389077324</v>
      </c>
      <c r="E866" s="34" t="n">
        <f aca="false">1/E864</f>
        <v>0.826713835651273</v>
      </c>
      <c r="F866" s="34" t="n">
        <f aca="false">1/F864</f>
        <v>0.794917149664686</v>
      </c>
      <c r="G866" s="34" t="n">
        <f aca="false">1/G864</f>
        <v>0.764343413139121</v>
      </c>
      <c r="H866" s="34" t="n">
        <f aca="false">1/H864</f>
        <v>0.734945589556847</v>
      </c>
      <c r="I866" s="34" t="n">
        <f aca="false">1/I864</f>
        <v>0.706678451496968</v>
      </c>
      <c r="J866" s="34" t="n">
        <f aca="false">1/J864</f>
        <v>0.679498511054777</v>
      </c>
      <c r="K866" s="34" t="n">
        <f aca="false">1/K864</f>
        <v>0.653363952937286</v>
      </c>
      <c r="L866" s="34" t="n">
        <f aca="false">1/L864</f>
        <v>0.628234570132006</v>
      </c>
    </row>
    <row r="867" customFormat="false" ht="15" hidden="false" customHeight="false" outlineLevel="0" collapsed="false">
      <c r="A867" s="6" t="s">
        <v>202</v>
      </c>
      <c r="B867" s="35" t="n">
        <f aca="false">IF(B$43=0,Quesería!$F$80,IF(B$43=1,Quesería!$F$81*$U$21,0))*$U$11</f>
        <v>622.243624322401</v>
      </c>
      <c r="C867" s="35" t="n">
        <f aca="false">IF(C$43=0,Quesería!$F$80,IF(C$43=1,Quesería!$F$81*$U$21,0))*$U$11</f>
        <v>645.270088578622</v>
      </c>
      <c r="D867" s="35" t="n">
        <f aca="false">IF(D$43=0,Quesería!$F$80,IF(D$43=1,Quesería!$F$81*$U$21,0))*$U$11</f>
        <v>0</v>
      </c>
      <c r="E867" s="35" t="n">
        <f aca="false">IF(E$43=0,Quesería!$F$80,IF(E$43=1,Quesería!$F$81*$U$21,0))*$U$11</f>
        <v>0</v>
      </c>
      <c r="F867" s="35" t="n">
        <f aca="false">IF(F$43=0,Quesería!$F$80,IF(F$43=1,Quesería!$F$81*$U$21,0))*$U$11</f>
        <v>0</v>
      </c>
      <c r="G867" s="35" t="n">
        <f aca="false">IF(G$43=0,Quesería!$F$80,IF(G$43=1,Quesería!$F$81*$U$21,0))*$U$11</f>
        <v>0</v>
      </c>
      <c r="H867" s="35" t="n">
        <f aca="false">IF(H$43=0,Quesería!$F$80,IF(H$43=1,Quesería!$F$81*$U$21,0))*$U$11</f>
        <v>0</v>
      </c>
      <c r="I867" s="35" t="n">
        <f aca="false">IF(I$43=0,Quesería!$F$80,IF(I$43=1,Quesería!$F$81*$U$21,0))*$U$11</f>
        <v>0</v>
      </c>
      <c r="J867" s="35" t="n">
        <f aca="false">IF(J$43=0,Quesería!$F$80,IF(J$43=1,Quesería!$F$81*$U$21,0))*$U$11</f>
        <v>0</v>
      </c>
      <c r="K867" s="35" t="n">
        <f aca="false">IF(K$43=0,Quesería!$F$80,IF(K$43=1,Quesería!$F$81*$U$21,0))*$U$11</f>
        <v>0</v>
      </c>
      <c r="L867" s="35" t="n">
        <f aca="false">IF(L$43=0,Quesería!$F$80,IF(L$43=1,Quesería!$F$81*$U$21,0))*$U$11</f>
        <v>0</v>
      </c>
    </row>
    <row r="868" customFormat="false" ht="15" hidden="false" customHeight="false" outlineLevel="0" collapsed="false">
      <c r="A868" s="6" t="s">
        <v>285</v>
      </c>
      <c r="B868" s="35" t="n">
        <f aca="false">IF(B$43=5,Quesería!$F$87,IF(B$43=6,Quesería!$F$88,0))*$U$11</f>
        <v>0</v>
      </c>
      <c r="C868" s="35" t="n">
        <f aca="false">IF(C$43=5,Quesería!$F$87,IF(C$43=6,Quesería!$F$88,0))*$U$11</f>
        <v>0</v>
      </c>
      <c r="D868" s="35" t="n">
        <f aca="false">IF(D$43=5,Quesería!$F$87,IF(D$43=6,Quesería!$F$88,0))*$U$11</f>
        <v>0</v>
      </c>
      <c r="E868" s="35" t="n">
        <f aca="false">IF(E$43=5,Quesería!$F$87,IF(E$43=6,Quesería!$F$88,0))*$U$11</f>
        <v>0</v>
      </c>
      <c r="F868" s="35" t="n">
        <f aca="false">IF(F$43=5,Quesería!$F$87,IF(F$43=6,Quesería!$F$88,0))*$U$11</f>
        <v>0</v>
      </c>
      <c r="G868" s="35" t="n">
        <f aca="false">IF(G$43=5,Quesería!$F$87,IF(G$43=6,Quesería!$F$88,0))*$U$11</f>
        <v>26.6666666666667</v>
      </c>
      <c r="H868" s="35" t="n">
        <f aca="false">IF(H$43=5,Quesería!$F$87,IF(H$43=6,Quesería!$F$88,0))*$U$11</f>
        <v>35.3045530566667</v>
      </c>
      <c r="I868" s="35" t="n">
        <f aca="false">IF(I$43=5,Quesería!$F$87,IF(I$43=6,Quesería!$F$88,0))*$U$11</f>
        <v>0</v>
      </c>
      <c r="J868" s="35" t="n">
        <f aca="false">IF(J$43=5,Quesería!$F$87,IF(J$43=6,Quesería!$F$88,0))*$U$11</f>
        <v>0</v>
      </c>
      <c r="K868" s="35" t="n">
        <f aca="false">IF(K$43=5,Quesería!$F$87,IF(K$43=6,Quesería!$F$88,0))*$U$11</f>
        <v>0</v>
      </c>
      <c r="L868" s="35" t="n">
        <f aca="false">IF(L$43=5,Quesería!$F$87,IF(L$43=6,Quesería!$F$88,0))*$U$11</f>
        <v>0</v>
      </c>
    </row>
    <row r="869" customFormat="false" ht="15" hidden="false" customHeight="false" outlineLevel="0" collapsed="false">
      <c r="A869" s="6" t="s">
        <v>286</v>
      </c>
      <c r="B869" s="35" t="n">
        <f aca="false">Quesería!$B$36*(IF(B$43=0,SUMPRODUCT((Quesería!$C$62:$C$77=0)*(Quesería!$H$62:$H$77&gt;0)*(Quesería!$J$62:$J$77&gt;0)*Quesería!$F$62:$F$77*(1+Quesería!$I$62:$I$77)),IF(B$43=1,SUMPRODUCT((Quesería!$C$62:$C$77=1)*(Quesería!$H$62:$H$77&gt;0)*(Quesería!$J$62:$J$77&gt;0)*Quesería!$F$62:$F$77*(1+Quesería!$I$62:$I$77))*$U$21,0))*$U$11+B868)</f>
        <v>99.347875488093</v>
      </c>
      <c r="C869" s="35" t="n">
        <f aca="false">Quesería!$B$36*(IF(C$43=0,SUMPRODUCT((Quesería!$C$62:$C$77=0)*(Quesería!$H$62:$H$77&gt;0)*(Quesería!$J$62:$J$77&gt;0)*Quesería!$F$62:$F$77*(1+Quesería!$I$62:$I$77)),IF(C$43=1,SUMPRODUCT((Quesería!$C$62:$C$77=1)*(Quesería!$H$62:$H$77&gt;0)*(Quesería!$J$62:$J$77&gt;0)*Quesería!$F$62:$F$77*(1+Quesería!$I$62:$I$77))*$U$21,0))*$U$11+C868)</f>
        <v>122.601316829938</v>
      </c>
      <c r="D869" s="35" t="n">
        <f aca="false">Quesería!$B$36*(IF(D$43=0,SUMPRODUCT((Quesería!$C$62:$C$77=0)*(Quesería!$H$62:$H$77&gt;0)*(Quesería!$J$62:$J$77&gt;0)*Quesería!$F$62:$F$77*(1+Quesería!$I$62:$I$77)),IF(D$43=1,SUMPRODUCT((Quesería!$C$62:$C$77=1)*(Quesería!$H$62:$H$77&gt;0)*(Quesería!$J$62:$J$77&gt;0)*Quesería!$F$62:$F$77*(1+Quesería!$I$62:$I$77))*$U$21,0))*$U$11+D868)</f>
        <v>0</v>
      </c>
      <c r="E869" s="35" t="n">
        <f aca="false">Quesería!$B$36*(IF(E$43=0,SUMPRODUCT((Quesería!$C$62:$C$77=0)*(Quesería!$H$62:$H$77&gt;0)*(Quesería!$J$62:$J$77&gt;0)*Quesería!$F$62:$F$77*(1+Quesería!$I$62:$I$77)),IF(E$43=1,SUMPRODUCT((Quesería!$C$62:$C$77=1)*(Quesería!$H$62:$H$77&gt;0)*(Quesería!$J$62:$J$77&gt;0)*Quesería!$F$62:$F$77*(1+Quesería!$I$62:$I$77))*$U$21,0))*$U$11+E868)</f>
        <v>0</v>
      </c>
      <c r="F869" s="35" t="n">
        <f aca="false">Quesería!$B$36*(IF(F$43=0,SUMPRODUCT((Quesería!$C$62:$C$77=0)*(Quesería!$H$62:$H$77&gt;0)*(Quesería!$J$62:$J$77&gt;0)*Quesería!$F$62:$F$77*(1+Quesería!$I$62:$I$77)),IF(F$43=1,SUMPRODUCT((Quesería!$C$62:$C$77=1)*(Quesería!$H$62:$H$77&gt;0)*(Quesería!$J$62:$J$77&gt;0)*Quesería!$F$62:$F$77*(1+Quesería!$I$62:$I$77))*$U$21,0))*$U$11+F868)</f>
        <v>0</v>
      </c>
      <c r="G869" s="35" t="n">
        <f aca="false">Quesería!$B$36*(IF(G$43=0,SUMPRODUCT((Quesería!$C$62:$C$77=0)*(Quesería!$H$62:$H$77&gt;0)*(Quesería!$J$62:$J$77&gt;0)*Quesería!$F$62:$F$77*(1+Quesería!$I$62:$I$77)),IF(G$43=1,SUMPRODUCT((Quesería!$C$62:$C$77=1)*(Quesería!$H$62:$H$77&gt;0)*(Quesería!$J$62:$J$77&gt;0)*Quesería!$F$62:$F$77*(1+Quesería!$I$62:$I$77))*$U$21,0))*$U$11+G868)</f>
        <v>5.06666666666667</v>
      </c>
      <c r="H869" s="35" t="n">
        <f aca="false">Quesería!$B$36*(IF(H$43=0,SUMPRODUCT((Quesería!$C$62:$C$77=0)*(Quesería!$H$62:$H$77&gt;0)*(Quesería!$J$62:$J$77&gt;0)*Quesería!$F$62:$F$77*(1+Quesería!$I$62:$I$77)),IF(H$43=1,SUMPRODUCT((Quesería!$C$62:$C$77=1)*(Quesería!$H$62:$H$77&gt;0)*(Quesería!$J$62:$J$77&gt;0)*Quesería!$F$62:$F$77*(1+Quesería!$I$62:$I$77))*$U$21,0))*$U$11+H868)</f>
        <v>6.70786508076667</v>
      </c>
      <c r="I869" s="35" t="n">
        <f aca="false">Quesería!$B$36*(IF(I$43=0,SUMPRODUCT((Quesería!$C$62:$C$77=0)*(Quesería!$H$62:$H$77&gt;0)*(Quesería!$J$62:$J$77&gt;0)*Quesería!$F$62:$F$77*(1+Quesería!$I$62:$I$77)),IF(I$43=1,SUMPRODUCT((Quesería!$C$62:$C$77=1)*(Quesería!$H$62:$H$77&gt;0)*(Quesería!$J$62:$J$77&gt;0)*Quesería!$F$62:$F$77*(1+Quesería!$I$62:$I$77))*$U$21,0))*$U$11+I868)</f>
        <v>0</v>
      </c>
      <c r="J869" s="35" t="n">
        <f aca="false">Quesería!$B$36*(IF(J$43=0,SUMPRODUCT((Quesería!$C$62:$C$77=0)*(Quesería!$H$62:$H$77&gt;0)*(Quesería!$J$62:$J$77&gt;0)*Quesería!$F$62:$F$77*(1+Quesería!$I$62:$I$77)),IF(J$43=1,SUMPRODUCT((Quesería!$C$62:$C$77=1)*(Quesería!$H$62:$H$77&gt;0)*(Quesería!$J$62:$J$77&gt;0)*Quesería!$F$62:$F$77*(1+Quesería!$I$62:$I$77))*$U$21,0))*$U$11+J868)</f>
        <v>0</v>
      </c>
      <c r="K869" s="35" t="n">
        <f aca="false">Quesería!$B$36*(IF(K$43=0,SUMPRODUCT((Quesería!$C$62:$C$77=0)*(Quesería!$H$62:$H$77&gt;0)*(Quesería!$J$62:$J$77&gt;0)*Quesería!$F$62:$F$77*(1+Quesería!$I$62:$I$77)),IF(K$43=1,SUMPRODUCT((Quesería!$C$62:$C$77=1)*(Quesería!$H$62:$H$77&gt;0)*(Quesería!$J$62:$J$77&gt;0)*Quesería!$F$62:$F$77*(1+Quesería!$I$62:$I$77))*$U$21,0))*$U$11+K868)</f>
        <v>0</v>
      </c>
      <c r="L869" s="35" t="n">
        <f aca="false">Quesería!$B$36*(IF(L$43=0,SUMPRODUCT((Quesería!$C$62:$C$77=0)*(Quesería!$H$62:$H$77&gt;0)*(Quesería!$J$62:$J$77&gt;0)*Quesería!$F$62:$F$77*(1+Quesería!$I$62:$I$77)),IF(L$43=1,SUMPRODUCT((Quesería!$C$62:$C$77=1)*(Quesería!$H$62:$H$77&gt;0)*(Quesería!$J$62:$J$77&gt;0)*Quesería!$F$62:$F$77*(1+Quesería!$I$62:$I$77))*$U$21,0))*$U$11+L868)</f>
        <v>0</v>
      </c>
    </row>
    <row r="870" customFormat="false" ht="15" hidden="false" customHeight="false" outlineLevel="0" collapsed="false">
      <c r="A870" s="6" t="s">
        <v>260</v>
      </c>
      <c r="B870" s="35" t="n">
        <f aca="false">IF(B$43=0,($U$22*Quesería!$J$109+(1-$U$22)*Quesería!$E$105)*Quesería!$B$12*Quesería!$B$13/12*$U$23,(($U$22*Quesería!$J$109+(1-$U$22)*Quesería!$E$105)+($U$22*Quesería!$J$92+(1-$U$22)*Quesería!$E$92)*(B865-1))*IF(B$43=1,Quesería!$B$12,1))*$U$10</f>
        <v>45.6373732102639</v>
      </c>
      <c r="C870" s="35" t="n">
        <f aca="false">IF(C$43=0,($U$22*Quesería!$J$109+(1-$U$22)*Quesería!$E$105)*Quesería!$B$12*Quesería!$B$13/12*$U$23,(($U$22*Quesería!$J$109+(1-$U$22)*Quesería!$E$105)+($U$22*Quesería!$J$92+(1-$U$22)*Quesería!$E$92)*(C865-1))*IF(C$43=1,Quesería!$B$12,1))*$U$10</f>
        <v>137.165278593056</v>
      </c>
      <c r="D870" s="35" t="n">
        <f aca="false">IF(D$43=0,($U$22*Quesería!$J$109+(1-$U$22)*Quesería!$E$105)*Quesería!$B$12*Quesería!$B$13/12*$U$23,(($U$22*Quesería!$J$109+(1-$U$22)*Quesería!$E$105)+($U$22*Quesería!$J$92+(1-$U$22)*Quesería!$E$92)*(D865-1))*IF(D$43=1,Quesería!$B$12,1))*$U$10</f>
        <v>182.947525850489</v>
      </c>
      <c r="E870" s="35" t="n">
        <f aca="false">IF(E$43=0,($U$22*Quesería!$J$109+(1-$U$22)*Quesería!$E$105)*Quesería!$B$12*Quesería!$B$13/12*$U$23,(($U$22*Quesería!$J$109+(1-$U$22)*Quesería!$E$105)+($U$22*Quesería!$J$92+(1-$U$22)*Quesería!$E$92)*(E865-1))*IF(E$43=1,Quesería!$B$12,1))*$U$10</f>
        <v>183.008316015537</v>
      </c>
      <c r="F870" s="35" t="n">
        <f aca="false">IF(F$43=0,($U$22*Quesería!$J$109+(1-$U$22)*Quesería!$E$105)*Quesería!$B$12*Quesería!$B$13/12*$U$23,(($U$22*Quesería!$J$109+(1-$U$22)*Quesería!$E$105)+($U$22*Quesería!$J$92+(1-$U$22)*Quesería!$E$92)*(F865-1))*IF(F$43=1,Quesería!$B$12,1))*$U$10</f>
        <v>183.069410131409</v>
      </c>
      <c r="G870" s="35" t="n">
        <f aca="false">IF(G$43=0,($U$22*Quesería!$J$109+(1-$U$22)*Quesería!$E$105)*Quesería!$B$12*Quesería!$B$13/12*$U$23,(($U$22*Quesería!$J$109+(1-$U$22)*Quesería!$E$105)+($U$22*Quesería!$J$92+(1-$U$22)*Quesería!$E$92)*(G865-1))*IF(G$43=1,Quesería!$B$12,1))*$U$10</f>
        <v>183.130809717861</v>
      </c>
      <c r="H870" s="35" t="n">
        <f aca="false">IF(H$43=0,($U$22*Quesería!$J$109+(1-$U$22)*Quesería!$E$105)*Quesería!$B$12*Quesería!$B$13/12*$U$23,(($U$22*Quesería!$J$109+(1-$U$22)*Quesería!$E$105)+($U$22*Quesería!$J$92+(1-$U$22)*Quesería!$E$92)*(H865-1))*IF(H$43=1,Quesería!$B$12,1))*$U$10</f>
        <v>183.192516302245</v>
      </c>
      <c r="I870" s="35" t="n">
        <f aca="false">IF(I$43=0,($U$22*Quesería!$J$109+(1-$U$22)*Quesería!$E$105)*Quesería!$B$12*Quesería!$B$13/12*$U$23,(($U$22*Quesería!$J$109+(1-$U$22)*Quesería!$E$105)+($U$22*Quesería!$J$92+(1-$U$22)*Quesería!$E$92)*(I865-1))*IF(I$43=1,Quesería!$B$12,1))*$U$10</f>
        <v>183.254531419551</v>
      </c>
      <c r="J870" s="35" t="n">
        <f aca="false">IF(J$43=0,($U$22*Quesería!$J$109+(1-$U$22)*Quesería!$E$105)*Quesería!$B$12*Quesería!$B$13/12*$U$23,(($U$22*Quesería!$J$109+(1-$U$22)*Quesería!$E$105)+($U$22*Quesería!$J$92+(1-$U$22)*Quesería!$E$92)*(J865-1))*IF(J$43=1,Quesería!$B$12,1))*$U$10</f>
        <v>183.316856612443</v>
      </c>
      <c r="K870" s="35" t="n">
        <f aca="false">IF(K$43=0,($U$22*Quesería!$J$109+(1-$U$22)*Quesería!$E$105)*Quesería!$B$12*Quesería!$B$13/12*$U$23,(($U$22*Quesería!$J$109+(1-$U$22)*Quesería!$E$105)+($U$22*Quesería!$J$92+(1-$U$22)*Quesería!$E$92)*(K865-1))*IF(K$43=1,Quesería!$B$12,1))*$U$10</f>
        <v>183.3794934313</v>
      </c>
      <c r="L870" s="35" t="n">
        <f aca="false">IF(L$43=0,($U$22*Quesería!$J$109+(1-$U$22)*Quesería!$E$105)*Quesería!$B$12*Quesería!$B$13/12*$U$23,(($U$22*Quesería!$J$109+(1-$U$22)*Quesería!$E$105)+($U$22*Quesería!$J$92+(1-$U$22)*Quesería!$E$92)*(L865-1))*IF(L$43=1,Quesería!$B$12,1))*$U$10</f>
        <v>183.442443434251</v>
      </c>
    </row>
    <row r="871" customFormat="false" ht="15" hidden="false" customHeight="false" outlineLevel="0" collapsed="false">
      <c r="A871" s="6" t="s">
        <v>261</v>
      </c>
      <c r="B871" s="35" t="n">
        <f aca="false">IF(B$43&lt;=1,0,((($U$22*Quesería!$J$110+(1-$U$22)*Quesería!$E$106)-($U$22*Quesería!$J$99+(1-$U$22)*Quesería!$E$99)+$U$6*($U$22*Quesería!$J$99+(1-$U$22)*Quesería!$E$99)-(1-$U$9)*($U$22*Quesería!$J$102+(1-$U$22)*Quesería!$E$102))+($U$6*($U$22*Quesería!$J$99+(1-$U$22)*Quesería!$E$99)+$U$9*($U$22*Quesería!$J$102+(1-$U$22)*Quesería!$E$102))*(B865-1))*IF(B$43=2,Quesería!$B$12,1)+IF(B$43=2,Quesería!$B$14*$U$9*($U$22*Quesería!$J$102+(1-$U$22)*Quesería!$E$102)*B865,0))*$U$10*$U$21</f>
        <v>0</v>
      </c>
      <c r="C871" s="35" t="n">
        <f aca="false">IF(C$43&lt;=1,0,((($U$22*Quesería!$J$110+(1-$U$22)*Quesería!$E$106)-($U$22*Quesería!$J$99+(1-$U$22)*Quesería!$E$99)+$U$6*($U$22*Quesería!$J$99+(1-$U$22)*Quesería!$E$99)-(1-$U$9)*($U$22*Quesería!$J$102+(1-$U$22)*Quesería!$E$102))+($U$6*($U$22*Quesería!$J$99+(1-$U$22)*Quesería!$E$99)+$U$9*($U$22*Quesería!$J$102+(1-$U$22)*Quesería!$E$102))*(C865-1))*IF(C$43=2,Quesería!$B$12,1)+IF(C$43=2,Quesería!$B$14*$U$9*($U$22*Quesería!$J$102+(1-$U$22)*Quesería!$E$102)*C865,0))*$U$10*$U$21</f>
        <v>0</v>
      </c>
      <c r="D871" s="35" t="n">
        <f aca="false">IF(D$43&lt;=1,0,((($U$22*Quesería!$J$110+(1-$U$22)*Quesería!$E$106)-($U$22*Quesería!$J$99+(1-$U$22)*Quesería!$E$99)+$U$6*($U$22*Quesería!$J$99+(1-$U$22)*Quesería!$E$99)-(1-$U$9)*($U$22*Quesería!$J$102+(1-$U$22)*Quesería!$E$102))+($U$6*($U$22*Quesería!$J$99+(1-$U$22)*Quesería!$E$99)+$U$9*($U$22*Quesería!$J$102+(1-$U$22)*Quesería!$E$102))*(D865-1))*IF(D$43=2,Quesería!$B$12,1)+IF(D$43=2,Quesería!$B$14*$U$9*($U$22*Quesería!$J$102+(1-$U$22)*Quesería!$E$102)*D865,0))*$U$10*$U$21</f>
        <v>197.837804186257</v>
      </c>
      <c r="E871" s="35" t="n">
        <f aca="false">IF(E$43&lt;=1,0,((($U$22*Quesería!$J$110+(1-$U$22)*Quesería!$E$106)-($U$22*Quesería!$J$99+(1-$U$22)*Quesería!$E$99)+$U$6*($U$22*Quesería!$J$99+(1-$U$22)*Quesería!$E$99)-(1-$U$9)*($U$22*Quesería!$J$102+(1-$U$22)*Quesería!$E$102))+($U$6*($U$22*Quesería!$J$99+(1-$U$22)*Quesería!$E$99)+$U$9*($U$22*Quesería!$J$102+(1-$U$22)*Quesería!$E$102))*(E865-1))*IF(E$43=2,Quesería!$B$12,1)+IF(E$43=2,Quesería!$B$14*$U$9*($U$22*Quesería!$J$102+(1-$U$22)*Quesería!$E$102)*E865,0))*$U$10*$U$21</f>
        <v>234.441939047038</v>
      </c>
      <c r="F871" s="35" t="n">
        <f aca="false">IF(F$43&lt;=1,0,((($U$22*Quesería!$J$110+(1-$U$22)*Quesería!$E$106)-($U$22*Quesería!$J$99+(1-$U$22)*Quesería!$E$99)+$U$6*($U$22*Quesería!$J$99+(1-$U$22)*Quesería!$E$99)-(1-$U$9)*($U$22*Quesería!$J$102+(1-$U$22)*Quesería!$E$102))+($U$6*($U$22*Quesería!$J$99+(1-$U$22)*Quesería!$E$99)+$U$9*($U$22*Quesería!$J$102+(1-$U$22)*Quesería!$E$102))*(F865-1))*IF(F$43=2,Quesería!$B$12,1)+IF(F$43=2,Quesería!$B$14*$U$9*($U$22*Quesería!$J$102+(1-$U$22)*Quesería!$E$102)*F865,0))*$U$10*$U$21</f>
        <v>234.877078770292</v>
      </c>
      <c r="G871" s="35" t="n">
        <f aca="false">IF(G$43&lt;=1,0,((($U$22*Quesería!$J$110+(1-$U$22)*Quesería!$E$106)-($U$22*Quesería!$J$99+(1-$U$22)*Quesería!$E$99)+$U$6*($U$22*Quesería!$J$99+(1-$U$22)*Quesería!$E$99)-(1-$U$9)*($U$22*Quesería!$J$102+(1-$U$22)*Quesería!$E$102))+($U$6*($U$22*Quesería!$J$99+(1-$U$22)*Quesería!$E$99)+$U$9*($U$22*Quesería!$J$102+(1-$U$22)*Quesería!$E$102))*(G865-1))*IF(G$43=2,Quesería!$B$12,1)+IF(G$43=2,Quesería!$B$14*$U$9*($U$22*Quesería!$J$102+(1-$U$22)*Quesería!$E$102)*G865,0))*$U$10*$U$21</f>
        <v>235.314394192163</v>
      </c>
      <c r="H871" s="35" t="n">
        <f aca="false">IF(H$43&lt;=1,0,((($U$22*Quesería!$J$110+(1-$U$22)*Quesería!$E$106)-($U$22*Quesería!$J$99+(1-$U$22)*Quesería!$E$99)+$U$6*($U$22*Quesería!$J$99+(1-$U$22)*Quesería!$E$99)-(1-$U$9)*($U$22*Quesería!$J$102+(1-$U$22)*Quesería!$E$102))+($U$6*($U$22*Quesería!$J$99+(1-$U$22)*Quesería!$E$99)+$U$9*($U$22*Quesería!$J$102+(1-$U$22)*Quesería!$E$102))*(H865-1))*IF(H$43=2,Quesería!$B$12,1)+IF(H$43=2,Quesería!$B$14*$U$9*($U$22*Quesería!$J$102+(1-$U$22)*Quesería!$E$102)*H865,0))*$U$10*$U$21</f>
        <v>235.753896191143</v>
      </c>
      <c r="I871" s="35" t="n">
        <f aca="false">IF(I$43&lt;=1,0,((($U$22*Quesería!$J$110+(1-$U$22)*Quesería!$E$106)-($U$22*Quesería!$J$99+(1-$U$22)*Quesería!$E$99)+$U$6*($U$22*Quesería!$J$99+(1-$U$22)*Quesería!$E$99)-(1-$U$9)*($U$22*Quesería!$J$102+(1-$U$22)*Quesería!$E$102))+($U$6*($U$22*Quesería!$J$99+(1-$U$22)*Quesería!$E$99)+$U$9*($U$22*Quesería!$J$102+(1-$U$22)*Quesería!$E$102))*(I865-1))*IF(I$43=2,Quesería!$B$12,1)+IF(I$43=2,Quesería!$B$14*$U$9*($U$22*Quesería!$J$102+(1-$U$22)*Quesería!$E$102)*I865,0))*$U$10*$U$21</f>
        <v>236.195595700118</v>
      </c>
      <c r="J871" s="35" t="n">
        <f aca="false">IF(J$43&lt;=1,0,((($U$22*Quesería!$J$110+(1-$U$22)*Quesería!$E$106)-($U$22*Quesería!$J$99+(1-$U$22)*Quesería!$E$99)+$U$6*($U$22*Quesería!$J$99+(1-$U$22)*Quesería!$E$99)-(1-$U$9)*($U$22*Quesería!$J$102+(1-$U$22)*Quesería!$E$102))+($U$6*($U$22*Quesería!$J$99+(1-$U$22)*Quesería!$E$99)+$U$9*($U$22*Quesería!$J$102+(1-$U$22)*Quesería!$E$102))*(J865-1))*IF(J$43=2,Quesería!$B$12,1)+IF(J$43=2,Quesería!$B$14*$U$9*($U$22*Quesería!$J$102+(1-$U$22)*Quesería!$E$102)*J865,0))*$U$10*$U$21</f>
        <v>236.639503706638</v>
      </c>
      <c r="K871" s="35" t="n">
        <f aca="false">IF(K$43&lt;=1,0,((($U$22*Quesería!$J$110+(1-$U$22)*Quesería!$E$106)-($U$22*Quesería!$J$99+(1-$U$22)*Quesería!$E$99)+$U$6*($U$22*Quesería!$J$99+(1-$U$22)*Quesería!$E$99)-(1-$U$9)*($U$22*Quesería!$J$102+(1-$U$22)*Quesería!$E$102))+($U$6*($U$22*Quesería!$J$99+(1-$U$22)*Quesería!$E$99)+$U$9*($U$22*Quesería!$J$102+(1-$U$22)*Quesería!$E$102))*(K865-1))*IF(K$43=2,Quesería!$B$12,1)+IF(K$43=2,Quesería!$B$14*$U$9*($U$22*Quesería!$J$102+(1-$U$22)*Quesería!$E$102)*K865,0))*$U$10*$U$21</f>
        <v>237.08563125319</v>
      </c>
      <c r="L871" s="35" t="n">
        <f aca="false">IF(L$43&lt;=1,0,((($U$22*Quesería!$J$110+(1-$U$22)*Quesería!$E$106)-($U$22*Quesería!$J$99+(1-$U$22)*Quesería!$E$99)+$U$6*($U$22*Quesería!$J$99+(1-$U$22)*Quesería!$E$99)-(1-$U$9)*($U$22*Quesería!$J$102+(1-$U$22)*Quesería!$E$102))+($U$6*($U$22*Quesería!$J$99+(1-$U$22)*Quesería!$E$99)+$U$9*($U$22*Quesería!$J$102+(1-$U$22)*Quesería!$E$102))*(L865-1))*IF(L$43=2,Quesería!$B$12,1)+IF(L$43=2,Quesería!$B$14*$U$9*($U$22*Quesería!$J$102+(1-$U$22)*Quesería!$E$102)*L865,0))*$U$10*$U$21</f>
        <v>237.533989437476</v>
      </c>
    </row>
    <row r="872" customFormat="false" ht="15" hidden="false" customHeight="false" outlineLevel="0" collapsed="false">
      <c r="A872" s="5" t="s">
        <v>287</v>
      </c>
      <c r="B872" s="10" t="n">
        <f aca="false">B870+B871</f>
        <v>45.6373732102639</v>
      </c>
      <c r="C872" s="10" t="n">
        <f aca="false">C870+C871</f>
        <v>137.165278593056</v>
      </c>
      <c r="D872" s="10" t="n">
        <f aca="false">D870+D871</f>
        <v>380.785330036747</v>
      </c>
      <c r="E872" s="10" t="n">
        <f aca="false">E870+E871</f>
        <v>417.450255062574</v>
      </c>
      <c r="F872" s="10" t="n">
        <f aca="false">F870+F871</f>
        <v>417.946488901701</v>
      </c>
      <c r="G872" s="10" t="n">
        <f aca="false">G870+G871</f>
        <v>418.445203910024</v>
      </c>
      <c r="H872" s="10" t="n">
        <f aca="false">H870+H871</f>
        <v>418.946412493388</v>
      </c>
      <c r="I872" s="10" t="n">
        <f aca="false">I870+I871</f>
        <v>419.450127119669</v>
      </c>
      <c r="J872" s="10" t="n">
        <f aca="false">J870+J871</f>
        <v>419.956360319081</v>
      </c>
      <c r="K872" s="10" t="n">
        <f aca="false">K870+K871</f>
        <v>420.465124684491</v>
      </c>
      <c r="L872" s="10" t="n">
        <f aca="false">L870+L871</f>
        <v>420.976432871727</v>
      </c>
    </row>
    <row r="873" customFormat="false" ht="15" hidden="false" customHeight="false" outlineLevel="0" collapsed="false">
      <c r="A873" s="6" t="s">
        <v>288</v>
      </c>
      <c r="B873" s="35" t="n">
        <f aca="false">(IF(B$43&gt;=1,(Quesería!$B$21+Quesería!$B$54)*Quesería!$F$82*$U$11+Quesería!$B$22+'Beneficios y costos'!$B$118,0)+IF(B$43&gt;=2,((Quesería!$B$21+Quesería!$B$54)*Quesería!$F$83*$U$11+'Beneficios y costos'!$C$118)*$U$21,0))*$U$12</f>
        <v>0</v>
      </c>
      <c r="C873" s="35" t="n">
        <f aca="false">(IF(C$43&gt;=1,(Quesería!$B$21+Quesería!$B$54)*Quesería!$F$82*$U$11+Quesería!$B$22+'Beneficios y costos'!$B$118,0)+IF(C$43&gt;=2,((Quesería!$B$21+Quesería!$B$54)*Quesería!$F$83*$U$11+'Beneficios y costos'!$C$118)*$U$21,0))*$U$12</f>
        <v>36.8921528634167</v>
      </c>
      <c r="D873" s="35" t="n">
        <f aca="false">(IF(D$43&gt;=1,(Quesería!$B$21+Quesería!$B$54)*Quesería!$F$82*$U$11+Quesería!$B$22+'Beneficios y costos'!$B$118,0)+IF(D$43&gt;=2,((Quesería!$B$21+Quesería!$B$54)*Quesería!$F$83*$U$11+'Beneficios y costos'!$C$118)*$U$21,0))*$U$12</f>
        <v>88.8065043646377</v>
      </c>
      <c r="E873" s="35" t="n">
        <f aca="false">(IF(E$43&gt;=1,(Quesería!$B$21+Quesería!$B$54)*Quesería!$F$82*$U$11+Quesería!$B$22+'Beneficios y costos'!$B$118,0)+IF(E$43&gt;=2,((Quesería!$B$21+Quesería!$B$54)*Quesería!$F$83*$U$11+'Beneficios y costos'!$C$118)*$U$21,0))*$U$12</f>
        <v>88.8065043646377</v>
      </c>
      <c r="F873" s="35" t="n">
        <f aca="false">(IF(F$43&gt;=1,(Quesería!$B$21+Quesería!$B$54)*Quesería!$F$82*$U$11+Quesería!$B$22+'Beneficios y costos'!$B$118,0)+IF(F$43&gt;=2,((Quesería!$B$21+Quesería!$B$54)*Quesería!$F$83*$U$11+'Beneficios y costos'!$C$118)*$U$21,0))*$U$12</f>
        <v>88.8065043646377</v>
      </c>
      <c r="G873" s="35" t="n">
        <f aca="false">(IF(G$43&gt;=1,(Quesería!$B$21+Quesería!$B$54)*Quesería!$F$82*$U$11+Quesería!$B$22+'Beneficios y costos'!$B$118,0)+IF(G$43&gt;=2,((Quesería!$B$21+Quesería!$B$54)*Quesería!$F$83*$U$11+'Beneficios y costos'!$C$118)*$U$21,0))*$U$12</f>
        <v>88.8065043646377</v>
      </c>
      <c r="H873" s="35" t="n">
        <f aca="false">(IF(H$43&gt;=1,(Quesería!$B$21+Quesería!$B$54)*Quesería!$F$82*$U$11+Quesería!$B$22+'Beneficios y costos'!$B$118,0)+IF(H$43&gt;=2,((Quesería!$B$21+Quesería!$B$54)*Quesería!$F$83*$U$11+'Beneficios y costos'!$C$118)*$U$21,0))*$U$12</f>
        <v>88.8065043646377</v>
      </c>
      <c r="I873" s="35" t="n">
        <f aca="false">(IF(I$43&gt;=1,(Quesería!$B$21+Quesería!$B$54)*Quesería!$F$82*$U$11+Quesería!$B$22+'Beneficios y costos'!$B$118,0)+IF(I$43&gt;=2,((Quesería!$B$21+Quesería!$B$54)*Quesería!$F$83*$U$11+'Beneficios y costos'!$C$118)*$U$21,0))*$U$12</f>
        <v>88.8065043646377</v>
      </c>
      <c r="J873" s="35" t="n">
        <f aca="false">(IF(J$43&gt;=1,(Quesería!$B$21+Quesería!$B$54)*Quesería!$F$82*$U$11+Quesería!$B$22+'Beneficios y costos'!$B$118,0)+IF(J$43&gt;=2,((Quesería!$B$21+Quesería!$B$54)*Quesería!$F$83*$U$11+'Beneficios y costos'!$C$118)*$U$21,0))*$U$12</f>
        <v>88.8065043646377</v>
      </c>
      <c r="K873" s="35" t="n">
        <f aca="false">(IF(K$43&gt;=1,(Quesería!$B$21+Quesería!$B$54)*Quesería!$F$82*$U$11+Quesería!$B$22+'Beneficios y costos'!$B$118,0)+IF(K$43&gt;=2,((Quesería!$B$21+Quesería!$B$54)*Quesería!$F$83*$U$11+'Beneficios y costos'!$C$118)*$U$21,0))*$U$12</f>
        <v>88.8065043646377</v>
      </c>
      <c r="L873" s="35" t="n">
        <f aca="false">(IF(L$43&gt;=1,(Quesería!$B$21+Quesería!$B$54)*Quesería!$F$82*$U$11+Quesería!$B$22+'Beneficios y costos'!$B$118,0)+IF(L$43&gt;=2,((Quesería!$B$21+Quesería!$B$54)*Quesería!$F$83*$U$11+'Beneficios y costos'!$C$118)*$U$21,0))*$U$12</f>
        <v>88.8065043646377</v>
      </c>
    </row>
    <row r="874" customFormat="false" ht="15" hidden="false" customHeight="false" outlineLevel="0" collapsed="false">
      <c r="A874" s="6" t="s">
        <v>289</v>
      </c>
      <c r="B874" s="35" t="n">
        <f aca="false">IF(B$43=1,2*Quesería!$B$33*Quesería!$B$34/12*B865,0)*$U$21</f>
        <v>0</v>
      </c>
      <c r="C874" s="35" t="n">
        <f aca="false">IF(C$43=1,2*Quesería!$B$33*Quesería!$B$34/12*C865,0)*$U$21</f>
        <v>18.5166509433962</v>
      </c>
      <c r="D874" s="35" t="n">
        <f aca="false">IF(D$43=1,2*Quesería!$B$33*Quesería!$B$34/12*D865,0)*$U$21</f>
        <v>0</v>
      </c>
      <c r="E874" s="35" t="n">
        <f aca="false">IF(E$43=1,2*Quesería!$B$33*Quesería!$B$34/12*E865,0)*$U$21</f>
        <v>0</v>
      </c>
      <c r="F874" s="35" t="n">
        <f aca="false">IF(F$43=1,2*Quesería!$B$33*Quesería!$B$34/12*F865,0)*$U$21</f>
        <v>0</v>
      </c>
      <c r="G874" s="35" t="n">
        <f aca="false">IF(G$43=1,2*Quesería!$B$33*Quesería!$B$34/12*G865,0)*$U$21</f>
        <v>0</v>
      </c>
      <c r="H874" s="35" t="n">
        <f aca="false">IF(H$43=1,2*Quesería!$B$33*Quesería!$B$34/12*H865,0)*$U$21</f>
        <v>0</v>
      </c>
      <c r="I874" s="35" t="n">
        <f aca="false">IF(I$43=1,2*Quesería!$B$33*Quesería!$B$34/12*I865,0)*$U$21</f>
        <v>0</v>
      </c>
      <c r="J874" s="35" t="n">
        <f aca="false">IF(J$43=1,2*Quesería!$B$33*Quesería!$B$34/12*J865,0)*$U$21</f>
        <v>0</v>
      </c>
      <c r="K874" s="35" t="n">
        <f aca="false">IF(K$43=1,2*Quesería!$B$33*Quesería!$B$34/12*K865,0)*$U$21</f>
        <v>0</v>
      </c>
      <c r="L874" s="35" t="n">
        <f aca="false">IF(L$43=1,2*Quesería!$B$33*Quesería!$B$34/12*L865,0)*$U$21</f>
        <v>0</v>
      </c>
    </row>
    <row r="875" customFormat="false" ht="15" hidden="false" customHeight="false" outlineLevel="0" collapsed="false">
      <c r="A875" s="6" t="s">
        <v>290</v>
      </c>
      <c r="B875" s="35" t="n">
        <f aca="false">Quesería!$B$45*(B867+B868+B869+B873+B874)</f>
        <v>2.88636599924197</v>
      </c>
      <c r="C875" s="35" t="n">
        <f aca="false">Quesería!$B$45*(C867+C868+C869+C873+C874)</f>
        <v>3.29312083686149</v>
      </c>
      <c r="D875" s="35" t="n">
        <f aca="false">Quesería!$B$45*(D867+D868+D869+D873+D874)</f>
        <v>0.355226017458551</v>
      </c>
      <c r="E875" s="35" t="n">
        <f aca="false">Quesería!$B$45*(E867+E868+E869+E873+E874)</f>
        <v>0.355226017458551</v>
      </c>
      <c r="F875" s="35" t="n">
        <f aca="false">Quesería!$B$45*(F867+F868+F869+F873+F874)</f>
        <v>0.355226017458551</v>
      </c>
      <c r="G875" s="35" t="n">
        <f aca="false">Quesería!$B$45*(G867+G868+G869+G873+G874)</f>
        <v>0.482159350791884</v>
      </c>
      <c r="H875" s="35" t="n">
        <f aca="false">Quesería!$B$45*(H867+H868+H869+H873+H874)</f>
        <v>0.523275690008284</v>
      </c>
      <c r="I875" s="35" t="n">
        <f aca="false">Quesería!$B$45*(I867+I868+I869+I873+I874)</f>
        <v>0.355226017458551</v>
      </c>
      <c r="J875" s="35" t="n">
        <f aca="false">Quesería!$B$45*(J867+J868+J869+J873+J874)</f>
        <v>0.355226017458551</v>
      </c>
      <c r="K875" s="35" t="n">
        <f aca="false">Quesería!$B$45*(K867+K868+K869+K873+K874)</f>
        <v>0.355226017458551</v>
      </c>
      <c r="L875" s="35" t="n">
        <f aca="false">Quesería!$B$45*(L867+L868+L869+L873+L874)</f>
        <v>0.355226017458551</v>
      </c>
    </row>
    <row r="876" customFormat="false" ht="15" hidden="false" customHeight="false" outlineLevel="0" collapsed="false">
      <c r="A876" s="6" t="s">
        <v>291</v>
      </c>
      <c r="B876" s="35" t="n">
        <f aca="false">(IF($U$19=1,(SUMPRODUCT((Quesería!$C$62:$C$77=0)*(Quesería!$J$62:$J$77&gt;0)*(B$43&gt;=1)*(B$43&lt;=Quesería!$J$62:$J$77)*(Quesería!$H$62:$H$77&gt;0)*Quesería!$F$62:$F$77*(1+Quesería!$I$62:$I$77)/(Quesería!$J$62:$J$77+(Quesería!$J$62:$J$77=0)))+SUMPRODUCT((Quesería!$C$62:$C$77=0)*(Quesería!$J$62:$J$77=0)*(B$43=0)*(Quesería!$H$62:$H$77&gt;0)*Quesería!$F$62:$F$77*(1+Quesería!$I$62:$I$77)))*$B$864+(SUMPRODUCT((Quesería!$C$62:$C$77=1)*(Quesería!$J$62:$J$77&gt;0)*(B$43&gt;=2)*(B$43&lt;=Quesería!$J$62:$J$77+1)*(Quesería!$H$62:$H$77&gt;0)*Quesería!$F$62:$F$77*(1+Quesería!$I$62:$I$77)/(Quesería!$J$62:$J$77+(Quesería!$J$62:$J$77=0)))+SUMPRODUCT((Quesería!$C$62:$C$77=1)*(Quesería!$J$62:$J$77=0)*(B$43=1)*(Quesería!$H$62:$H$77&gt;0)*Quesería!$F$62:$F$77*(1+Quesería!$I$62:$I$77)))*$C$864*$U$21,IF(AND(B$43&gt;=1,B$43&lt;=Quesería!$B$11),Quesería!$F$80/Quesería!$B$11,0)*$B$864+IF(AND(B$43&gt;=2,B$43&lt;=Quesería!$B$11+1),Quesería!$F$81/Quesería!$B$11,0)*$C$864*$U$21)*$U$11+IF(AND(B$43&gt;=6,B$43&lt;=10),$G868*$G864/5,0)+IF(AND(B$43&gt;=7,B$43&lt;=11),$H868*$H864/5,0))*B866</f>
        <v>99.3600691219113</v>
      </c>
      <c r="C876" s="35" t="n">
        <f aca="false">(IF($U$19=1,(SUMPRODUCT((Quesería!$C$62:$C$77=0)*(Quesería!$J$62:$J$77&gt;0)*(C$43&gt;=1)*(C$43&lt;=Quesería!$J$62:$J$77)*(Quesería!$H$62:$H$77&gt;0)*Quesería!$F$62:$F$77*(1+Quesería!$I$62:$I$77)/(Quesería!$J$62:$J$77+(Quesería!$J$62:$J$77=0)))+SUMPRODUCT((Quesería!$C$62:$C$77=0)*(Quesería!$J$62:$J$77=0)*(C$43=0)*(Quesería!$H$62:$H$77&gt;0)*Quesería!$F$62:$F$77*(1+Quesería!$I$62:$I$77)))*$B$864+(SUMPRODUCT((Quesería!$C$62:$C$77=1)*(Quesería!$J$62:$J$77&gt;0)*(C$43&gt;=2)*(C$43&lt;=Quesería!$J$62:$J$77+1)*(Quesería!$H$62:$H$77&gt;0)*Quesería!$F$62:$F$77*(1+Quesería!$I$62:$I$77)/(Quesería!$J$62:$J$77+(Quesería!$J$62:$J$77=0)))+SUMPRODUCT((Quesería!$C$62:$C$77=1)*(Quesería!$J$62:$J$77=0)*(C$43=1)*(Quesería!$H$62:$H$77&gt;0)*Quesería!$F$62:$F$77*(1+Quesería!$I$62:$I$77)))*$C$864*$U$21,IF(AND(C$43&gt;=1,C$43&lt;=Quesería!$B$11),Quesería!$F$80/Quesería!$B$11,0)*$B$864+IF(AND(C$43&gt;=2,C$43&lt;=Quesería!$B$11+1),Quesería!$F$81/Quesería!$B$11,0)*$C$864*$U$21)*$U$11+IF(AND(C$43&gt;=6,C$43&lt;=10),$G868*$G864/5,0)+IF(AND(C$43&gt;=7,C$43&lt;=11),$H868*$H864/5,0))*C866</f>
        <v>57.1000211302053</v>
      </c>
      <c r="D876" s="35" t="n">
        <f aca="false">(IF($U$19=1,(SUMPRODUCT((Quesería!$C$62:$C$77=0)*(Quesería!$J$62:$J$77&gt;0)*(D$43&gt;=1)*(D$43&lt;=Quesería!$J$62:$J$77)*(Quesería!$H$62:$H$77&gt;0)*Quesería!$F$62:$F$77*(1+Quesería!$I$62:$I$77)/(Quesería!$J$62:$J$77+(Quesería!$J$62:$J$77=0)))+SUMPRODUCT((Quesería!$C$62:$C$77=0)*(Quesería!$J$62:$J$77=0)*(D$43=0)*(Quesería!$H$62:$H$77&gt;0)*Quesería!$F$62:$F$77*(1+Quesería!$I$62:$I$77)))*$B$864+(SUMPRODUCT((Quesería!$C$62:$C$77=1)*(Quesería!$J$62:$J$77&gt;0)*(D$43&gt;=2)*(D$43&lt;=Quesería!$J$62:$J$77+1)*(Quesería!$H$62:$H$77&gt;0)*Quesería!$F$62:$F$77*(1+Quesería!$I$62:$I$77)/(Quesería!$J$62:$J$77+(Quesería!$J$62:$J$77=0)))+SUMPRODUCT((Quesería!$C$62:$C$77=1)*(Quesería!$J$62:$J$77=0)*(D$43=1)*(Quesería!$H$62:$H$77&gt;0)*Quesería!$F$62:$F$77*(1+Quesería!$I$62:$I$77)))*$C$864*$U$21,IF(AND(D$43&gt;=1,D$43&lt;=Quesería!$B$11),Quesería!$F$80/Quesería!$B$11,0)*$B$864+IF(AND(D$43&gt;=2,D$43&lt;=Quesería!$B$11+1),Quesería!$F$81/Quesería!$B$11,0)*$C$864*$U$21)*$U$11+IF(AND(D$43&gt;=6,D$43&lt;=10),$G868*$G864/5,0)+IF(AND(D$43&gt;=7,D$43&lt;=11),$H868*$H864/5,0))*D866</f>
        <v>116.389502380926</v>
      </c>
      <c r="E876" s="35" t="n">
        <f aca="false">(IF($U$19=1,(SUMPRODUCT((Quesería!$C$62:$C$77=0)*(Quesería!$J$62:$J$77&gt;0)*(E$43&gt;=1)*(E$43&lt;=Quesería!$J$62:$J$77)*(Quesería!$H$62:$H$77&gt;0)*Quesería!$F$62:$F$77*(1+Quesería!$I$62:$I$77)/(Quesería!$J$62:$J$77+(Quesería!$J$62:$J$77=0)))+SUMPRODUCT((Quesería!$C$62:$C$77=0)*(Quesería!$J$62:$J$77=0)*(E$43=0)*(Quesería!$H$62:$H$77&gt;0)*Quesería!$F$62:$F$77*(1+Quesería!$I$62:$I$77)))*$B$864+(SUMPRODUCT((Quesería!$C$62:$C$77=1)*(Quesería!$J$62:$J$77&gt;0)*(E$43&gt;=2)*(E$43&lt;=Quesería!$J$62:$J$77+1)*(Quesería!$H$62:$H$77&gt;0)*Quesería!$F$62:$F$77*(1+Quesería!$I$62:$I$77)/(Quesería!$J$62:$J$77+(Quesería!$J$62:$J$77=0)))+SUMPRODUCT((Quesería!$C$62:$C$77=1)*(Quesería!$J$62:$J$77=0)*(E$43=1)*(Quesería!$H$62:$H$77&gt;0)*Quesería!$F$62:$F$77*(1+Quesería!$I$62:$I$77)))*$C$864*$U$21,IF(AND(E$43&gt;=1,E$43&lt;=Quesería!$B$11),Quesería!$F$80/Quesería!$B$11,0)*$B$864+IF(AND(E$43&gt;=2,E$43&lt;=Quesería!$B$11+1),Quesería!$F$81/Quesería!$B$11,0)*$C$864*$U$21)*$U$11+IF(AND(E$43&gt;=6,E$43&lt;=10),$G868*$G864/5,0)+IF(AND(E$43&gt;=7,E$43&lt;=11),$H868*$H864/5,0))*E866</f>
        <v>111.912983058583</v>
      </c>
      <c r="F876" s="35" t="n">
        <f aca="false">(IF($U$19=1,(SUMPRODUCT((Quesería!$C$62:$C$77=0)*(Quesería!$J$62:$J$77&gt;0)*(F$43&gt;=1)*(F$43&lt;=Quesería!$J$62:$J$77)*(Quesería!$H$62:$H$77&gt;0)*Quesería!$F$62:$F$77*(1+Quesería!$I$62:$I$77)/(Quesería!$J$62:$J$77+(Quesería!$J$62:$J$77=0)))+SUMPRODUCT((Quesería!$C$62:$C$77=0)*(Quesería!$J$62:$J$77=0)*(F$43=0)*(Quesería!$H$62:$H$77&gt;0)*Quesería!$F$62:$F$77*(1+Quesería!$I$62:$I$77)))*$B$864+(SUMPRODUCT((Quesería!$C$62:$C$77=1)*(Quesería!$J$62:$J$77&gt;0)*(F$43&gt;=2)*(F$43&lt;=Quesería!$J$62:$J$77+1)*(Quesería!$H$62:$H$77&gt;0)*Quesería!$F$62:$F$77*(1+Quesería!$I$62:$I$77)/(Quesería!$J$62:$J$77+(Quesería!$J$62:$J$77=0)))+SUMPRODUCT((Quesería!$C$62:$C$77=1)*(Quesería!$J$62:$J$77=0)*(F$43=1)*(Quesería!$H$62:$H$77&gt;0)*Quesería!$F$62:$F$77*(1+Quesería!$I$62:$I$77)))*$C$864*$U$21,IF(AND(F$43&gt;=1,F$43&lt;=Quesería!$B$11),Quesería!$F$80/Quesería!$B$11,0)*$B$864+IF(AND(F$43&gt;=2,F$43&lt;=Quesería!$B$11+1),Quesería!$F$81/Quesería!$B$11,0)*$C$864*$U$21)*$U$11+IF(AND(F$43&gt;=6,F$43&lt;=10),$G868*$G864/5,0)+IF(AND(F$43&gt;=7,F$43&lt;=11),$H868*$H864/5,0))*F866</f>
        <v>107.608637556329</v>
      </c>
      <c r="G876" s="35" t="n">
        <f aca="false">(IF($U$19=1,(SUMPRODUCT((Quesería!$C$62:$C$77=0)*(Quesería!$J$62:$J$77&gt;0)*(G$43&gt;=1)*(G$43&lt;=Quesería!$J$62:$J$77)*(Quesería!$H$62:$H$77&gt;0)*Quesería!$F$62:$F$77*(1+Quesería!$I$62:$I$77)/(Quesería!$J$62:$J$77+(Quesería!$J$62:$J$77=0)))+SUMPRODUCT((Quesería!$C$62:$C$77=0)*(Quesería!$J$62:$J$77=0)*(G$43=0)*(Quesería!$H$62:$H$77&gt;0)*Quesería!$F$62:$F$77*(1+Quesería!$I$62:$I$77)))*$B$864+(SUMPRODUCT((Quesería!$C$62:$C$77=1)*(Quesería!$J$62:$J$77&gt;0)*(G$43&gt;=2)*(G$43&lt;=Quesería!$J$62:$J$77+1)*(Quesería!$H$62:$H$77&gt;0)*Quesería!$F$62:$F$77*(1+Quesería!$I$62:$I$77)/(Quesería!$J$62:$J$77+(Quesería!$J$62:$J$77=0)))+SUMPRODUCT((Quesería!$C$62:$C$77=1)*(Quesería!$J$62:$J$77=0)*(G$43=1)*(Quesería!$H$62:$H$77&gt;0)*Quesería!$F$62:$F$77*(1+Quesería!$I$62:$I$77)))*$C$864*$U$21,IF(AND(G$43&gt;=1,G$43&lt;=Quesería!$B$11),Quesería!$F$80/Quesería!$B$11,0)*$B$864+IF(AND(G$43&gt;=2,G$43&lt;=Quesería!$B$11+1),Quesería!$F$81/Quesería!$B$11,0)*$C$864*$U$21)*$U$11+IF(AND(G$43&gt;=6,G$43&lt;=10),$G868*$G864/5,0)+IF(AND(G$43&gt;=7,G$43&lt;=11),$H868*$H864/5,0))*G866</f>
        <v>103.469843804163</v>
      </c>
      <c r="H876" s="35" t="n">
        <f aca="false">(IF($U$19=1,(SUMPRODUCT((Quesería!$C$62:$C$77=0)*(Quesería!$J$62:$J$77&gt;0)*(H$43&gt;=1)*(H$43&lt;=Quesería!$J$62:$J$77)*(Quesería!$H$62:$H$77&gt;0)*Quesería!$F$62:$F$77*(1+Quesería!$I$62:$I$77)/(Quesería!$J$62:$J$77+(Quesería!$J$62:$J$77=0)))+SUMPRODUCT((Quesería!$C$62:$C$77=0)*(Quesería!$J$62:$J$77=0)*(H$43=0)*(Quesería!$H$62:$H$77&gt;0)*Quesería!$F$62:$F$77*(1+Quesería!$I$62:$I$77)))*$B$864+(SUMPRODUCT((Quesería!$C$62:$C$77=1)*(Quesería!$J$62:$J$77&gt;0)*(H$43&gt;=2)*(H$43&lt;=Quesería!$J$62:$J$77+1)*(Quesería!$H$62:$H$77&gt;0)*Quesería!$F$62:$F$77*(1+Quesería!$I$62:$I$77)/(Quesería!$J$62:$J$77+(Quesería!$J$62:$J$77=0)))+SUMPRODUCT((Quesería!$C$62:$C$77=1)*(Quesería!$J$62:$J$77=0)*(H$43=1)*(Quesería!$H$62:$H$77&gt;0)*Quesería!$F$62:$F$77*(1+Quesería!$I$62:$I$77)))*$C$864*$U$21,IF(AND(H$43&gt;=1,H$43&lt;=Quesería!$B$11),Quesería!$F$80/Quesería!$B$11,0)*$B$864+IF(AND(H$43&gt;=2,H$43&lt;=Quesería!$B$11+1),Quesería!$F$81/Quesería!$B$11,0)*$C$864*$U$21)*$U$11+IF(AND(H$43&gt;=6,H$43&lt;=10),$G868*$G864/5,0)+IF(AND(H$43&gt;=7,H$43&lt;=11),$H868*$H864/5,0))*H866</f>
        <v>92.6731239063542</v>
      </c>
      <c r="I876" s="35" t="n">
        <f aca="false">(IF($U$19=1,(SUMPRODUCT((Quesería!$C$62:$C$77=0)*(Quesería!$J$62:$J$77&gt;0)*(I$43&gt;=1)*(I$43&lt;=Quesería!$J$62:$J$77)*(Quesería!$H$62:$H$77&gt;0)*Quesería!$F$62:$F$77*(1+Quesería!$I$62:$I$77)/(Quesería!$J$62:$J$77+(Quesería!$J$62:$J$77=0)))+SUMPRODUCT((Quesería!$C$62:$C$77=0)*(Quesería!$J$62:$J$77=0)*(I$43=0)*(Quesería!$H$62:$H$77&gt;0)*Quesería!$F$62:$F$77*(1+Quesería!$I$62:$I$77)))*$B$864+(SUMPRODUCT((Quesería!$C$62:$C$77=1)*(Quesería!$J$62:$J$77&gt;0)*(I$43&gt;=2)*(I$43&lt;=Quesería!$J$62:$J$77+1)*(Quesería!$H$62:$H$77&gt;0)*Quesería!$F$62:$F$77*(1+Quesería!$I$62:$I$77)/(Quesería!$J$62:$J$77+(Quesería!$J$62:$J$77=0)))+SUMPRODUCT((Quesería!$C$62:$C$77=1)*(Quesería!$J$62:$J$77=0)*(I$43=1)*(Quesería!$H$62:$H$77&gt;0)*Quesería!$F$62:$F$77*(1+Quesería!$I$62:$I$77)))*$C$864*$U$21,IF(AND(I$43&gt;=1,I$43&lt;=Quesería!$B$11),Quesería!$F$80/Quesería!$B$11,0)*$B$864+IF(AND(I$43&gt;=2,I$43&lt;=Quesería!$B$11+1),Quesería!$F$81/Quesería!$B$11,0)*$C$864*$U$21)*$U$11+IF(AND(I$43&gt;=6,I$43&lt;=10),$G868*$G864/5,0)+IF(AND(I$43&gt;=7,I$43&lt;=11),$H868*$H864/5,0))*I866</f>
        <v>95.8981101131611</v>
      </c>
      <c r="J876" s="35" t="n">
        <f aca="false">(IF($U$19=1,(SUMPRODUCT((Quesería!$C$62:$C$77=0)*(Quesería!$J$62:$J$77&gt;0)*(J$43&gt;=1)*(J$43&lt;=Quesería!$J$62:$J$77)*(Quesería!$H$62:$H$77&gt;0)*Quesería!$F$62:$F$77*(1+Quesería!$I$62:$I$77)/(Quesería!$J$62:$J$77+(Quesería!$J$62:$J$77=0)))+SUMPRODUCT((Quesería!$C$62:$C$77=0)*(Quesería!$J$62:$J$77=0)*(J$43=0)*(Quesería!$H$62:$H$77&gt;0)*Quesería!$F$62:$F$77*(1+Quesería!$I$62:$I$77)))*$B$864+(SUMPRODUCT((Quesería!$C$62:$C$77=1)*(Quesería!$J$62:$J$77&gt;0)*(J$43&gt;=2)*(J$43&lt;=Quesería!$J$62:$J$77+1)*(Quesería!$H$62:$H$77&gt;0)*Quesería!$F$62:$F$77*(1+Quesería!$I$62:$I$77)/(Quesería!$J$62:$J$77+(Quesería!$J$62:$J$77=0)))+SUMPRODUCT((Quesería!$C$62:$C$77=1)*(Quesería!$J$62:$J$77=0)*(J$43=1)*(Quesería!$H$62:$H$77&gt;0)*Quesería!$F$62:$F$77*(1+Quesería!$I$62:$I$77)))*$C$864*$U$21,IF(AND(J$43&gt;=1,J$43&lt;=Quesería!$B$11),Quesería!$F$80/Quesería!$B$11,0)*$B$864+IF(AND(J$43&gt;=2,J$43&lt;=Quesería!$B$11+1),Quesería!$F$81/Quesería!$B$11,0)*$C$864*$U$21)*$U$11+IF(AND(J$43&gt;=6,J$43&lt;=10),$G868*$G864/5,0)+IF(AND(J$43&gt;=7,J$43&lt;=11),$H868*$H864/5,0))*J866</f>
        <v>92.2097212626549</v>
      </c>
      <c r="K876" s="35" t="n">
        <f aca="false">(IF($U$19=1,(SUMPRODUCT((Quesería!$C$62:$C$77=0)*(Quesería!$J$62:$J$77&gt;0)*(K$43&gt;=1)*(K$43&lt;=Quesería!$J$62:$J$77)*(Quesería!$H$62:$H$77&gt;0)*Quesería!$F$62:$F$77*(1+Quesería!$I$62:$I$77)/(Quesería!$J$62:$J$77+(Quesería!$J$62:$J$77=0)))+SUMPRODUCT((Quesería!$C$62:$C$77=0)*(Quesería!$J$62:$J$77=0)*(K$43=0)*(Quesería!$H$62:$H$77&gt;0)*Quesería!$F$62:$F$77*(1+Quesería!$I$62:$I$77)))*$B$864+(SUMPRODUCT((Quesería!$C$62:$C$77=1)*(Quesería!$J$62:$J$77&gt;0)*(K$43&gt;=2)*(K$43&lt;=Quesería!$J$62:$J$77+1)*(Quesería!$H$62:$H$77&gt;0)*Quesería!$F$62:$F$77*(1+Quesería!$I$62:$I$77)/(Quesería!$J$62:$J$77+(Quesería!$J$62:$J$77=0)))+SUMPRODUCT((Quesería!$C$62:$C$77=1)*(Quesería!$J$62:$J$77=0)*(K$43=1)*(Quesería!$H$62:$H$77&gt;0)*Quesería!$F$62:$F$77*(1+Quesería!$I$62:$I$77)))*$C$864*$U$21,IF(AND(K$43&gt;=1,K$43&lt;=Quesería!$B$11),Quesería!$F$80/Quesería!$B$11,0)*$B$864+IF(AND(K$43&gt;=2,K$43&lt;=Quesería!$B$11+1),Quesería!$F$81/Quesería!$B$11,0)*$C$864*$U$21)*$U$11+IF(AND(K$43&gt;=6,K$43&lt;=10),$G868*$G864/5,0)+IF(AND(K$43&gt;=7,K$43&lt;=11),$H868*$H864/5,0))*K866</f>
        <v>88.6631935217835</v>
      </c>
      <c r="L876" s="35" t="n">
        <f aca="false">(IF($U$19=1,(SUMPRODUCT((Quesería!$C$62:$C$77=0)*(Quesería!$J$62:$J$77&gt;0)*(L$43&gt;=1)*(L$43&lt;=Quesería!$J$62:$J$77)*(Quesería!$H$62:$H$77&gt;0)*Quesería!$F$62:$F$77*(1+Quesería!$I$62:$I$77)/(Quesería!$J$62:$J$77+(Quesería!$J$62:$J$77=0)))+SUMPRODUCT((Quesería!$C$62:$C$77=0)*(Quesería!$J$62:$J$77=0)*(L$43=0)*(Quesería!$H$62:$H$77&gt;0)*Quesería!$F$62:$F$77*(1+Quesería!$I$62:$I$77)))*$B$864+(SUMPRODUCT((Quesería!$C$62:$C$77=1)*(Quesería!$J$62:$J$77&gt;0)*(L$43&gt;=2)*(L$43&lt;=Quesería!$J$62:$J$77+1)*(Quesería!$H$62:$H$77&gt;0)*Quesería!$F$62:$F$77*(1+Quesería!$I$62:$I$77)/(Quesería!$J$62:$J$77+(Quesería!$J$62:$J$77=0)))+SUMPRODUCT((Quesería!$C$62:$C$77=1)*(Quesería!$J$62:$J$77=0)*(L$43=1)*(Quesería!$H$62:$H$77&gt;0)*Quesería!$F$62:$F$77*(1+Quesería!$I$62:$I$77)))*$C$864*$U$21,IF(AND(L$43&gt;=1,L$43&lt;=Quesería!$B$11),Quesería!$F$80/Quesería!$B$11,0)*$B$864+IF(AND(L$43&gt;=2,L$43&lt;=Quesería!$B$11+1),Quesería!$F$81/Quesería!$B$11,0)*$C$864*$U$21)*$U$11+IF(AND(L$43&gt;=6,L$43&lt;=10),$G868*$G864/5,0)+IF(AND(L$43&gt;=7,L$43&lt;=11),$H868*$H864/5,0))*L866</f>
        <v>85.2530706940226</v>
      </c>
    </row>
    <row r="877" customFormat="false" ht="15" hidden="false" customHeight="false" outlineLevel="0" collapsed="false">
      <c r="A877" s="9" t="s">
        <v>292</v>
      </c>
      <c r="B877" s="36" t="n">
        <f aca="false">IF(B$43=1,MIN($U$7*Quesería!$B$35*Quesería!$F$75*$U$11*$U$21,Quesería!$B$50*Quesería!$B$51),0)</f>
        <v>0</v>
      </c>
      <c r="C877" s="36" t="n">
        <f aca="false">IF(C$43=1,MIN($U$7*Quesería!$B$35*Quesería!$F$75*$U$11*$U$21,Quesería!$B$50*Quesería!$B$51),0)</f>
        <v>20</v>
      </c>
      <c r="D877" s="36" t="n">
        <f aca="false">IF(D$43=1,MIN($U$7*Quesería!$B$35*Quesería!$F$75*$U$11*$U$21,Quesería!$B$50*Quesería!$B$51),0)</f>
        <v>0</v>
      </c>
      <c r="E877" s="36" t="n">
        <f aca="false">IF(E$43=1,MIN($U$7*Quesería!$B$35*Quesería!$F$75*$U$11*$U$21,Quesería!$B$50*Quesería!$B$51),0)</f>
        <v>0</v>
      </c>
      <c r="F877" s="36" t="n">
        <f aca="false">IF(F$43=1,MIN($U$7*Quesería!$B$35*Quesería!$F$75*$U$11*$U$21,Quesería!$B$50*Quesería!$B$51),0)</f>
        <v>0</v>
      </c>
      <c r="G877" s="36" t="n">
        <f aca="false">IF(G$43=1,MIN($U$7*Quesería!$B$35*Quesería!$F$75*$U$11*$U$21,Quesería!$B$50*Quesería!$B$51),0)</f>
        <v>0</v>
      </c>
      <c r="H877" s="36" t="n">
        <f aca="false">IF(H$43=1,MIN($U$7*Quesería!$B$35*Quesería!$F$75*$U$11*$U$21,Quesería!$B$50*Quesería!$B$51),0)</f>
        <v>0</v>
      </c>
      <c r="I877" s="36" t="n">
        <f aca="false">IF(I$43=1,MIN($U$7*Quesería!$B$35*Quesería!$F$75*$U$11*$U$21,Quesería!$B$50*Quesería!$B$51),0)</f>
        <v>0</v>
      </c>
      <c r="J877" s="36" t="n">
        <f aca="false">IF(J$43=1,MIN($U$7*Quesería!$B$35*Quesería!$F$75*$U$11*$U$21,Quesería!$B$50*Quesería!$B$51),0)</f>
        <v>0</v>
      </c>
      <c r="K877" s="36" t="n">
        <f aca="false">IF(K$43=1,MIN($U$7*Quesería!$B$35*Quesería!$F$75*$U$11*$U$21,Quesería!$B$50*Quesería!$B$51),0)</f>
        <v>0</v>
      </c>
      <c r="L877" s="36" t="n">
        <f aca="false">IF(L$43=1,MIN($U$7*Quesería!$B$35*Quesería!$F$75*$U$11*$U$21,Quesería!$B$50*Quesería!$B$51),0)</f>
        <v>0</v>
      </c>
    </row>
    <row r="878" customFormat="false" ht="15" hidden="false" customHeight="false" outlineLevel="0" collapsed="false">
      <c r="A878" s="9" t="s">
        <v>293</v>
      </c>
      <c r="B878" s="36" t="n">
        <v>0</v>
      </c>
      <c r="C878" s="36" t="n">
        <f aca="false">$U$20*Quesería!$B$52*Quesería!$F$86*$U$11*$B$864/C864</f>
        <v>0</v>
      </c>
      <c r="D878" s="36" t="n">
        <v>0</v>
      </c>
      <c r="E878" s="36" t="n">
        <v>0</v>
      </c>
      <c r="F878" s="36" t="n">
        <v>0</v>
      </c>
      <c r="G878" s="36" t="n">
        <v>0</v>
      </c>
      <c r="H878" s="36" t="n">
        <v>0</v>
      </c>
      <c r="I878" s="36" t="n">
        <v>0</v>
      </c>
      <c r="J878" s="36" t="n">
        <v>0</v>
      </c>
      <c r="K878" s="36" t="n">
        <v>0</v>
      </c>
      <c r="L878" s="36" t="n">
        <v>0</v>
      </c>
    </row>
    <row r="879" customFormat="false" ht="15" hidden="false" customHeight="false" outlineLevel="0" collapsed="false">
      <c r="A879" s="9" t="s">
        <v>294</v>
      </c>
      <c r="B879" s="36" t="n">
        <f aca="false">0</f>
        <v>0</v>
      </c>
      <c r="C879" s="36" t="n">
        <f aca="false">B869*B864/C864</f>
        <v>94.6170242743742</v>
      </c>
      <c r="D879" s="36" t="n">
        <f aca="false">C869*C864/D864</f>
        <v>117.321834287022</v>
      </c>
      <c r="E879" s="36" t="n">
        <f aca="false">D869*D864/E864</f>
        <v>0</v>
      </c>
      <c r="F879" s="36" t="n">
        <f aca="false">E869*E864/F864</f>
        <v>0</v>
      </c>
      <c r="G879" s="36" t="n">
        <f aca="false">F869*F864/G864</f>
        <v>0</v>
      </c>
      <c r="H879" s="36" t="n">
        <f aca="false">G869*G864/H864</f>
        <v>4.87179487179487</v>
      </c>
      <c r="I879" s="36" t="n">
        <f aca="false">H869*H864/I864</f>
        <v>6.44987026996795</v>
      </c>
      <c r="J879" s="36" t="n">
        <f aca="false">I869*I864/J864</f>
        <v>0</v>
      </c>
      <c r="K879" s="36" t="n">
        <f aca="false">J869*J864/K864</f>
        <v>0</v>
      </c>
      <c r="L879" s="36" t="n">
        <f aca="false">K869*K864/L864</f>
        <v>0</v>
      </c>
    </row>
    <row r="880" customFormat="false" ht="15" hidden="false" customHeight="false" outlineLevel="0" collapsed="false">
      <c r="A880" s="6" t="s">
        <v>86</v>
      </c>
      <c r="B880" s="35" t="n">
        <f aca="false">$U$17*(B872-B873-B874-0.5*B875-B876)-B877-B878-B879</f>
        <v>-19.3080576189439</v>
      </c>
      <c r="C880" s="35" t="n">
        <f aca="false">$U$17*(C872-C873-C874-0.5*C875-C876)-C877-C878-C879</f>
        <v>-106.563561641212</v>
      </c>
      <c r="D880" s="35" t="n">
        <f aca="false">$U$17*(D872-D873-D874-0.5*D875-D876)-D877-D878-D879</f>
        <v>-55.9277356881633</v>
      </c>
      <c r="E880" s="35" t="n">
        <f aca="false">$U$17*(E872-E873-E874-0.5*E875-E876)-E877-E878-E879</f>
        <v>75.7936041207186</v>
      </c>
      <c r="F880" s="35" t="n">
        <f aca="false">$U$17*(F872-F873-F874-0.5*F875-F876)-F877-F878-F879</f>
        <v>77.4738068902017</v>
      </c>
      <c r="G880" s="35" t="n">
        <f aca="false">$U$17*(G872-G873-G874-0.5*G875-G876)-G877-G878-G879</f>
        <v>79.0747216230395</v>
      </c>
      <c r="H880" s="35" t="n">
        <f aca="false">$U$17*(H872-H873-H874-0.5*H875-H876)-H877-H878-H879</f>
        <v>78.1500063602923</v>
      </c>
      <c r="I880" s="35" t="n">
        <f aca="false">$U$17*(I872-I873-I874-0.5*I875-I876)-I877-I878-I879</f>
        <v>75.6488946016313</v>
      </c>
      <c r="J880" s="35" t="n">
        <f aca="false">$U$17*(J872-J873-J874-0.5*J875-J876)-J877-J878-J879</f>
        <v>83.5668825890707</v>
      </c>
      <c r="K880" s="35" t="n">
        <f aca="false">$U$17*(K872-K873-K874-0.5*K875-K876)-K877-K878-K879</f>
        <v>84.986234826269</v>
      </c>
      <c r="L880" s="35" t="n">
        <f aca="false">$U$17*(L872-L873-L874-0.5*L875-L876)-L877-L878-L879</f>
        <v>86.3587356815181</v>
      </c>
    </row>
    <row r="881" customFormat="false" ht="15" hidden="false" customHeight="false" outlineLevel="0" collapsed="false">
      <c r="A881" s="9" t="s">
        <v>295</v>
      </c>
      <c r="B881" s="36" t="n">
        <f aca="false">(IF(B$43&gt;=1,Quesería!$G$107*IF(B$43=1,Quesería!$B$12,1),Quesería!$G$107*Quesería!$B$12*Quesería!$B$13/12*$U$23)+IF(B$43&gt;=2,Quesería!$G$108*$U$21*IF(B$43=2,Quesería!$B$12,1),0))*$U$10</f>
        <v>26.8516916045565</v>
      </c>
      <c r="C881" s="36" t="n">
        <f aca="false">(IF(C$43&gt;=1,Quesería!$G$107*IF(C$43=1,Quesería!$B$12,1),Quesería!$G$107*Quesería!$B$12*Quesería!$B$13/12*$U$23)+IF(C$43&gt;=2,Quesería!$G$108*$U$21*IF(C$43=2,Quesería!$B$12,1),0))*$U$10</f>
        <v>80.5550748136695</v>
      </c>
      <c r="D881" s="36" t="n">
        <f aca="false">(IF(D$43&gt;=1,Quesería!$G$107*IF(D$43=1,Quesería!$B$12,1),Quesería!$G$107*Quesería!$B$12*Quesería!$B$13/12*$U$23)+IF(D$43&gt;=2,Quesería!$G$108*$U$21*IF(D$43=2,Quesería!$B$12,1),0))*$U$10</f>
        <v>189.651223070959</v>
      </c>
      <c r="E881" s="36" t="n">
        <f aca="false">(IF(E$43&gt;=1,Quesería!$G$107*IF(E$43=1,Quesería!$B$12,1),Quesería!$G$107*Quesería!$B$12*Quesería!$B$13/12*$U$23)+IF(E$43&gt;=2,Quesería!$G$108*$U$21*IF(E$43=2,Quesería!$B$12,1),0))*$U$10</f>
        <v>217.066041955203</v>
      </c>
      <c r="F881" s="36" t="n">
        <f aca="false">(IF(F$43&gt;=1,Quesería!$G$107*IF(F$43=1,Quesería!$B$12,1),Quesería!$G$107*Quesería!$B$12*Quesería!$B$13/12*$U$23)+IF(F$43&gt;=2,Quesería!$G$108*$U$21*IF(F$43=2,Quesería!$B$12,1),0))*$U$10</f>
        <v>217.066041955203</v>
      </c>
      <c r="G881" s="36" t="n">
        <f aca="false">(IF(G$43&gt;=1,Quesería!$G$107*IF(G$43=1,Quesería!$B$12,1),Quesería!$G$107*Quesería!$B$12*Quesería!$B$13/12*$U$23)+IF(G$43&gt;=2,Quesería!$G$108*$U$21*IF(G$43=2,Quesería!$B$12,1),0))*$U$10</f>
        <v>217.066041955203</v>
      </c>
      <c r="H881" s="36" t="n">
        <f aca="false">(IF(H$43&gt;=1,Quesería!$G$107*IF(H$43=1,Quesería!$B$12,1),Quesería!$G$107*Quesería!$B$12*Quesería!$B$13/12*$U$23)+IF(H$43&gt;=2,Quesería!$G$108*$U$21*IF(H$43=2,Quesería!$B$12,1),0))*$U$10</f>
        <v>217.066041955203</v>
      </c>
      <c r="I881" s="36" t="n">
        <f aca="false">(IF(I$43&gt;=1,Quesería!$G$107*IF(I$43=1,Quesería!$B$12,1),Quesería!$G$107*Quesería!$B$12*Quesería!$B$13/12*$U$23)+IF(I$43&gt;=2,Quesería!$G$108*$U$21*IF(I$43=2,Quesería!$B$12,1),0))*$U$10</f>
        <v>217.066041955203</v>
      </c>
      <c r="J881" s="36" t="n">
        <f aca="false">(IF(J$43&gt;=1,Quesería!$G$107*IF(J$43=1,Quesería!$B$12,1),Quesería!$G$107*Quesería!$B$12*Quesería!$B$13/12*$U$23)+IF(J$43&gt;=2,Quesería!$G$108*$U$21*IF(J$43=2,Quesería!$B$12,1),0))*$U$10</f>
        <v>217.066041955203</v>
      </c>
      <c r="K881" s="36" t="n">
        <f aca="false">(IF(K$43&gt;=1,Quesería!$G$107*IF(K$43=1,Quesería!$B$12,1),Quesería!$G$107*Quesería!$B$12*Quesería!$B$13/12*$U$23)+IF(K$43&gt;=2,Quesería!$G$108*$U$21*IF(K$43=2,Quesería!$B$12,1),0))*$U$10</f>
        <v>217.066041955203</v>
      </c>
      <c r="L881" s="36" t="n">
        <f aca="false">(IF(L$43&gt;=1,Quesería!$G$107*IF(L$43=1,Quesería!$B$12,1),Quesería!$G$107*Quesería!$B$12*Quesería!$B$13/12*$U$23)+IF(L$43&gt;=2,Quesería!$G$108*$U$21*IF(L$43=2,Quesería!$B$12,1),0))*$U$10</f>
        <v>217.066041955203</v>
      </c>
    </row>
    <row r="882" customFormat="false" ht="15" hidden="false" customHeight="false" outlineLevel="0" collapsed="false">
      <c r="A882" s="6" t="s">
        <v>296</v>
      </c>
      <c r="B882" s="35" t="n">
        <f aca="false">(B881*(Quesería!$B$23+Quesería!$B$25*Quesería!$B$24)/365-B873*Quesería!$B$26/365)</f>
        <v>2.50861009237089</v>
      </c>
      <c r="C882" s="35" t="n">
        <f aca="false">(C881*(Quesería!$B$23+Quesería!$B$25*Quesería!$B$24)/365-C873*Quesería!$B$26/365)-(B881*(Quesería!$B$23+Quesería!$B$25*Quesería!$B$24)/365-B873*Quesería!$B$26/365)*B864/C864</f>
        <v>2.91304119724236</v>
      </c>
      <c r="D882" s="35" t="n">
        <f aca="false">(D881*(Quesería!$B$23+Quesería!$B$25*Quesería!$B$24)/365-D873*Quesería!$B$26/365)-(C881*(Quesería!$B$23+Quesería!$B$25*Quesería!$B$24)/365-C873*Quesería!$B$26/365)*C864/D864</f>
        <v>7.29151021833416</v>
      </c>
      <c r="E882" s="35" t="n">
        <f aca="false">(E881*(Quesería!$B$23+Quesería!$B$25*Quesería!$B$24)/365-E873*Quesería!$B$26/365)-(D881*(Quesería!$B$23+Quesería!$B$25*Quesería!$B$24)/365-D873*Quesería!$B$26/365)*D864/E864</f>
        <v>3.03681159467532</v>
      </c>
      <c r="F882" s="35" t="n">
        <f aca="false">(F881*(Quesería!$B$23+Quesería!$B$25*Quesería!$B$24)/365-F873*Quesería!$B$26/365)-(E881*(Quesería!$B$23+Quesería!$B$25*Quesería!$B$24)/365-E873*Quesería!$B$26/365)*E864/F864</f>
        <v>0.574099993113848</v>
      </c>
      <c r="G882" s="35" t="n">
        <f aca="false">(G881*(Quesería!$B$23+Quesería!$B$25*Quesería!$B$24)/365-G873*Quesería!$B$26/365)-(F881*(Quesería!$B$23+Quesería!$B$25*Quesería!$B$24)/365-F873*Quesería!$B$26/365)*F864/G864</f>
        <v>0.574099993113849</v>
      </c>
      <c r="H882" s="35" t="n">
        <f aca="false">(H881*(Quesería!$B$23+Quesería!$B$25*Quesería!$B$24)/365-H873*Quesería!$B$26/365)-(G881*(Quesería!$B$23+Quesería!$B$25*Quesería!$B$24)/365-G873*Quesería!$B$26/365)*G864/H864</f>
        <v>0.574099993113848</v>
      </c>
      <c r="I882" s="35" t="n">
        <f aca="false">(I881*(Quesería!$B$23+Quesería!$B$25*Quesería!$B$24)/365-I873*Quesería!$B$26/365)-(H881*(Quesería!$B$23+Quesería!$B$25*Quesería!$B$24)/365-H873*Quesería!$B$26/365)*H864/I864</f>
        <v>0.574099993113846</v>
      </c>
      <c r="J882" s="35" t="n">
        <f aca="false">(J881*(Quesería!$B$23+Quesería!$B$25*Quesería!$B$24)/365-J873*Quesería!$B$26/365)-(I881*(Quesería!$B$23+Quesería!$B$25*Quesería!$B$24)/365-I873*Quesería!$B$26/365)*I864/J864</f>
        <v>0.574099993113849</v>
      </c>
      <c r="K882" s="35" t="n">
        <f aca="false">(K881*(Quesería!$B$23+Quesería!$B$25*Quesería!$B$24)/365-K873*Quesería!$B$26/365)-(J881*(Quesería!$B$23+Quesería!$B$25*Quesería!$B$24)/365-J873*Quesería!$B$26/365)*J864/K864</f>
        <v>0.574099993113848</v>
      </c>
      <c r="L882" s="35" t="n">
        <f aca="false">-(K881*(Quesería!$B$23+Quesería!$B$25*Quesería!$B$24)/365-K873*Quesería!$B$26/365)*K864/L864</f>
        <v>-14.3524998278462</v>
      </c>
    </row>
    <row r="883" customFormat="false" ht="15" hidden="false" customHeight="false" outlineLevel="0" collapsed="false">
      <c r="A883" s="6" t="s">
        <v>297</v>
      </c>
      <c r="B883" s="35" t="n">
        <v>0</v>
      </c>
      <c r="C883" s="35" t="n">
        <v>0</v>
      </c>
      <c r="D883" s="35" t="n">
        <v>0</v>
      </c>
      <c r="E883" s="35" t="n">
        <v>0</v>
      </c>
      <c r="F883" s="35" t="n">
        <v>0</v>
      </c>
      <c r="G883" s="35" t="n">
        <v>0</v>
      </c>
      <c r="H883" s="35" t="n">
        <v>0</v>
      </c>
      <c r="I883" s="35" t="n">
        <v>0</v>
      </c>
      <c r="J883" s="35" t="n">
        <v>0</v>
      </c>
      <c r="K883" s="35" t="n">
        <v>0</v>
      </c>
      <c r="L883" s="35" t="n">
        <f aca="false">$U$8*Quesería!$B$39*(Quesería!$F$82+Quesería!$F$83*$U$21)*$U$11*(1-$U$17)</f>
        <v>56.0502928201667</v>
      </c>
    </row>
    <row r="884" customFormat="false" ht="15" hidden="false" customHeight="false" outlineLevel="0" collapsed="false">
      <c r="A884" s="5" t="s">
        <v>298</v>
      </c>
      <c r="B884" s="37" t="n">
        <f aca="false">B872-B873-B874-B875-B880-B867-B868-B869-B882+B883</f>
        <v>-662.041045072899</v>
      </c>
      <c r="C884" s="37" t="n">
        <f aca="false">C872-C873-C874-C875-C880-C867-C868-C869-C882+C883</f>
        <v>-585.757531015209</v>
      </c>
      <c r="D884" s="37" t="n">
        <f aca="false">D872-D873-D874-D875-D880-D867-D868-D869-D882+D883</f>
        <v>340.259825124479</v>
      </c>
      <c r="E884" s="37" t="n">
        <f aca="false">E872-E873-E874-E875-E880-E867-E868-E869-E882+E883</f>
        <v>249.458108965084</v>
      </c>
      <c r="F884" s="37" t="n">
        <f aca="false">F872-F873-F874-F875-F880-F867-F868-F869-F882+F883</f>
        <v>250.736851636289</v>
      </c>
      <c r="G884" s="37" t="n">
        <f aca="false">G872-G873-G874-G875-G880-G867-G868-G869-G882+G883</f>
        <v>217.774385245107</v>
      </c>
      <c r="H884" s="37" t="n">
        <f aca="false">H872-H873-H874-H875-H880-H867-H868-H869-H882+H883</f>
        <v>208.880107947902</v>
      </c>
      <c r="I884" s="37" t="n">
        <f aca="false">I872-I873-I874-I875-I880-I867-I868-I869-I882+I883</f>
        <v>254.065402142827</v>
      </c>
      <c r="J884" s="37" t="n">
        <f aca="false">J872-J873-J874-J875-J880-J867-J868-J869-J882+J883</f>
        <v>246.6536473548</v>
      </c>
      <c r="K884" s="37" t="n">
        <f aca="false">K872-K873-K874-K875-K880-K867-K868-K869-K882+K883</f>
        <v>245.743059483011</v>
      </c>
      <c r="L884" s="37" t="n">
        <f aca="false">L872-L873-L874-L875-L880-L867-L868-L869-L882+L883</f>
        <v>315.858759456126</v>
      </c>
    </row>
    <row r="885" customFormat="false" ht="15" hidden="false" customHeight="false" outlineLevel="0" collapsed="false">
      <c r="A885" s="9" t="s">
        <v>299</v>
      </c>
      <c r="B885" s="36" t="n">
        <f aca="false">B884*B864</f>
        <v>-701.763507777273</v>
      </c>
      <c r="C885" s="36" t="n">
        <f aca="false">C884*C864</f>
        <v>-651.948132019928</v>
      </c>
      <c r="D885" s="36" t="n">
        <f aca="false">D884*D864</f>
        <v>395.751098704905</v>
      </c>
      <c r="E885" s="36" t="n">
        <f aca="false">E884*E864</f>
        <v>301.746624052281</v>
      </c>
      <c r="F885" s="36" t="n">
        <f aca="false">F884*F864</f>
        <v>315.425138005962</v>
      </c>
      <c r="G885" s="36" t="n">
        <f aca="false">G884*G864</f>
        <v>284.916938514219</v>
      </c>
      <c r="H885" s="36" t="n">
        <f aca="false">H884*H864</f>
        <v>284.211662626415</v>
      </c>
      <c r="I885" s="36" t="n">
        <f aca="false">I884*I864</f>
        <v>359.520516869641</v>
      </c>
      <c r="J885" s="36" t="n">
        <f aca="false">J884*J864</f>
        <v>362.993653910916</v>
      </c>
      <c r="K885" s="36" t="n">
        <f aca="false">K884*K864</f>
        <v>376.119708438521</v>
      </c>
      <c r="L885" s="36" t="n">
        <f aca="false">L884*L864</f>
        <v>502.772012991512</v>
      </c>
    </row>
    <row r="886" customFormat="false" ht="15" hidden="false" customHeight="false" outlineLevel="0" collapsed="false">
      <c r="A886" s="6" t="s">
        <v>300</v>
      </c>
      <c r="B886" s="35" t="n">
        <f aca="false">B884</f>
        <v>-662.041045072899</v>
      </c>
      <c r="C886" s="35" t="n">
        <f aca="false">B886+C884</f>
        <v>-1247.79857608811</v>
      </c>
      <c r="D886" s="35" t="n">
        <f aca="false">C886+D884</f>
        <v>-907.538750963628</v>
      </c>
      <c r="E886" s="35" t="n">
        <f aca="false">D886+E884</f>
        <v>-658.080641998544</v>
      </c>
      <c r="F886" s="35" t="n">
        <f aca="false">E886+F884</f>
        <v>-407.343790362255</v>
      </c>
      <c r="G886" s="35" t="n">
        <f aca="false">F886+G884</f>
        <v>-189.569405117147</v>
      </c>
      <c r="H886" s="35" t="n">
        <f aca="false">G886+H884</f>
        <v>19.3107028307551</v>
      </c>
      <c r="I886" s="35" t="n">
        <f aca="false">H886+I884</f>
        <v>273.376104973582</v>
      </c>
      <c r="J886" s="35" t="n">
        <f aca="false">I886+J884</f>
        <v>520.029752328383</v>
      </c>
      <c r="K886" s="35" t="n">
        <f aca="false">J886+K884</f>
        <v>765.772811811394</v>
      </c>
      <c r="L886" s="35" t="n">
        <f aca="false">K886+L884</f>
        <v>1081.63157126752</v>
      </c>
    </row>
    <row r="887" customFormat="false" ht="15" hidden="false" customHeight="false" outlineLevel="0" collapsed="false">
      <c r="A887" s="9" t="s">
        <v>301</v>
      </c>
      <c r="B887" s="38" t="n">
        <v>0</v>
      </c>
      <c r="C887" s="38" t="n">
        <f aca="false">IF(AND(B886&lt;0,C886&gt;=0),B$43+(-B886)/C884,0)</f>
        <v>0</v>
      </c>
      <c r="D887" s="38" t="n">
        <f aca="false">IF(AND(C886&lt;0,D886&gt;=0),C$43+(-C886)/D884,0)</f>
        <v>0</v>
      </c>
      <c r="E887" s="38" t="n">
        <f aca="false">IF(AND(D886&lt;0,E886&gt;=0),D$43+(-D886)/E884,0)</f>
        <v>0</v>
      </c>
      <c r="F887" s="38" t="n">
        <f aca="false">IF(AND(E886&lt;0,F886&gt;=0),E$43+(-E886)/F884,0)</f>
        <v>0</v>
      </c>
      <c r="G887" s="38" t="n">
        <f aca="false">IF(AND(F886&lt;0,G886&gt;=0),F$43+(-F886)/G884,0)</f>
        <v>0</v>
      </c>
      <c r="H887" s="38" t="n">
        <f aca="false">IF(AND(G886&lt;0,H886&gt;=0),G$43+(-G886)/H884,0)</f>
        <v>5.90755125980895</v>
      </c>
      <c r="I887" s="38" t="n">
        <f aca="false">IF(AND(H886&lt;0,I886&gt;=0),H$43+(-H886)/I884,0)</f>
        <v>0</v>
      </c>
      <c r="J887" s="38" t="n">
        <f aca="false">IF(AND(I886&lt;0,J886&gt;=0),I$43+(-I886)/J884,0)</f>
        <v>0</v>
      </c>
      <c r="K887" s="38" t="n">
        <f aca="false">IF(AND(J886&lt;0,K886&gt;=0),J$43+(-J886)/K884,0)</f>
        <v>0</v>
      </c>
      <c r="L887" s="38" t="n">
        <f aca="false">IF(AND(K886&lt;0,L886&gt;=0),K$43+(-K886)/L884,0)</f>
        <v>0</v>
      </c>
    </row>
    <row r="888" customFormat="false" ht="15" hidden="false" customHeight="false" outlineLevel="0" collapsed="false">
      <c r="A888" s="9" t="s">
        <v>302</v>
      </c>
      <c r="B888" s="34" t="n">
        <f aca="false">(B864/$B$864)/(1+$U$25)^B$43</f>
        <v>1</v>
      </c>
      <c r="C888" s="34" t="n">
        <f aca="false">(C864/$B$864)/(1+$U$25)^C$43</f>
        <v>0.913099173340447</v>
      </c>
      <c r="D888" s="34" t="n">
        <f aca="false">(D864/$B$864)/(1+$U$25)^D$43</f>
        <v>0.829779861781889</v>
      </c>
      <c r="E888" s="34" t="n">
        <f aca="false">(E864/$B$864)/(1+$U$25)^E$43</f>
        <v>0.750455388649045</v>
      </c>
      <c r="F888" s="34" t="n">
        <f aca="false">(F864/$B$864)/(1+$U$25)^F$43</f>
        <v>0.678714097909047</v>
      </c>
      <c r="G888" s="34" t="n">
        <f aca="false">(G864/$B$864)/(1+$U$25)^G$43</f>
        <v>0.613831060004446</v>
      </c>
      <c r="H888" s="34" t="n">
        <f aca="false">(H864/$B$864)/(1+$U$25)^H$43</f>
        <v>0.55515064647541</v>
      </c>
      <c r="I888" s="34" t="n">
        <f aca="false">(I864/$B$864)/(1+$U$25)^I$43</f>
        <v>0.502079904982053</v>
      </c>
      <c r="J888" s="34" t="n">
        <f aca="false">(J864/$B$864)/(1+$U$25)^J$43</f>
        <v>0.45408256765482</v>
      </c>
      <c r="K888" s="34" t="n">
        <f aca="false">(K864/$B$864)/(1+$U$25)^K$43</f>
        <v>0.410673632228649</v>
      </c>
      <c r="L888" s="34" t="n">
        <f aca="false">(L864/$B$864)/(1+$U$25)^L$43</f>
        <v>0.371414461204501</v>
      </c>
    </row>
    <row r="889" customFormat="false" ht="15" hidden="false" customHeight="false" outlineLevel="0" collapsed="false">
      <c r="A889" s="9" t="s">
        <v>303</v>
      </c>
      <c r="B889" s="36" t="n">
        <f aca="false">B884*B888</f>
        <v>-662.041045072899</v>
      </c>
      <c r="C889" s="36" t="n">
        <f aca="false">C884*C888</f>
        <v>-534.854717347929</v>
      </c>
      <c r="D889" s="36" t="n">
        <f aca="false">D884*D888</f>
        <v>282.34075066172</v>
      </c>
      <c r="E889" s="36" t="n">
        <f aca="false">E884*E888</f>
        <v>187.207182115048</v>
      </c>
      <c r="F889" s="36" t="n">
        <f aca="false">F884*F888</f>
        <v>170.178636070879</v>
      </c>
      <c r="G889" s="36" t="n">
        <f aca="false">G884*G888</f>
        <v>133.676681736821</v>
      </c>
      <c r="H889" s="36" t="n">
        <f aca="false">H884*H888</f>
        <v>115.959926963131</v>
      </c>
      <c r="I889" s="36" t="n">
        <f aca="false">I884*I888</f>
        <v>127.561132967098</v>
      </c>
      <c r="J889" s="36" t="n">
        <f aca="false">J884*J888</f>
        <v>112.001121512294</v>
      </c>
      <c r="K889" s="36" t="n">
        <f aca="false">K884*K888</f>
        <v>100.920194832869</v>
      </c>
      <c r="L889" s="36" t="n">
        <f aca="false">L884*L888</f>
        <v>117.314510960119</v>
      </c>
    </row>
    <row r="890" customFormat="false" ht="15" hidden="false" customHeight="false" outlineLevel="0" collapsed="false">
      <c r="A890" s="9" t="s">
        <v>304</v>
      </c>
      <c r="B890" s="36" t="n">
        <f aca="false">B889</f>
        <v>-662.041045072899</v>
      </c>
      <c r="C890" s="36" t="n">
        <f aca="false">B890+C889</f>
        <v>-1196.89576242083</v>
      </c>
      <c r="D890" s="36" t="n">
        <f aca="false">C890+D889</f>
        <v>-914.555011759107</v>
      </c>
      <c r="E890" s="36" t="n">
        <f aca="false">D890+E889</f>
        <v>-727.347829644059</v>
      </c>
      <c r="F890" s="36" t="n">
        <f aca="false">E890+F889</f>
        <v>-557.169193573181</v>
      </c>
      <c r="G890" s="36" t="n">
        <f aca="false">F890+G889</f>
        <v>-423.49251183636</v>
      </c>
      <c r="H890" s="36" t="n">
        <f aca="false">G890+H889</f>
        <v>-307.532584873228</v>
      </c>
      <c r="I890" s="36" t="n">
        <f aca="false">H890+I889</f>
        <v>-179.97145190613</v>
      </c>
      <c r="J890" s="36" t="n">
        <f aca="false">I890+J889</f>
        <v>-67.9703303938361</v>
      </c>
      <c r="K890" s="36" t="n">
        <f aca="false">J890+K889</f>
        <v>32.9498644390331</v>
      </c>
      <c r="L890" s="36" t="n">
        <f aca="false">K890+L889</f>
        <v>150.264375399152</v>
      </c>
    </row>
    <row r="891" customFormat="false" ht="15" hidden="false" customHeight="false" outlineLevel="0" collapsed="false">
      <c r="A891" s="9" t="s">
        <v>305</v>
      </c>
      <c r="B891" s="38" t="n">
        <v>0</v>
      </c>
      <c r="C891" s="38" t="n">
        <f aca="false">IF(AND(B890&lt;0,C890&gt;=0),B$43+(-B890)/C889,0)</f>
        <v>0</v>
      </c>
      <c r="D891" s="38" t="n">
        <f aca="false">IF(AND(C890&lt;0,D890&gt;=0),C$43+(-C890)/D889,0)</f>
        <v>0</v>
      </c>
      <c r="E891" s="38" t="n">
        <f aca="false">IF(AND(D890&lt;0,E890&gt;=0),D$43+(-D890)/E889,0)</f>
        <v>0</v>
      </c>
      <c r="F891" s="38" t="n">
        <f aca="false">IF(AND(E890&lt;0,F890&gt;=0),E$43+(-E890)/F889,0)</f>
        <v>0</v>
      </c>
      <c r="G891" s="38" t="n">
        <f aca="false">IF(AND(F890&lt;0,G890&gt;=0),F$43+(-F890)/G889,0)</f>
        <v>0</v>
      </c>
      <c r="H891" s="38" t="n">
        <f aca="false">IF(AND(G890&lt;0,H890&gt;=0),G$43+(-G890)/H889,0)</f>
        <v>0</v>
      </c>
      <c r="I891" s="38" t="n">
        <f aca="false">IF(AND(H890&lt;0,I890&gt;=0),H$43+(-H890)/I889,0)</f>
        <v>0</v>
      </c>
      <c r="J891" s="38" t="n">
        <f aca="false">IF(AND(I890&lt;0,J890&gt;=0),I$43+(-I890)/J889,0)</f>
        <v>0</v>
      </c>
      <c r="K891" s="38" t="n">
        <f aca="false">IF(AND(J890&lt;0,K890&gt;=0),J$43+(-J890)/K889,0)</f>
        <v>8.67350573892965</v>
      </c>
      <c r="L891" s="38" t="n">
        <f aca="false">IF(AND(K890&lt;0,L890&gt;=0),K$43+(-K890)/L889,0)</f>
        <v>0</v>
      </c>
    </row>
    <row r="892" customFormat="false" ht="15" hidden="false" customHeight="false" outlineLevel="0" collapsed="false">
      <c r="A892" s="9" t="s">
        <v>306</v>
      </c>
      <c r="B892" s="36" t="n">
        <f aca="false">IF(B$43&lt;0,0,(Quesería!$B$40*$B$867*$B$864)*(1-MAX(0,MIN(B$43-0-Quesería!$B$43,(Quesería!$B$42-Quesería!$B$43)))/(Quesería!$B$42-Quesería!$B$43)))+IF(B$43&lt;1,0,(Quesería!$B$40*$C$867*$C$864)*(1-MAX(0,MIN(B$43-1-Quesería!$B$43,(Quesería!$B$42-Quesería!$B$43)))/(Quesería!$B$42-Quesería!$B$43)))</f>
        <v>461.704769247221</v>
      </c>
      <c r="C892" s="36" t="n">
        <f aca="false">IF(C$43&lt;0,0,(Quesería!$B$40*$B$867*$B$864)*(1-MAX(0,MIN(C$43-0-Quesería!$B$43,(Quesería!$B$42-Quesería!$B$43)))/(Quesería!$B$42-Quesería!$B$43)))+IF(C$43&lt;1,0,(Quesería!$B$40*$C$867*$C$864)*(1-MAX(0,MIN(C$43-1-Quesería!$B$43,(Quesería!$B$42-Quesería!$B$43)))/(Quesería!$B$42-Quesería!$B$43)))</f>
        <v>964.434695258825</v>
      </c>
      <c r="D892" s="36" t="n">
        <f aca="false">IF(D$43&lt;0,0,(Quesería!$B$40*$B$867*$B$864)*(1-MAX(0,MIN(D$43-0-Quesería!$B$43,(Quesería!$B$42-Quesería!$B$43)))/(Quesería!$B$42-Quesería!$B$43)))+IF(D$43&lt;1,0,(Quesería!$B$40*$C$867*$C$864)*(1-MAX(0,MIN(D$43-1-Quesería!$B$43,(Quesería!$B$42-Quesería!$B$43)))/(Quesería!$B$42-Quesería!$B$43)))</f>
        <v>887.483900384289</v>
      </c>
      <c r="E892" s="36" t="n">
        <f aca="false">IF(E$43&lt;0,0,(Quesería!$B$40*$B$867*$B$864)*(1-MAX(0,MIN(E$43-0-Quesería!$B$43,(Quesería!$B$42-Quesería!$B$43)))/(Quesería!$B$42-Quesería!$B$43)))+IF(E$43&lt;1,0,(Quesería!$B$40*$C$867*$C$864)*(1-MAX(0,MIN(E$43-1-Quesería!$B$43,(Quesería!$B$42-Quesería!$B$43)))/(Quesería!$B$42-Quesería!$B$43)))</f>
        <v>726.744784507818</v>
      </c>
      <c r="F892" s="36" t="n">
        <f aca="false">IF(F$43&lt;0,0,(Quesería!$B$40*$B$867*$B$864)*(1-MAX(0,MIN(F$43-0-Quesería!$B$43,(Quesería!$B$42-Quesería!$B$43)))/(Quesería!$B$42-Quesería!$B$43)))+IF(F$43&lt;1,0,(Quesería!$B$40*$C$867*$C$864)*(1-MAX(0,MIN(F$43-1-Quesería!$B$43,(Quesería!$B$42-Quesería!$B$43)))/(Quesería!$B$42-Quesería!$B$43)))</f>
        <v>566.005668631347</v>
      </c>
      <c r="G892" s="36" t="n">
        <f aca="false">IF(G$43&lt;0,0,(Quesería!$B$40*$B$867*$B$864)*(1-MAX(0,MIN(G$43-0-Quesería!$B$43,(Quesería!$B$42-Quesería!$B$43)))/(Quesería!$B$42-Quesería!$B$43)))+IF(G$43&lt;1,0,(Quesería!$B$40*$C$867*$C$864)*(1-MAX(0,MIN(G$43-1-Quesería!$B$43,(Quesería!$B$42-Quesería!$B$43)))/(Quesería!$B$42-Quesería!$B$43)))</f>
        <v>405.266552754876</v>
      </c>
      <c r="H892" s="36" t="n">
        <f aca="false">IF(H$43&lt;0,0,(Quesería!$B$40*$B$867*$B$864)*(1-MAX(0,MIN(H$43-0-Quesería!$B$43,(Quesería!$B$42-Quesería!$B$43)))/(Quesería!$B$42-Quesería!$B$43)))+IF(H$43&lt;1,0,(Quesería!$B$40*$C$867*$C$864)*(1-MAX(0,MIN(H$43-1-Quesería!$B$43,(Quesería!$B$42-Quesería!$B$43)))/(Quesería!$B$42-Quesería!$B$43)))</f>
        <v>244.527436878405</v>
      </c>
      <c r="I892" s="36" t="n">
        <f aca="false">IF(I$43&lt;0,0,(Quesería!$B$40*$B$867*$B$864)*(1-MAX(0,MIN(I$43-0-Quesería!$B$43,(Quesería!$B$42-Quesería!$B$43)))/(Quesería!$B$42-Quesería!$B$43)))+IF(I$43&lt;1,0,(Quesería!$B$40*$C$867*$C$864)*(1-MAX(0,MIN(I$43-1-Quesería!$B$43,(Quesería!$B$42-Quesería!$B$43)))/(Quesería!$B$42-Quesería!$B$43)))</f>
        <v>83.788321001934</v>
      </c>
      <c r="J892" s="36" t="n">
        <f aca="false">IF(J$43&lt;0,0,(Quesería!$B$40*$B$867*$B$864)*(1-MAX(0,MIN(J$43-0-Quesería!$B$43,(Quesería!$B$42-Quesería!$B$43)))/(Quesería!$B$42-Quesería!$B$43)))+IF(J$43&lt;1,0,(Quesería!$B$40*$C$867*$C$864)*(1-MAX(0,MIN(J$43-1-Quesería!$B$43,(Quesería!$B$42-Quesería!$B$43)))/(Quesería!$B$42-Quesería!$B$43)))</f>
        <v>0</v>
      </c>
      <c r="K892" s="36" t="n">
        <f aca="false">IF(K$43&lt;0,0,(Quesería!$B$40*$B$867*$B$864)*(1-MAX(0,MIN(K$43-0-Quesería!$B$43,(Quesería!$B$42-Quesería!$B$43)))/(Quesería!$B$42-Quesería!$B$43)))+IF(K$43&lt;1,0,(Quesería!$B$40*$C$867*$C$864)*(1-MAX(0,MIN(K$43-1-Quesería!$B$43,(Quesería!$B$42-Quesería!$B$43)))/(Quesería!$B$42-Quesería!$B$43)))</f>
        <v>0</v>
      </c>
      <c r="L892" s="36" t="n">
        <f aca="false">IF(L$43&lt;0,0,(Quesería!$B$40*$B$867*$B$864)*(1-MAX(0,MIN(L$43-0-Quesería!$B$43,(Quesería!$B$42-Quesería!$B$43)))/(Quesería!$B$42-Quesería!$B$43)))+IF(L$43&lt;1,0,(Quesería!$B$40*$C$867*$C$864)*(1-MAX(0,MIN(L$43-1-Quesería!$B$43,(Quesería!$B$42-Quesería!$B$43)))/(Quesería!$B$42-Quesería!$B$43)))</f>
        <v>0</v>
      </c>
    </row>
    <row r="893" customFormat="false" ht="15" hidden="false" customHeight="false" outlineLevel="0" collapsed="false">
      <c r="A893" s="6" t="s">
        <v>307</v>
      </c>
      <c r="B893" s="35" t="n">
        <f aca="false">Quesería!$B$40*B867</f>
        <v>435.57053702568</v>
      </c>
      <c r="C893" s="35" t="n">
        <f aca="false">Quesería!$B$40*C867</f>
        <v>451.689062005035</v>
      </c>
      <c r="D893" s="35" t="n">
        <f aca="false">Quesería!$B$40*D867</f>
        <v>0</v>
      </c>
      <c r="E893" s="35" t="n">
        <f aca="false">Quesería!$B$40*E867</f>
        <v>0</v>
      </c>
      <c r="F893" s="35" t="n">
        <f aca="false">Quesería!$B$40*F867</f>
        <v>0</v>
      </c>
      <c r="G893" s="35" t="n">
        <f aca="false">Quesería!$B$40*G867</f>
        <v>0</v>
      </c>
      <c r="H893" s="35" t="n">
        <f aca="false">Quesería!$B$40*H867</f>
        <v>0</v>
      </c>
      <c r="I893" s="35" t="n">
        <f aca="false">Quesería!$B$40*I867</f>
        <v>0</v>
      </c>
      <c r="J893" s="35" t="n">
        <f aca="false">Quesería!$B$40*J867</f>
        <v>0</v>
      </c>
      <c r="K893" s="35" t="n">
        <f aca="false">Quesería!$B$40*K867</f>
        <v>0</v>
      </c>
      <c r="L893" s="35" t="n">
        <f aca="false">Quesería!$B$40*L867</f>
        <v>0</v>
      </c>
    </row>
    <row r="894" customFormat="false" ht="15" hidden="false" customHeight="false" outlineLevel="0" collapsed="false">
      <c r="A894" s="6" t="s">
        <v>308</v>
      </c>
      <c r="B894" s="35" t="n">
        <f aca="false">(IF(AND(B$43&gt;0,B$43&lt;=0+Quesería!$B$42),($U$14+$U$24)*((Quesería!$B$40*$B$867*$B$864)-(Quesería!$B$40*$B$867*$B$864)/(Quesería!$B$42-Quesería!$B$43)*MAX(0,MIN(B$43-1-0-Quesería!$B$43,(Quesería!$B$42-Quesería!$B$43)))),0)+IF(AND(B$43&gt;1,B$43&lt;=1+Quesería!$B$42),($U$14+$U$24)*((Quesería!$B$40*$C$867*$C$864)-(Quesería!$B$40*$C$867*$C$864)/(Quesería!$B$42-Quesería!$B$43)*MAX(0,MIN(B$43-1-1-Quesería!$B$43,(Quesería!$B$42-Quesería!$B$43)))),0))*B866</f>
        <v>0</v>
      </c>
      <c r="C894" s="35" t="n">
        <f aca="false">(IF(AND(C$43&gt;0,C$43&lt;=0+Quesería!$B$42),($U$14+$U$24)*((Quesería!$B$40*$B$867*$B$864)-(Quesería!$B$40*$B$867*$B$864)/(Quesería!$B$42-Quesería!$B$43)*MAX(0,MIN(C$43-1-0-Quesería!$B$43,(Quesería!$B$42-Quesería!$B$43)))),0)+IF(AND(C$43&gt;1,C$43&lt;=1+Quesería!$B$42),($U$14+$U$24)*((Quesería!$B$40*$C$867*$C$864)-(Quesería!$B$40*$C$867*$C$864)/(Quesería!$B$42-Quesería!$B$43)*MAX(0,MIN(C$43-1-1-Quesería!$B$43,(Quesería!$B$42-Quesería!$B$43)))),0))*C866</f>
        <v>58.4909006863056</v>
      </c>
      <c r="D894" s="35" t="n">
        <f aca="false">(IF(AND(D$43&gt;0,D$43&lt;=0+Quesería!$B$42),($U$14+$U$24)*((Quesería!$B$40*$B$867*$B$864)-(Quesería!$B$40*$B$867*$B$864)/(Quesería!$B$42-Quesería!$B$43)*MAX(0,MIN(D$43-1-0-Quesería!$B$43,(Quesería!$B$42-Quesería!$B$43)))),0)+IF(AND(D$43&gt;1,D$43&lt;=1+Quesería!$B$42),($U$14+$U$24)*((Quesería!$B$40*$C$867*$C$864)-(Quesería!$B$40*$C$867*$C$864)/(Quesería!$B$42-Quesería!$B$43)*MAX(0,MIN(D$43-1-1-Quesería!$B$43,(Quesería!$B$42-Quesería!$B$43)))),0))*D866</f>
        <v>116.917759262216</v>
      </c>
      <c r="E894" s="35" t="n">
        <f aca="false">(IF(AND(E$43&gt;0,E$43&lt;=0+Quesería!$B$42),($U$14+$U$24)*((Quesería!$B$40*$B$867*$B$864)-(Quesería!$B$40*$B$867*$B$864)/(Quesería!$B$42-Quesería!$B$43)*MAX(0,MIN(E$43-1-0-Quesería!$B$43,(Quesería!$B$42-Quesería!$B$43)))),0)+IF(AND(E$43&gt;1,E$43&lt;=1+Quesería!$B$42),($U$14+$U$24)*((Quesería!$B$40*$C$867*$C$864)-(Quesería!$B$40*$C$867*$C$864)/(Quesería!$B$42-Quesería!$B$43)*MAX(0,MIN(E$43-1-1-Quesería!$B$43,(Quesería!$B$42-Quesería!$B$43)))),0))*E866</f>
        <v>103.451025930528</v>
      </c>
      <c r="F894" s="35" t="n">
        <f aca="false">(IF(AND(F$43&gt;0,F$43&lt;=0+Quesería!$B$42),($U$14+$U$24)*((Quesería!$B$40*$B$867*$B$864)-(Quesería!$B$40*$B$867*$B$864)/(Quesería!$B$42-Quesería!$B$43)*MAX(0,MIN(F$43-1-0-Quesería!$B$43,(Quesería!$B$42-Quesería!$B$43)))),0)+IF(AND(F$43&gt;1,F$43&lt;=1+Quesería!$B$42),($U$14+$U$24)*((Quesería!$B$40*$C$867*$C$864)-(Quesería!$B$40*$C$867*$C$864)/(Quesería!$B$42-Quesería!$B$43)*MAX(0,MIN(F$43-1-1-Quesería!$B$43,(Quesería!$B$42-Quesería!$B$43)))),0))*F866</f>
        <v>81.455966861483</v>
      </c>
      <c r="G894" s="35" t="n">
        <f aca="false">(IF(AND(G$43&gt;0,G$43&lt;=0+Quesería!$B$42),($U$14+$U$24)*((Quesería!$B$40*$B$867*$B$864)-(Quesería!$B$40*$B$867*$B$864)/(Quesería!$B$42-Quesería!$B$43)*MAX(0,MIN(G$43-1-0-Quesería!$B$43,(Quesería!$B$42-Quesería!$B$43)))),0)+IF(AND(G$43&gt;1,G$43&lt;=1+Quesería!$B$42),($U$14+$U$24)*((Quesería!$B$40*$C$867*$C$864)-(Quesería!$B$40*$C$867*$C$864)/(Quesería!$B$42-Quesería!$B$43)*MAX(0,MIN(G$43-1-1-Quesería!$B$43,(Quesería!$B$42-Quesería!$B$43)))),0))*G866</f>
        <v>60.9998013511061</v>
      </c>
      <c r="H894" s="35" t="n">
        <f aca="false">(IF(AND(H$43&gt;0,H$43&lt;=0+Quesería!$B$42),($U$14+$U$24)*((Quesería!$B$40*$B$867*$B$864)-(Quesería!$B$40*$B$867*$B$864)/(Quesería!$B$42-Quesería!$B$43)*MAX(0,MIN(H$43-1-0-Quesería!$B$43,(Quesería!$B$42-Quesería!$B$43)))),0)+IF(AND(H$43&gt;1,H$43&lt;=1+Quesería!$B$42),($U$14+$U$24)*((Quesería!$B$40*$C$867*$C$864)-(Quesería!$B$40*$C$867*$C$864)/(Quesería!$B$42-Quesería!$B$43)*MAX(0,MIN(H$43-1-1-Quesería!$B$43,(Quesería!$B$42-Quesería!$B$43)))),0))*H866</f>
        <v>41.9966900414366</v>
      </c>
      <c r="I894" s="35" t="n">
        <f aca="false">(IF(AND(I$43&gt;0,I$43&lt;=0+Quesería!$B$42),($U$14+$U$24)*((Quesería!$B$40*$B$867*$B$864)-(Quesería!$B$40*$B$867*$B$864)/(Quesería!$B$42-Quesería!$B$43)*MAX(0,MIN(I$43-1-0-Quesería!$B$43,(Quesería!$B$42-Quesería!$B$43)))),0)+IF(AND(I$43&gt;1,I$43&lt;=1+Quesería!$B$42),($U$14+$U$24)*((Quesería!$B$40*$C$867*$C$864)-(Quesería!$B$40*$C$867*$C$864)/(Quesería!$B$42-Quesería!$B$43)*MAX(0,MIN(I$43-1-1-Quesería!$B$43,(Quesería!$B$42-Quesería!$B$43)))),0))*I866</f>
        <v>24.3651201322873</v>
      </c>
      <c r="J894" s="35" t="n">
        <f aca="false">(IF(AND(J$43&gt;0,J$43&lt;=0+Quesería!$B$42),($U$14+$U$24)*((Quesería!$B$40*$B$867*$B$864)-(Quesería!$B$40*$B$867*$B$864)/(Quesería!$B$42-Quesería!$B$43)*MAX(0,MIN(J$43-1-0-Quesería!$B$43,(Quesería!$B$42-Quesería!$B$43)))),0)+IF(AND(J$43&gt;1,J$43&lt;=1+Quesería!$B$42),($U$14+$U$24)*((Quesería!$B$40*$C$867*$C$864)-(Quesería!$B$40*$C$867*$C$864)/(Quesería!$B$42-Quesería!$B$43)*MAX(0,MIN(J$43-1-1-Quesería!$B$43,(Quesería!$B$42-Quesería!$B$43)))),0))*J866</f>
        <v>8.02769955040774</v>
      </c>
      <c r="K894" s="35" t="n">
        <f aca="false">(IF(AND(K$43&gt;0,K$43&lt;=0+Quesería!$B$42),($U$14+$U$24)*((Quesería!$B$40*$B$867*$B$864)-(Quesería!$B$40*$B$867*$B$864)/(Quesería!$B$42-Quesería!$B$43)*MAX(0,MIN(K$43-1-0-Quesería!$B$43,(Quesería!$B$42-Quesería!$B$43)))),0)+IF(AND(K$43&gt;1,K$43&lt;=1+Quesería!$B$42),($U$14+$U$24)*((Quesería!$B$40*$C$867*$C$864)-(Quesería!$B$40*$C$867*$C$864)/(Quesería!$B$42-Quesería!$B$43)*MAX(0,MIN(K$43-1-1-Quesería!$B$43,(Quesería!$B$42-Quesería!$B$43)))),0))*K866</f>
        <v>0</v>
      </c>
      <c r="L894" s="35" t="n">
        <f aca="false">(IF(AND(L$43&gt;0,L$43&lt;=0+Quesería!$B$42),($U$14+$U$24)*((Quesería!$B$40*$B$867*$B$864)-(Quesería!$B$40*$B$867*$B$864)/(Quesería!$B$42-Quesería!$B$43)*MAX(0,MIN(L$43-1-0-Quesería!$B$43,(Quesería!$B$42-Quesería!$B$43)))),0)+IF(AND(L$43&gt;1,L$43&lt;=1+Quesería!$B$42),($U$14+$U$24)*((Quesería!$B$40*$C$867*$C$864)-(Quesería!$B$40*$C$867*$C$864)/(Quesería!$B$42-Quesería!$B$43)*MAX(0,MIN(L$43-1-1-Quesería!$B$43,(Quesería!$B$42-Quesería!$B$43)))),0))*L866</f>
        <v>0</v>
      </c>
    </row>
    <row r="895" customFormat="false" ht="15" hidden="false" customHeight="false" outlineLevel="0" collapsed="false">
      <c r="A895" s="6" t="s">
        <v>309</v>
      </c>
      <c r="B895" s="35" t="n">
        <f aca="false">(IF(AND(B$43&gt;0+Quesería!$B$43,B$43&lt;=0+Quesería!$B$42),(Quesería!$B$40*$B$867*$B$864)/(Quesería!$B$42-Quesería!$B$43),0)+IF(AND(B$43&gt;1+Quesería!$B$43,B$43&lt;=1+Quesería!$B$42),(Quesería!$B$40*$C$867*$C$864)/(Quesería!$B$42-Quesería!$B$43),0))*B866</f>
        <v>0</v>
      </c>
      <c r="C895" s="35" t="n">
        <f aca="false">(IF(AND(C$43&gt;0+Quesería!$B$43,C$43&lt;=0+Quesería!$B$42),(Quesería!$B$40*$B$867*$B$864)/(Quesería!$B$42-Quesería!$B$43),0)+IF(AND(C$43&gt;1+Quesería!$B$43,C$43&lt;=1+Quesería!$B$42),(Quesería!$B$40*$C$867*$C$864)/(Quesería!$B$42-Quesería!$B$43),0))*C866</f>
        <v>0</v>
      </c>
      <c r="D895" s="35" t="n">
        <f aca="false">(IF(AND(D$43&gt;0+Quesería!$B$43,D$43&lt;=0+Quesería!$B$42),(Quesería!$B$40*$B$867*$B$864)/(Quesería!$B$42-Quesería!$B$43),0)+IF(AND(D$43&gt;1+Quesería!$B$43,D$43&lt;=1+Quesería!$B$42),(Quesería!$B$40*$C$867*$C$864)/(Quesería!$B$42-Quesería!$B$43),0))*D866</f>
        <v>66.1609382586284</v>
      </c>
      <c r="E895" s="35" t="n">
        <f aca="false">(IF(AND(E$43&gt;0+Quesería!$B$43,E$43&lt;=0+Quesería!$B$42),(Quesería!$B$40*$B$867*$B$864)/(Quesería!$B$42-Quesería!$B$43),0)+IF(AND(E$43&gt;1+Quesería!$B$43,E$43&lt;=1+Quesería!$B$42),(Quesería!$B$40*$C$867*$C$864)/(Quesería!$B$42-Quesería!$B$43),0))*E866</f>
        <v>132.885251025432</v>
      </c>
      <c r="F895" s="35" t="n">
        <f aca="false">(IF(AND(F$43&gt;0+Quesería!$B$43,F$43&lt;=0+Quesería!$B$42),(Quesería!$B$40*$B$867*$B$864)/(Quesería!$B$42-Quesería!$B$43),0)+IF(AND(F$43&gt;1+Quesería!$B$43,F$43&lt;=1+Quesería!$B$42),(Quesería!$B$40*$C$867*$C$864)/(Quesería!$B$42-Quesería!$B$43),0))*F866</f>
        <v>127.774279832146</v>
      </c>
      <c r="G895" s="35" t="n">
        <f aca="false">(IF(AND(G$43&gt;0+Quesería!$B$43,G$43&lt;=0+Quesería!$B$42),(Quesería!$B$40*$B$867*$B$864)/(Quesería!$B$42-Quesería!$B$43),0)+IF(AND(G$43&gt;1+Quesería!$B$43,G$43&lt;=1+Quesería!$B$42),(Quesería!$B$40*$C$867*$C$864)/(Quesería!$B$42-Quesería!$B$43),0))*G866</f>
        <v>122.859884453986</v>
      </c>
      <c r="H895" s="35" t="n">
        <f aca="false">(IF(AND(H$43&gt;0+Quesería!$B$43,H$43&lt;=0+Quesería!$B$42),(Quesería!$B$40*$B$867*$B$864)/(Quesería!$B$42-Quesería!$B$43),0)+IF(AND(H$43&gt;1+Quesería!$B$43,H$43&lt;=1+Quesería!$B$42),(Quesería!$B$40*$C$867*$C$864)/(Quesería!$B$42-Quesería!$B$43),0))*H866</f>
        <v>118.134504282679</v>
      </c>
      <c r="I895" s="35" t="n">
        <f aca="false">(IF(AND(I$43&gt;0+Quesería!$B$43,I$43&lt;=0+Quesería!$B$42),(Quesería!$B$40*$B$867*$B$864)/(Quesería!$B$42-Quesería!$B$43),0)+IF(AND(I$43&gt;1+Quesería!$B$43,I$43&lt;=1+Quesería!$B$42),(Quesería!$B$40*$C$867*$C$864)/(Quesería!$B$42-Quesería!$B$43),0))*I866</f>
        <v>113.590869502576</v>
      </c>
      <c r="J895" s="35" t="n">
        <f aca="false">(IF(AND(J$43&gt;0+Quesería!$B$43,J$43&lt;=0+Quesería!$B$42),(Quesería!$B$40*$B$867*$B$864)/(Quesería!$B$42-Quesería!$B$43),0)+IF(AND(J$43&gt;1+Quesería!$B$43,J$43&lt;=1+Quesería!$B$42),(Quesería!$B$40*$C$867*$C$864)/(Quesería!$B$42-Quesería!$B$43),0))*J866</f>
        <v>56.9340393645939</v>
      </c>
      <c r="K895" s="35" t="n">
        <f aca="false">(IF(AND(K$43&gt;0+Quesería!$B$43,K$43&lt;=0+Quesería!$B$42),(Quesería!$B$40*$B$867*$B$864)/(Quesería!$B$42-Quesería!$B$43),0)+IF(AND(K$43&gt;1+Quesería!$B$43,K$43&lt;=1+Quesería!$B$42),(Quesería!$B$40*$C$867*$C$864)/(Quesería!$B$42-Quesería!$B$43),0))*K866</f>
        <v>0</v>
      </c>
      <c r="L895" s="35" t="n">
        <f aca="false">(IF(AND(L$43&gt;0+Quesería!$B$43,L$43&lt;=0+Quesería!$B$42),(Quesería!$B$40*$B$867*$B$864)/(Quesería!$B$42-Quesería!$B$43),0)+IF(AND(L$43&gt;1+Quesería!$B$43,L$43&lt;=1+Quesería!$B$42),(Quesería!$B$40*$C$867*$C$864)/(Quesería!$B$42-Quesería!$B$43),0))*L866</f>
        <v>0</v>
      </c>
    </row>
    <row r="896" customFormat="false" ht="15" hidden="false" customHeight="false" outlineLevel="0" collapsed="false">
      <c r="A896" s="6" t="s">
        <v>310</v>
      </c>
      <c r="B896" s="35" t="n">
        <f aca="false">$U$13*Quesería!$B$44*(1+0.19)*B892*B866+(1-$U$13)*IF(B$43=0,Quesería!$B$53,0)</f>
        <v>10.3147458873051</v>
      </c>
      <c r="C896" s="35" t="n">
        <f aca="false">$U$13*Quesería!$B$44*(1+0.19)*C892*C866+(1-$U$13)*IF(C$43=0,Quesería!$B$53,0)</f>
        <v>20.5200161890604</v>
      </c>
      <c r="D896" s="35" t="n">
        <f aca="false">$U$13*Quesería!$B$44*(1+0.19)*D892*D866+(1-$U$13)*IF(D$43=0,Quesería!$B$53,0)</f>
        <v>18.0696219493849</v>
      </c>
      <c r="E896" s="35" t="n">
        <f aca="false">$U$13*Quesería!$B$44*(1+0.19)*E892*E866+(1-$U$13)*IF(E$43=0,Quesería!$B$53,0)</f>
        <v>14.2277808602599</v>
      </c>
      <c r="F896" s="35" t="n">
        <f aca="false">$U$13*Quesería!$B$44*(1+0.19)*F892*F866+(1-$U$13)*IF(F$43=0,Quesería!$B$53,0)</f>
        <v>10.6547357987756</v>
      </c>
      <c r="G896" s="35" t="n">
        <f aca="false">$U$13*Quesería!$B$44*(1+0.19)*G892*G866+(1-$U$13)*IF(G$43=0,Quesería!$B$53,0)</f>
        <v>7.33549334429865</v>
      </c>
      <c r="H896" s="35" t="n">
        <f aca="false">$U$13*Quesería!$B$44*(1+0.19)*H892*H866+(1-$U$13)*IF(H$43=0,Quesería!$B$53,0)</f>
        <v>4.25581578898442</v>
      </c>
      <c r="I896" s="35" t="n">
        <f aca="false">$U$13*Quesería!$B$44*(1+0.19)*I892*I866+(1-$U$13)*IF(I$43=0,Quesería!$B$53,0)</f>
        <v>1.40218518564067</v>
      </c>
      <c r="J896" s="35" t="n">
        <f aca="false">$U$13*Quesería!$B$44*(1+0.19)*J892*J866+(1-$U$13)*IF(J$43=0,Quesería!$B$53,0)</f>
        <v>0</v>
      </c>
      <c r="K896" s="35" t="n">
        <f aca="false">$U$13*Quesería!$B$44*(1+0.19)*K892*K866+(1-$U$13)*IF(K$43=0,Quesería!$B$53,0)</f>
        <v>0</v>
      </c>
      <c r="L896" s="35" t="n">
        <f aca="false">$U$13*Quesería!$B$44*(1+0.19)*L892*L866+(1-$U$13)*IF(L$43=0,Quesería!$B$53,0)</f>
        <v>0</v>
      </c>
    </row>
    <row r="897" customFormat="false" ht="15" hidden="false" customHeight="false" outlineLevel="0" collapsed="false">
      <c r="A897" s="6" t="s">
        <v>311</v>
      </c>
      <c r="B897" s="35" t="n">
        <f aca="false">Quesería!$B$45*(B894+B895+B896)</f>
        <v>0.0412589835492206</v>
      </c>
      <c r="C897" s="35" t="n">
        <f aca="false">Quesería!$B$45*(C894+C895+C896)</f>
        <v>0.316043667501464</v>
      </c>
      <c r="D897" s="35" t="n">
        <f aca="false">Quesería!$B$45*(D894+D895+D896)</f>
        <v>0.804593277880917</v>
      </c>
      <c r="E897" s="35" t="n">
        <f aca="false">Quesería!$B$45*(E894+E895+E896)</f>
        <v>1.00225623126488</v>
      </c>
      <c r="F897" s="35" t="n">
        <f aca="false">Quesería!$B$45*(F894+F895+F896)</f>
        <v>0.879539929969618</v>
      </c>
      <c r="G897" s="35" t="n">
        <f aca="false">Quesería!$B$45*(G894+G895+G896)</f>
        <v>0.764780716597565</v>
      </c>
      <c r="H897" s="35" t="n">
        <f aca="false">Quesería!$B$45*(H894+H895+H896)</f>
        <v>0.657548040452401</v>
      </c>
      <c r="I897" s="35" t="n">
        <f aca="false">Quesería!$B$45*(I894+I895+I896)</f>
        <v>0.557432699282017</v>
      </c>
      <c r="J897" s="35" t="n">
        <f aca="false">Quesería!$B$45*(J894+J895+J896)</f>
        <v>0.259846955660007</v>
      </c>
      <c r="K897" s="35" t="n">
        <f aca="false">Quesería!$B$45*(K894+K895+K896)</f>
        <v>0</v>
      </c>
      <c r="L897" s="35" t="n">
        <f aca="false">Quesería!$B$45*(L894+L895+L896)</f>
        <v>0</v>
      </c>
    </row>
    <row r="898" customFormat="false" ht="15" hidden="false" customHeight="false" outlineLevel="0" collapsed="false">
      <c r="A898" s="6" t="s">
        <v>312</v>
      </c>
      <c r="B898" s="35" t="n">
        <f aca="false">$U$17*(B894+B896+0.5*B897)</f>
        <v>3.61738138267791</v>
      </c>
      <c r="C898" s="35" t="n">
        <f aca="false">$U$17*(C894+C896+0.5*C897)</f>
        <v>27.7091285481909</v>
      </c>
      <c r="D898" s="35" t="n">
        <f aca="false">$U$17*(D894+D896+0.5*D897)</f>
        <v>47.3863872476894</v>
      </c>
      <c r="E898" s="35" t="n">
        <f aca="false">$U$17*(E894+E896+0.5*E897)</f>
        <v>41.3629772172472</v>
      </c>
      <c r="F898" s="35" t="n">
        <f aca="false">$U$17*(F894+F896+0.5*F897)</f>
        <v>32.3926654188352</v>
      </c>
      <c r="G898" s="35" t="n">
        <f aca="false">$U$17*(G894+G896+0.5*G897)</f>
        <v>24.0511897687962</v>
      </c>
      <c r="H898" s="35" t="n">
        <f aca="false">$U$17*(H894+H896+0.5*H897)</f>
        <v>16.3034479477265</v>
      </c>
      <c r="I898" s="35" t="n">
        <f aca="false">$U$17*(I894+I896+0.5*I897)</f>
        <v>9.11610758364914</v>
      </c>
      <c r="J898" s="35" t="n">
        <f aca="false">$U$17*(J894+J896+0.5*J897)</f>
        <v>2.85516805988321</v>
      </c>
      <c r="K898" s="35" t="n">
        <f aca="false">$U$17*(K894+K896+0.5*K897)</f>
        <v>0</v>
      </c>
      <c r="L898" s="35" t="n">
        <f aca="false">$U$17*(L894+L896+0.5*L897)</f>
        <v>0</v>
      </c>
    </row>
    <row r="899" customFormat="false" ht="15" hidden="false" customHeight="false" outlineLevel="0" collapsed="false">
      <c r="A899" s="5" t="s">
        <v>313</v>
      </c>
      <c r="B899" s="37" t="n">
        <f aca="false">B884+B893-B894-B895-B896-B897+B898</f>
        <v>-233.209131535395</v>
      </c>
      <c r="C899" s="37" t="n">
        <f aca="false">C884+C893-C894-C895-C896-C897+C898</f>
        <v>-185.68630100485</v>
      </c>
      <c r="D899" s="37" t="n">
        <f aca="false">D884+D893-D894-D895-D896-D897+D898</f>
        <v>185.693299624059</v>
      </c>
      <c r="E899" s="37" t="n">
        <f aca="false">E884+E893-E894-E895-E896-E897+E898</f>
        <v>39.2547721348465</v>
      </c>
      <c r="F899" s="37" t="n">
        <f aca="false">F884+F893-F894-F895-F896-F897+F898</f>
        <v>62.3649946327504</v>
      </c>
      <c r="G899" s="37" t="n">
        <f aca="false">G884+G893-G894-G895-G896-G897+G898</f>
        <v>49.8656151479148</v>
      </c>
      <c r="H899" s="37" t="n">
        <f aca="false">H884+H893-H894-H895-H896-H897+H898</f>
        <v>60.1389977420762</v>
      </c>
      <c r="I899" s="37" t="n">
        <f aca="false">I884+I893-I894-I895-I896-I897+I898</f>
        <v>123.26590220669</v>
      </c>
      <c r="J899" s="37" t="n">
        <f aca="false">J884+J893-J894-J895-J896-J897+J898</f>
        <v>184.287229544022</v>
      </c>
      <c r="K899" s="37" t="n">
        <f aca="false">K884+K893-K894-K895-K896-K897+K898</f>
        <v>245.743059483011</v>
      </c>
      <c r="L899" s="37" t="n">
        <f aca="false">L884+L893-L894-L895-L896-L897+L898</f>
        <v>315.858759456126</v>
      </c>
    </row>
    <row r="900" customFormat="false" ht="15" hidden="false" customHeight="false" outlineLevel="0" collapsed="false">
      <c r="A900" s="9" t="s">
        <v>314</v>
      </c>
      <c r="B900" s="36" t="n">
        <f aca="false">B899*B864</f>
        <v>-247.201679427518</v>
      </c>
      <c r="C900" s="36" t="n">
        <f aca="false">C899*C864</f>
        <v>-206.668853018399</v>
      </c>
      <c r="D900" s="36" t="n">
        <f aca="false">D899*D864</f>
        <v>215.977091393248</v>
      </c>
      <c r="E900" s="36" t="n">
        <f aca="false">E899*E864</f>
        <v>47.4829021143963</v>
      </c>
      <c r="F900" s="36" t="n">
        <f aca="false">F899*F864</f>
        <v>78.4547102286791</v>
      </c>
      <c r="G900" s="36" t="n">
        <f aca="false">G899*G864</f>
        <v>65.2398048975383</v>
      </c>
      <c r="H900" s="36" t="n">
        <f aca="false">H899*H864</f>
        <v>81.8278231703363</v>
      </c>
      <c r="I900" s="36" t="n">
        <f aca="false">I899*I864</f>
        <v>174.429971574164</v>
      </c>
      <c r="J900" s="36" t="n">
        <f aca="false">J899*J864</f>
        <v>271.210645124086</v>
      </c>
      <c r="K900" s="36" t="n">
        <f aca="false">K899*K864</f>
        <v>376.119708438521</v>
      </c>
      <c r="L900" s="36" t="n">
        <f aca="false">L899*L864</f>
        <v>502.772012991512</v>
      </c>
    </row>
    <row r="901" customFormat="false" ht="15" hidden="false" customHeight="false" outlineLevel="0" collapsed="false">
      <c r="A901" s="9" t="s">
        <v>315</v>
      </c>
      <c r="B901" s="34" t="n">
        <f aca="false">(B864/$B$864)/(1+Quesería!$B$46+$U$24)^B$43</f>
        <v>1</v>
      </c>
      <c r="C901" s="34" t="n">
        <f aca="false">(C864/$B$864)/(1+Quesería!$B$46+$U$24)^C$43</f>
        <v>0.84</v>
      </c>
      <c r="D901" s="34" t="n">
        <f aca="false">(D864/$B$864)/(1+Quesería!$B$46+$U$24)^D$43</f>
        <v>0.70224</v>
      </c>
      <c r="E901" s="34" t="n">
        <f aca="false">(E864/$B$864)/(1+Quesería!$B$46+$U$24)^E$43</f>
        <v>0.58426368</v>
      </c>
      <c r="F901" s="34" t="n">
        <f aca="false">(F864/$B$864)/(1+Quesería!$B$46+$U$24)^F$43</f>
        <v>0.48610738176</v>
      </c>
      <c r="G901" s="34" t="n">
        <f aca="false">(G864/$B$864)/(1+Quesería!$B$46+$U$24)^G$43</f>
        <v>0.40444134162432</v>
      </c>
      <c r="H901" s="34" t="n">
        <f aca="false">(H864/$B$864)/(1+Quesería!$B$46+$U$24)^H$43</f>
        <v>0.336495196231434</v>
      </c>
      <c r="I901" s="34" t="n">
        <f aca="false">(I864/$B$864)/(1+Quesería!$B$46+$U$24)^I$43</f>
        <v>0.279964003264553</v>
      </c>
      <c r="J901" s="34" t="n">
        <f aca="false">(J864/$B$864)/(1+Quesería!$B$46+$U$24)^J$43</f>
        <v>0.232930050716108</v>
      </c>
      <c r="K901" s="34" t="n">
        <f aca="false">(K864/$B$864)/(1+Quesería!$B$46+$U$24)^K$43</f>
        <v>0.193797802195802</v>
      </c>
      <c r="L901" s="34" t="n">
        <f aca="false">(L864/$B$864)/(1+Quesería!$B$46+$U$24)^L$43</f>
        <v>0.161239771426907</v>
      </c>
    </row>
    <row r="902" customFormat="false" ht="15" hidden="false" customHeight="false" outlineLevel="0" collapsed="false">
      <c r="A902" s="9" t="s">
        <v>316</v>
      </c>
      <c r="B902" s="36" t="n">
        <f aca="false">B884+B867+B869+B898</f>
        <v>63.1678361202728</v>
      </c>
      <c r="C902" s="36" t="n">
        <f aca="false">C884+C867+C869+C898</f>
        <v>209.823002941542</v>
      </c>
      <c r="D902" s="36" t="n">
        <f aca="false">D884+D867+D869+D898</f>
        <v>387.646212372169</v>
      </c>
      <c r="E902" s="36" t="n">
        <f aca="false">E884+E867+E869+E898</f>
        <v>290.821086182331</v>
      </c>
      <c r="F902" s="36" t="n">
        <f aca="false">F884+F867+F869+F898</f>
        <v>283.129517055125</v>
      </c>
      <c r="G902" s="36" t="n">
        <f aca="false">G884+G867+G869+G898</f>
        <v>246.89224168057</v>
      </c>
      <c r="H902" s="36" t="n">
        <f aca="false">H884+H867+H869+H898</f>
        <v>231.891420976396</v>
      </c>
      <c r="I902" s="36" t="n">
        <f aca="false">I884+I867+I869+I898</f>
        <v>263.181509726477</v>
      </c>
      <c r="J902" s="36" t="n">
        <f aca="false">J884+J867+J869+J898</f>
        <v>249.508815414683</v>
      </c>
      <c r="K902" s="36" t="n">
        <f aca="false">K884+K867+K869+K898</f>
        <v>245.743059483011</v>
      </c>
      <c r="L902" s="36" t="n">
        <f aca="false">L884+L867+L869+L898</f>
        <v>315.858759456126</v>
      </c>
    </row>
    <row r="903" customFormat="false" ht="15" hidden="false" customHeight="false" outlineLevel="0" collapsed="false">
      <c r="A903" s="5" t="s">
        <v>317</v>
      </c>
      <c r="B903" s="12" t="str">
        <f aca="false">IF(AND(B$43&gt;=1,(B894+B895+B896)&gt;0.001),B902/(B894+B895+B896),"")</f>
        <v/>
      </c>
      <c r="C903" s="12" t="n">
        <f aca="false">IF(AND(C$43&gt;=1,(C894+C895+C896)&gt;0.001),C902/(C894+C895+C896),"")</f>
        <v>2.6556204033491</v>
      </c>
      <c r="D903" s="12" t="n">
        <f aca="false">IF(AND(D$43&gt;=1,(D894+D895+D896)&gt;0.001),D902/(D894+D895+D896),"")</f>
        <v>1.92716605037082</v>
      </c>
      <c r="E903" s="12" t="n">
        <f aca="false">IF(AND(E$43&gt;=1,(E894+E895+E896)&gt;0.001),E902/(E894+E895+E896),"")</f>
        <v>1.16066561468141</v>
      </c>
      <c r="F903" s="12" t="n">
        <f aca="false">IF(AND(F$43&gt;=1,(F894+F895+F896)&gt;0.001),F902/(F894+F895+F896),"")</f>
        <v>1.28762552970121</v>
      </c>
      <c r="G903" s="12" t="n">
        <f aca="false">IF(AND(G$43&gt;=1,(G894+G895+G896)&gt;0.001),G902/(G894+G895+G896),"")</f>
        <v>1.29130997328996</v>
      </c>
      <c r="H903" s="12" t="n">
        <f aca="false">IF(AND(H$43&gt;=1,(H894+H895+H896)&gt;0.001),H902/(H894+H895+H896),"")</f>
        <v>1.41064321820107</v>
      </c>
      <c r="I903" s="12" t="n">
        <f aca="false">IF(AND(I$43&gt;=1,(I894+I895+I896)&gt;0.001),I902/(I894+I895+I896),"")</f>
        <v>1.88852580815915</v>
      </c>
      <c r="J903" s="12" t="n">
        <f aca="false">IF(AND(J$43&gt;=1,(J894+J895+J896)&gt;0.001),J902/(J894+J895+J896),"")</f>
        <v>3.84085801245484</v>
      </c>
      <c r="K903" s="12" t="str">
        <f aca="false">IF(AND(K$43&gt;=1,(K894+K895+K896)&gt;0.001),K902/(K894+K895+K896),"")</f>
        <v/>
      </c>
      <c r="L903" s="12" t="str">
        <f aca="false">IF(AND(L$43&gt;=1,(L894+L895+L896)&gt;0.001),L902/(L894+L895+L896),"")</f>
        <v/>
      </c>
    </row>
    <row r="905" customFormat="false" ht="15" hidden="false" customHeight="false" outlineLevel="0" collapsed="false">
      <c r="A905" s="66" t="s">
        <v>646</v>
      </c>
      <c r="B905" s="67"/>
      <c r="C905" s="67"/>
      <c r="D905" s="67"/>
      <c r="E905" s="67"/>
      <c r="F905" s="67"/>
      <c r="G905" s="67"/>
      <c r="H905" s="67"/>
      <c r="I905" s="67"/>
      <c r="J905" s="67"/>
      <c r="K905" s="67"/>
      <c r="L905" s="67"/>
    </row>
    <row r="906" customFormat="false" ht="15" hidden="false" customHeight="false" outlineLevel="0" collapsed="false">
      <c r="A906" s="9" t="s">
        <v>281</v>
      </c>
      <c r="B906" s="33" t="n">
        <f aca="false">CHOOSE($V$15,Entorno!B$7,Entorno!B$8,Entorno!B$9)</f>
        <v>0.06</v>
      </c>
      <c r="C906" s="33" t="n">
        <f aca="false">CHOOSE($V$15,Entorno!C$7,Entorno!C$8,Entorno!C$9)</f>
        <v>0.05</v>
      </c>
      <c r="D906" s="33" t="n">
        <f aca="false">CHOOSE($V$15,Entorno!D$7,Entorno!D$8,Entorno!D$9)</f>
        <v>0.045</v>
      </c>
      <c r="E906" s="33" t="n">
        <f aca="false">CHOOSE($V$15,Entorno!E$7,Entorno!E$8,Entorno!E$9)</f>
        <v>0.04</v>
      </c>
      <c r="F906" s="33" t="n">
        <f aca="false">CHOOSE($V$15,Entorno!F$7,Entorno!F$8,Entorno!F$9)</f>
        <v>0.04</v>
      </c>
      <c r="G906" s="33" t="n">
        <f aca="false">CHOOSE($V$15,Entorno!G$7,Entorno!G$8,Entorno!G$9)</f>
        <v>0.04</v>
      </c>
      <c r="H906" s="33" t="n">
        <f aca="false">CHOOSE($V$15,Entorno!H$7,Entorno!H$8,Entorno!H$9)</f>
        <v>0.04</v>
      </c>
      <c r="I906" s="33" t="n">
        <f aca="false">CHOOSE($V$15,Entorno!I$7,Entorno!I$8,Entorno!I$9)</f>
        <v>0.04</v>
      </c>
      <c r="J906" s="33" t="n">
        <f aca="false">CHOOSE($V$15,Entorno!J$7,Entorno!J$8,Entorno!J$9)</f>
        <v>0.04</v>
      </c>
      <c r="K906" s="33" t="n">
        <f aca="false">CHOOSE($V$15,Entorno!K$7,Entorno!K$8,Entorno!K$9)</f>
        <v>0.04</v>
      </c>
      <c r="L906" s="33" t="n">
        <f aca="false">CHOOSE($V$15,Entorno!L$7,Entorno!L$8,Entorno!L$9)</f>
        <v>0.04</v>
      </c>
    </row>
    <row r="907" customFormat="false" ht="15" hidden="false" customHeight="false" outlineLevel="0" collapsed="false">
      <c r="A907" s="9" t="s">
        <v>282</v>
      </c>
      <c r="B907" s="34" t="n">
        <f aca="false">1+B906</f>
        <v>1.06</v>
      </c>
      <c r="C907" s="34" t="n">
        <f aca="false">B907*(1+C906)</f>
        <v>1.113</v>
      </c>
      <c r="D907" s="34" t="n">
        <f aca="false">C907*(1+D906)</f>
        <v>1.163085</v>
      </c>
      <c r="E907" s="34" t="n">
        <f aca="false">D907*(1+E906)</f>
        <v>1.2096084</v>
      </c>
      <c r="F907" s="34" t="n">
        <f aca="false">E907*(1+F906)</f>
        <v>1.257992736</v>
      </c>
      <c r="G907" s="34" t="n">
        <f aca="false">F907*(1+G906)</f>
        <v>1.30831244544</v>
      </c>
      <c r="H907" s="34" t="n">
        <f aca="false">G907*(1+H906)</f>
        <v>1.3606449432576</v>
      </c>
      <c r="I907" s="34" t="n">
        <f aca="false">H907*(1+I906)</f>
        <v>1.4150707409879</v>
      </c>
      <c r="J907" s="34" t="n">
        <f aca="false">I907*(1+J906)</f>
        <v>1.47167357062742</v>
      </c>
      <c r="K907" s="34" t="n">
        <f aca="false">J907*(1+K906)</f>
        <v>1.53054051345252</v>
      </c>
      <c r="L907" s="34" t="n">
        <f aca="false">K907*(1+L906)</f>
        <v>1.59176213399062</v>
      </c>
    </row>
    <row r="908" customFormat="false" ht="15" hidden="false" customHeight="false" outlineLevel="0" collapsed="false">
      <c r="A908" s="9" t="s">
        <v>283</v>
      </c>
      <c r="B908" s="34" t="n">
        <f aca="false">(1+$V$16)/(1+B906)</f>
        <v>1.02358490566038</v>
      </c>
      <c r="C908" s="34" t="n">
        <f aca="false">B908*(1+Entorno!$B$13)</f>
        <v>1.02870283018868</v>
      </c>
      <c r="D908" s="34" t="n">
        <f aca="false">C908*(1+Entorno!$B$13)</f>
        <v>1.03384634433962</v>
      </c>
      <c r="E908" s="34" t="n">
        <f aca="false">D908*(1+Entorno!$B$13)</f>
        <v>1.03901557606132</v>
      </c>
      <c r="F908" s="34" t="n">
        <f aca="false">E908*(1+Entorno!$B$13)</f>
        <v>1.04421065394163</v>
      </c>
      <c r="G908" s="34" t="n">
        <f aca="false">F908*(1+Entorno!$B$13)</f>
        <v>1.04943170721133</v>
      </c>
      <c r="H908" s="34" t="n">
        <f aca="false">G908*(1+Entorno!$B$13)</f>
        <v>1.05467886574739</v>
      </c>
      <c r="I908" s="34" t="n">
        <f aca="false">H908*(1+Entorno!$B$13)</f>
        <v>1.05995226007613</v>
      </c>
      <c r="J908" s="34" t="n">
        <f aca="false">I908*(1+Entorno!$B$13)</f>
        <v>1.06525202137651</v>
      </c>
      <c r="K908" s="34" t="n">
        <f aca="false">J908*(1+Entorno!$B$13)</f>
        <v>1.07057828148339</v>
      </c>
      <c r="L908" s="34" t="n">
        <f aca="false">K908*(1+Entorno!$B$13)</f>
        <v>1.07593117289081</v>
      </c>
    </row>
    <row r="909" customFormat="false" ht="15" hidden="false" customHeight="false" outlineLevel="0" collapsed="false">
      <c r="A909" s="9" t="s">
        <v>284</v>
      </c>
      <c r="B909" s="34" t="n">
        <f aca="false">1/B907</f>
        <v>0.943396226415094</v>
      </c>
      <c r="C909" s="34" t="n">
        <f aca="false">1/C907</f>
        <v>0.898472596585804</v>
      </c>
      <c r="D909" s="34" t="n">
        <f aca="false">1/D907</f>
        <v>0.859782389077324</v>
      </c>
      <c r="E909" s="34" t="n">
        <f aca="false">1/E907</f>
        <v>0.826713835651273</v>
      </c>
      <c r="F909" s="34" t="n">
        <f aca="false">1/F907</f>
        <v>0.794917149664686</v>
      </c>
      <c r="G909" s="34" t="n">
        <f aca="false">1/G907</f>
        <v>0.764343413139121</v>
      </c>
      <c r="H909" s="34" t="n">
        <f aca="false">1/H907</f>
        <v>0.734945589556847</v>
      </c>
      <c r="I909" s="34" t="n">
        <f aca="false">1/I907</f>
        <v>0.706678451496968</v>
      </c>
      <c r="J909" s="34" t="n">
        <f aca="false">1/J907</f>
        <v>0.679498511054777</v>
      </c>
      <c r="K909" s="34" t="n">
        <f aca="false">1/K907</f>
        <v>0.653363952937286</v>
      </c>
      <c r="L909" s="34" t="n">
        <f aca="false">1/L907</f>
        <v>0.628234570132006</v>
      </c>
    </row>
    <row r="910" customFormat="false" ht="15" hidden="false" customHeight="false" outlineLevel="0" collapsed="false">
      <c r="A910" s="6" t="s">
        <v>202</v>
      </c>
      <c r="B910" s="35" t="n">
        <f aca="false">IF(B$43=0,Quesería!$F$80,IF(B$43=1,Quesería!$F$81*$V$21,0))*$V$11</f>
        <v>746.692349186881</v>
      </c>
      <c r="C910" s="35" t="n">
        <f aca="false">IF(C$43=0,Quesería!$F$80,IF(C$43=1,Quesería!$F$81*$V$21,0))*$V$11</f>
        <v>774.324106294346</v>
      </c>
      <c r="D910" s="35" t="n">
        <f aca="false">IF(D$43=0,Quesería!$F$80,IF(D$43=1,Quesería!$F$81*$V$21,0))*$V$11</f>
        <v>0</v>
      </c>
      <c r="E910" s="35" t="n">
        <f aca="false">IF(E$43=0,Quesería!$F$80,IF(E$43=1,Quesería!$F$81*$V$21,0))*$V$11</f>
        <v>0</v>
      </c>
      <c r="F910" s="35" t="n">
        <f aca="false">IF(F$43=0,Quesería!$F$80,IF(F$43=1,Quesería!$F$81*$V$21,0))*$V$11</f>
        <v>0</v>
      </c>
      <c r="G910" s="35" t="n">
        <f aca="false">IF(G$43=0,Quesería!$F$80,IF(G$43=1,Quesería!$F$81*$V$21,0))*$V$11</f>
        <v>0</v>
      </c>
      <c r="H910" s="35" t="n">
        <f aca="false">IF(H$43=0,Quesería!$F$80,IF(H$43=1,Quesería!$F$81*$V$21,0))*$V$11</f>
        <v>0</v>
      </c>
      <c r="I910" s="35" t="n">
        <f aca="false">IF(I$43=0,Quesería!$F$80,IF(I$43=1,Quesería!$F$81*$V$21,0))*$V$11</f>
        <v>0</v>
      </c>
      <c r="J910" s="35" t="n">
        <f aca="false">IF(J$43=0,Quesería!$F$80,IF(J$43=1,Quesería!$F$81*$V$21,0))*$V$11</f>
        <v>0</v>
      </c>
      <c r="K910" s="35" t="n">
        <f aca="false">IF(K$43=0,Quesería!$F$80,IF(K$43=1,Quesería!$F$81*$V$21,0))*$V$11</f>
        <v>0</v>
      </c>
      <c r="L910" s="35" t="n">
        <f aca="false">IF(L$43=0,Quesería!$F$80,IF(L$43=1,Quesería!$F$81*$V$21,0))*$V$11</f>
        <v>0</v>
      </c>
    </row>
    <row r="911" customFormat="false" ht="15" hidden="false" customHeight="false" outlineLevel="0" collapsed="false">
      <c r="A911" s="6" t="s">
        <v>285</v>
      </c>
      <c r="B911" s="35" t="n">
        <f aca="false">IF(B$43=5,Quesería!$F$87,IF(B$43=6,Quesería!$F$88,0))*$V$11</f>
        <v>0</v>
      </c>
      <c r="C911" s="35" t="n">
        <f aca="false">IF(C$43=5,Quesería!$F$87,IF(C$43=6,Quesería!$F$88,0))*$V$11</f>
        <v>0</v>
      </c>
      <c r="D911" s="35" t="n">
        <f aca="false">IF(D$43=5,Quesería!$F$87,IF(D$43=6,Quesería!$F$88,0))*$V$11</f>
        <v>0</v>
      </c>
      <c r="E911" s="35" t="n">
        <f aca="false">IF(E$43=5,Quesería!$F$87,IF(E$43=6,Quesería!$F$88,0))*$V$11</f>
        <v>0</v>
      </c>
      <c r="F911" s="35" t="n">
        <f aca="false">IF(F$43=5,Quesería!$F$87,IF(F$43=6,Quesería!$F$88,0))*$V$11</f>
        <v>0</v>
      </c>
      <c r="G911" s="35" t="n">
        <f aca="false">IF(G$43=5,Quesería!$F$87,IF(G$43=6,Quesería!$F$88,0))*$V$11</f>
        <v>32</v>
      </c>
      <c r="H911" s="35" t="n">
        <f aca="false">IF(H$43=5,Quesería!$F$87,IF(H$43=6,Quesería!$F$88,0))*$V$11</f>
        <v>42.365463668</v>
      </c>
      <c r="I911" s="35" t="n">
        <f aca="false">IF(I$43=5,Quesería!$F$87,IF(I$43=6,Quesería!$F$88,0))*$V$11</f>
        <v>0</v>
      </c>
      <c r="J911" s="35" t="n">
        <f aca="false">IF(J$43=5,Quesería!$F$87,IF(J$43=6,Quesería!$F$88,0))*$V$11</f>
        <v>0</v>
      </c>
      <c r="K911" s="35" t="n">
        <f aca="false">IF(K$43=5,Quesería!$F$87,IF(K$43=6,Quesería!$F$88,0))*$V$11</f>
        <v>0</v>
      </c>
      <c r="L911" s="35" t="n">
        <f aca="false">IF(L$43=5,Quesería!$F$87,IF(L$43=6,Quesería!$F$88,0))*$V$11</f>
        <v>0</v>
      </c>
    </row>
    <row r="912" customFormat="false" ht="15" hidden="false" customHeight="false" outlineLevel="0" collapsed="false">
      <c r="A912" s="6" t="s">
        <v>286</v>
      </c>
      <c r="B912" s="35" t="n">
        <f aca="false">Quesería!$B$36*(IF(B$43=0,SUMPRODUCT((Quesería!$C$62:$C$77=0)*(Quesería!$H$62:$H$77&gt;0)*(Quesería!$J$62:$J$77&gt;0)*Quesería!$F$62:$F$77*(1+Quesería!$I$62:$I$77)),IF(B$43=1,SUMPRODUCT((Quesería!$C$62:$C$77=1)*(Quesería!$H$62:$H$77&gt;0)*(Quesería!$J$62:$J$77&gt;0)*Quesería!$F$62:$F$77*(1+Quesería!$I$62:$I$77))*$V$21,0))*$V$11+B911)</f>
        <v>119.217450585712</v>
      </c>
      <c r="C912" s="35" t="n">
        <f aca="false">Quesería!$B$36*(IF(C$43=0,SUMPRODUCT((Quesería!$C$62:$C$77=0)*(Quesería!$H$62:$H$77&gt;0)*(Quesería!$J$62:$J$77&gt;0)*Quesería!$F$62:$F$77*(1+Quesería!$I$62:$I$77)),IF(C$43=1,SUMPRODUCT((Quesería!$C$62:$C$77=1)*(Quesería!$H$62:$H$77&gt;0)*(Quesería!$J$62:$J$77&gt;0)*Quesería!$F$62:$F$77*(1+Quesería!$I$62:$I$77))*$V$21,0))*$V$11+C911)</f>
        <v>147.121580195926</v>
      </c>
      <c r="D912" s="35" t="n">
        <f aca="false">Quesería!$B$36*(IF(D$43=0,SUMPRODUCT((Quesería!$C$62:$C$77=0)*(Quesería!$H$62:$H$77&gt;0)*(Quesería!$J$62:$J$77&gt;0)*Quesería!$F$62:$F$77*(1+Quesería!$I$62:$I$77)),IF(D$43=1,SUMPRODUCT((Quesería!$C$62:$C$77=1)*(Quesería!$H$62:$H$77&gt;0)*(Quesería!$J$62:$J$77&gt;0)*Quesería!$F$62:$F$77*(1+Quesería!$I$62:$I$77))*$V$21,0))*$V$11+D911)</f>
        <v>0</v>
      </c>
      <c r="E912" s="35" t="n">
        <f aca="false">Quesería!$B$36*(IF(E$43=0,SUMPRODUCT((Quesería!$C$62:$C$77=0)*(Quesería!$H$62:$H$77&gt;0)*(Quesería!$J$62:$J$77&gt;0)*Quesería!$F$62:$F$77*(1+Quesería!$I$62:$I$77)),IF(E$43=1,SUMPRODUCT((Quesería!$C$62:$C$77=1)*(Quesería!$H$62:$H$77&gt;0)*(Quesería!$J$62:$J$77&gt;0)*Quesería!$F$62:$F$77*(1+Quesería!$I$62:$I$77))*$V$21,0))*$V$11+E911)</f>
        <v>0</v>
      </c>
      <c r="F912" s="35" t="n">
        <f aca="false">Quesería!$B$36*(IF(F$43=0,SUMPRODUCT((Quesería!$C$62:$C$77=0)*(Quesería!$H$62:$H$77&gt;0)*(Quesería!$J$62:$J$77&gt;0)*Quesería!$F$62:$F$77*(1+Quesería!$I$62:$I$77)),IF(F$43=1,SUMPRODUCT((Quesería!$C$62:$C$77=1)*(Quesería!$H$62:$H$77&gt;0)*(Quesería!$J$62:$J$77&gt;0)*Quesería!$F$62:$F$77*(1+Quesería!$I$62:$I$77))*$V$21,0))*$V$11+F911)</f>
        <v>0</v>
      </c>
      <c r="G912" s="35" t="n">
        <f aca="false">Quesería!$B$36*(IF(G$43=0,SUMPRODUCT((Quesería!$C$62:$C$77=0)*(Quesería!$H$62:$H$77&gt;0)*(Quesería!$J$62:$J$77&gt;0)*Quesería!$F$62:$F$77*(1+Quesería!$I$62:$I$77)),IF(G$43=1,SUMPRODUCT((Quesería!$C$62:$C$77=1)*(Quesería!$H$62:$H$77&gt;0)*(Quesería!$J$62:$J$77&gt;0)*Quesería!$F$62:$F$77*(1+Quesería!$I$62:$I$77))*$V$21,0))*$V$11+G911)</f>
        <v>6.08</v>
      </c>
      <c r="H912" s="35" t="n">
        <f aca="false">Quesería!$B$36*(IF(H$43=0,SUMPRODUCT((Quesería!$C$62:$C$77=0)*(Quesería!$H$62:$H$77&gt;0)*(Quesería!$J$62:$J$77&gt;0)*Quesería!$F$62:$F$77*(1+Quesería!$I$62:$I$77)),IF(H$43=1,SUMPRODUCT((Quesería!$C$62:$C$77=1)*(Quesería!$H$62:$H$77&gt;0)*(Quesería!$J$62:$J$77&gt;0)*Quesería!$F$62:$F$77*(1+Quesería!$I$62:$I$77))*$V$21,0))*$V$11+H911)</f>
        <v>8.04943809692</v>
      </c>
      <c r="I912" s="35" t="n">
        <f aca="false">Quesería!$B$36*(IF(I$43=0,SUMPRODUCT((Quesería!$C$62:$C$77=0)*(Quesería!$H$62:$H$77&gt;0)*(Quesería!$J$62:$J$77&gt;0)*Quesería!$F$62:$F$77*(1+Quesería!$I$62:$I$77)),IF(I$43=1,SUMPRODUCT((Quesería!$C$62:$C$77=1)*(Quesería!$H$62:$H$77&gt;0)*(Quesería!$J$62:$J$77&gt;0)*Quesería!$F$62:$F$77*(1+Quesería!$I$62:$I$77))*$V$21,0))*$V$11+I911)</f>
        <v>0</v>
      </c>
      <c r="J912" s="35" t="n">
        <f aca="false">Quesería!$B$36*(IF(J$43=0,SUMPRODUCT((Quesería!$C$62:$C$77=0)*(Quesería!$H$62:$H$77&gt;0)*(Quesería!$J$62:$J$77&gt;0)*Quesería!$F$62:$F$77*(1+Quesería!$I$62:$I$77)),IF(J$43=1,SUMPRODUCT((Quesería!$C$62:$C$77=1)*(Quesería!$H$62:$H$77&gt;0)*(Quesería!$J$62:$J$77&gt;0)*Quesería!$F$62:$F$77*(1+Quesería!$I$62:$I$77))*$V$21,0))*$V$11+J911)</f>
        <v>0</v>
      </c>
      <c r="K912" s="35" t="n">
        <f aca="false">Quesería!$B$36*(IF(K$43=0,SUMPRODUCT((Quesería!$C$62:$C$77=0)*(Quesería!$H$62:$H$77&gt;0)*(Quesería!$J$62:$J$77&gt;0)*Quesería!$F$62:$F$77*(1+Quesería!$I$62:$I$77)),IF(K$43=1,SUMPRODUCT((Quesería!$C$62:$C$77=1)*(Quesería!$H$62:$H$77&gt;0)*(Quesería!$J$62:$J$77&gt;0)*Quesería!$F$62:$F$77*(1+Quesería!$I$62:$I$77))*$V$21,0))*$V$11+K911)</f>
        <v>0</v>
      </c>
      <c r="L912" s="35" t="n">
        <f aca="false">Quesería!$B$36*(IF(L$43=0,SUMPRODUCT((Quesería!$C$62:$C$77=0)*(Quesería!$H$62:$H$77&gt;0)*(Quesería!$J$62:$J$77&gt;0)*Quesería!$F$62:$F$77*(1+Quesería!$I$62:$I$77)),IF(L$43=1,SUMPRODUCT((Quesería!$C$62:$C$77=1)*(Quesería!$H$62:$H$77&gt;0)*(Quesería!$J$62:$J$77&gt;0)*Quesería!$F$62:$F$77*(1+Quesería!$I$62:$I$77))*$V$21,0))*$V$11+L911)</f>
        <v>0</v>
      </c>
    </row>
    <row r="913" customFormat="false" ht="15" hidden="false" customHeight="false" outlineLevel="0" collapsed="false">
      <c r="A913" s="6" t="s">
        <v>260</v>
      </c>
      <c r="B913" s="35" t="n">
        <f aca="false">IF(B$43=0,($V$22*Quesería!$J$109+(1-$V$22)*Quesería!$E$105)*Quesería!$B$12*Quesería!$B$13/12*$V$23,(($V$22*Quesería!$J$109+(1-$V$22)*Quesería!$E$105)+($V$22*Quesería!$J$92+(1-$V$22)*Quesería!$E$92)*(B908-1))*IF(B$43=1,Quesería!$B$12,1))*$V$10</f>
        <v>36.5098985682111</v>
      </c>
      <c r="C913" s="35" t="n">
        <f aca="false">IF(C$43=0,($V$22*Quesería!$J$109+(1-$V$22)*Quesería!$E$105)*Quesería!$B$12*Quesería!$B$13/12*$V$23,(($V$22*Quesería!$J$109+(1-$V$22)*Quesería!$E$105)+($V$22*Quesería!$J$92+(1-$V$22)*Quesería!$E$92)*(C908-1))*IF(C$43=1,Quesería!$B$12,1))*$V$10</f>
        <v>109.732222874445</v>
      </c>
      <c r="D913" s="35" t="n">
        <f aca="false">IF(D$43=0,($V$22*Quesería!$J$109+(1-$V$22)*Quesería!$E$105)*Quesería!$B$12*Quesería!$B$13/12*$V$23,(($V$22*Quesería!$J$109+(1-$V$22)*Quesería!$E$105)+($V$22*Quesería!$J$92+(1-$V$22)*Quesería!$E$92)*(D908-1))*IF(D$43=1,Quesería!$B$12,1))*$V$10</f>
        <v>146.358020680392</v>
      </c>
      <c r="E913" s="35" t="n">
        <f aca="false">IF(E$43=0,($V$22*Quesería!$J$109+(1-$V$22)*Quesería!$E$105)*Quesería!$B$12*Quesería!$B$13/12*$V$23,(($V$22*Quesería!$J$109+(1-$V$22)*Quesería!$E$105)+($V$22*Quesería!$J$92+(1-$V$22)*Quesería!$E$92)*(E908-1))*IF(E$43=1,Quesería!$B$12,1))*$V$10</f>
        <v>146.406652812429</v>
      </c>
      <c r="F913" s="35" t="n">
        <f aca="false">IF(F$43=0,($V$22*Quesería!$J$109+(1-$V$22)*Quesería!$E$105)*Quesería!$B$12*Quesería!$B$13/12*$V$23,(($V$22*Quesería!$J$109+(1-$V$22)*Quesería!$E$105)+($V$22*Quesería!$J$92+(1-$V$22)*Quesería!$E$92)*(F908-1))*IF(F$43=1,Quesería!$B$12,1))*$V$10</f>
        <v>146.455528105127</v>
      </c>
      <c r="G913" s="35" t="n">
        <f aca="false">IF(G$43=0,($V$22*Quesería!$J$109+(1-$V$22)*Quesería!$E$105)*Quesería!$B$12*Quesería!$B$13/12*$V$23,(($V$22*Quesería!$J$109+(1-$V$22)*Quesería!$E$105)+($V$22*Quesería!$J$92+(1-$V$22)*Quesería!$E$92)*(G908-1))*IF(G$43=1,Quesería!$B$12,1))*$V$10</f>
        <v>146.504647774289</v>
      </c>
      <c r="H913" s="35" t="n">
        <f aca="false">IF(H$43=0,($V$22*Quesería!$J$109+(1-$V$22)*Quesería!$E$105)*Quesería!$B$12*Quesería!$B$13/12*$V$23,(($V$22*Quesería!$J$109+(1-$V$22)*Quesería!$E$105)+($V$22*Quesería!$J$92+(1-$V$22)*Quesería!$E$92)*(H908-1))*IF(H$43=1,Quesería!$B$12,1))*$V$10</f>
        <v>146.554013041796</v>
      </c>
      <c r="I913" s="35" t="n">
        <f aca="false">IF(I$43=0,($V$22*Quesería!$J$109+(1-$V$22)*Quesería!$E$105)*Quesería!$B$12*Quesería!$B$13/12*$V$23,(($V$22*Quesería!$J$109+(1-$V$22)*Quesería!$E$105)+($V$22*Quesería!$J$92+(1-$V$22)*Quesería!$E$92)*(I908-1))*IF(I$43=1,Quesería!$B$12,1))*$V$10</f>
        <v>146.603625135641</v>
      </c>
      <c r="J913" s="35" t="n">
        <f aca="false">IF(J$43=0,($V$22*Quesería!$J$109+(1-$V$22)*Quesería!$E$105)*Quesería!$B$12*Quesería!$B$13/12*$V$23,(($V$22*Quesería!$J$109+(1-$V$22)*Quesería!$E$105)+($V$22*Quesería!$J$92+(1-$V$22)*Quesería!$E$92)*(J908-1))*IF(J$43=1,Quesería!$B$12,1))*$V$10</f>
        <v>146.653485289955</v>
      </c>
      <c r="K913" s="35" t="n">
        <f aca="false">IF(K$43=0,($V$22*Quesería!$J$109+(1-$V$22)*Quesería!$E$105)*Quesería!$B$12*Quesería!$B$13/12*$V$23,(($V$22*Quesería!$J$109+(1-$V$22)*Quesería!$E$105)+($V$22*Quesería!$J$92+(1-$V$22)*Quesería!$E$92)*(K908-1))*IF(K$43=1,Quesería!$B$12,1))*$V$10</f>
        <v>146.70359474504</v>
      </c>
      <c r="L913" s="35" t="n">
        <f aca="false">IF(L$43=0,($V$22*Quesería!$J$109+(1-$V$22)*Quesería!$E$105)*Quesería!$B$12*Quesería!$B$13/12*$V$23,(($V$22*Quesería!$J$109+(1-$V$22)*Quesería!$E$105)+($V$22*Quesería!$J$92+(1-$V$22)*Quesería!$E$92)*(L908-1))*IF(L$43=1,Quesería!$B$12,1))*$V$10</f>
        <v>146.753954747401</v>
      </c>
    </row>
    <row r="914" customFormat="false" ht="15" hidden="false" customHeight="false" outlineLevel="0" collapsed="false">
      <c r="A914" s="6" t="s">
        <v>261</v>
      </c>
      <c r="B914" s="35" t="n">
        <f aca="false">IF(B$43&lt;=1,0,((($V$22*Quesería!$J$110+(1-$V$22)*Quesería!$E$106)-($V$22*Quesería!$J$99+(1-$V$22)*Quesería!$E$99)+$V$6*($V$22*Quesería!$J$99+(1-$V$22)*Quesería!$E$99)-(1-$V$9)*($V$22*Quesería!$J$102+(1-$V$22)*Quesería!$E$102))+($V$6*($V$22*Quesería!$J$99+(1-$V$22)*Quesería!$E$99)+$V$9*($V$22*Quesería!$J$102+(1-$V$22)*Quesería!$E$102))*(B908-1))*IF(B$43=2,Quesería!$B$12,1)+IF(B$43=2,Quesería!$B$14*$V$9*($V$22*Quesería!$J$102+(1-$V$22)*Quesería!$E$102)*B908,0))*$V$10*$V$21</f>
        <v>0</v>
      </c>
      <c r="C914" s="35" t="n">
        <f aca="false">IF(C$43&lt;=1,0,((($V$22*Quesería!$J$110+(1-$V$22)*Quesería!$E$106)-($V$22*Quesería!$J$99+(1-$V$22)*Quesería!$E$99)+$V$6*($V$22*Quesería!$J$99+(1-$V$22)*Quesería!$E$99)-(1-$V$9)*($V$22*Quesería!$J$102+(1-$V$22)*Quesería!$E$102))+($V$6*($V$22*Quesería!$J$99+(1-$V$22)*Quesería!$E$99)+$V$9*($V$22*Quesería!$J$102+(1-$V$22)*Quesería!$E$102))*(C908-1))*IF(C$43=2,Quesería!$B$12,1)+IF(C$43=2,Quesería!$B$14*$V$9*($V$22*Quesería!$J$102+(1-$V$22)*Quesería!$E$102)*C908,0))*$V$10*$V$21</f>
        <v>0</v>
      </c>
      <c r="D914" s="35" t="n">
        <f aca="false">IF(D$43&lt;=1,0,((($V$22*Quesería!$J$110+(1-$V$22)*Quesería!$E$106)-($V$22*Quesería!$J$99+(1-$V$22)*Quesería!$E$99)+$V$6*($V$22*Quesería!$J$99+(1-$V$22)*Quesería!$E$99)-(1-$V$9)*($V$22*Quesería!$J$102+(1-$V$22)*Quesería!$E$102))+($V$6*($V$22*Quesería!$J$99+(1-$V$22)*Quesería!$E$99)+$V$9*($V$22*Quesería!$J$102+(1-$V$22)*Quesería!$E$102))*(D908-1))*IF(D$43=2,Quesería!$B$12,1)+IF(D$43=2,Quesería!$B$14*$V$9*($V$22*Quesería!$J$102+(1-$V$22)*Quesería!$E$102)*D908,0))*$V$10*$V$21</f>
        <v>158.270243349006</v>
      </c>
      <c r="E914" s="35" t="n">
        <f aca="false">IF(E$43&lt;=1,0,((($V$22*Quesería!$J$110+(1-$V$22)*Quesería!$E$106)-($V$22*Quesería!$J$99+(1-$V$22)*Quesería!$E$99)+$V$6*($V$22*Quesería!$J$99+(1-$V$22)*Quesería!$E$99)-(1-$V$9)*($V$22*Quesería!$J$102+(1-$V$22)*Quesería!$E$102))+($V$6*($V$22*Quesería!$J$99+(1-$V$22)*Quesería!$E$99)+$V$9*($V$22*Quesería!$J$102+(1-$V$22)*Quesería!$E$102))*(E908-1))*IF(E$43=2,Quesería!$B$12,1)+IF(E$43=2,Quesería!$B$14*$V$9*($V$22*Quesería!$J$102+(1-$V$22)*Quesería!$E$102)*E908,0))*$V$10*$V$21</f>
        <v>187.55355123763</v>
      </c>
      <c r="F914" s="35" t="n">
        <f aca="false">IF(F$43&lt;=1,0,((($V$22*Quesería!$J$110+(1-$V$22)*Quesería!$E$106)-($V$22*Quesería!$J$99+(1-$V$22)*Quesería!$E$99)+$V$6*($V$22*Quesería!$J$99+(1-$V$22)*Quesería!$E$99)-(1-$V$9)*($V$22*Quesería!$J$102+(1-$V$22)*Quesería!$E$102))+($V$6*($V$22*Quesería!$J$99+(1-$V$22)*Quesería!$E$99)+$V$9*($V$22*Quesería!$J$102+(1-$V$22)*Quesería!$E$102))*(F908-1))*IF(F$43=2,Quesería!$B$12,1)+IF(F$43=2,Quesería!$B$14*$V$9*($V$22*Quesería!$J$102+(1-$V$22)*Quesería!$E$102)*F908,0))*$V$10*$V$21</f>
        <v>187.901663016234</v>
      </c>
      <c r="G914" s="35" t="n">
        <f aca="false">IF(G$43&lt;=1,0,((($V$22*Quesería!$J$110+(1-$V$22)*Quesería!$E$106)-($V$22*Quesería!$J$99+(1-$V$22)*Quesería!$E$99)+$V$6*($V$22*Quesería!$J$99+(1-$V$22)*Quesería!$E$99)-(1-$V$9)*($V$22*Quesería!$J$102+(1-$V$22)*Quesería!$E$102))+($V$6*($V$22*Quesería!$J$99+(1-$V$22)*Quesería!$E$99)+$V$9*($V$22*Quesería!$J$102+(1-$V$22)*Quesería!$E$102))*(G908-1))*IF(G$43=2,Quesería!$B$12,1)+IF(G$43=2,Quesería!$B$14*$V$9*($V$22*Quesería!$J$102+(1-$V$22)*Quesería!$E$102)*G908,0))*$V$10*$V$21</f>
        <v>188.25151535373</v>
      </c>
      <c r="H914" s="35" t="n">
        <f aca="false">IF(H$43&lt;=1,0,((($V$22*Quesería!$J$110+(1-$V$22)*Quesería!$E$106)-($V$22*Quesería!$J$99+(1-$V$22)*Quesería!$E$99)+$V$6*($V$22*Quesería!$J$99+(1-$V$22)*Quesería!$E$99)-(1-$V$9)*($V$22*Quesería!$J$102+(1-$V$22)*Quesería!$E$102))+($V$6*($V$22*Quesería!$J$99+(1-$V$22)*Quesería!$E$99)+$V$9*($V$22*Quesería!$J$102+(1-$V$22)*Quesería!$E$102))*(H908-1))*IF(H$43=2,Quesería!$B$12,1)+IF(H$43=2,Quesería!$B$14*$V$9*($V$22*Quesería!$J$102+(1-$V$22)*Quesería!$E$102)*H908,0))*$V$10*$V$21</f>
        <v>188.603116952914</v>
      </c>
      <c r="I914" s="35" t="n">
        <f aca="false">IF(I$43&lt;=1,0,((($V$22*Quesería!$J$110+(1-$V$22)*Quesería!$E$106)-($V$22*Quesería!$J$99+(1-$V$22)*Quesería!$E$99)+$V$6*($V$22*Quesería!$J$99+(1-$V$22)*Quesería!$E$99)-(1-$V$9)*($V$22*Quesería!$J$102+(1-$V$22)*Quesería!$E$102))+($V$6*($V$22*Quesería!$J$99+(1-$V$22)*Quesería!$E$99)+$V$9*($V$22*Quesería!$J$102+(1-$V$22)*Quesería!$E$102))*(I908-1))*IF(I$43=2,Quesería!$B$12,1)+IF(I$43=2,Quesería!$B$14*$V$9*($V$22*Quesería!$J$102+(1-$V$22)*Quesería!$E$102)*I908,0))*$V$10*$V$21</f>
        <v>188.956476560094</v>
      </c>
      <c r="J914" s="35" t="n">
        <f aca="false">IF(J$43&lt;=1,0,((($V$22*Quesería!$J$110+(1-$V$22)*Quesería!$E$106)-($V$22*Quesería!$J$99+(1-$V$22)*Quesería!$E$99)+$V$6*($V$22*Quesería!$J$99+(1-$V$22)*Quesería!$E$99)-(1-$V$9)*($V$22*Quesería!$J$102+(1-$V$22)*Quesería!$E$102))+($V$6*($V$22*Quesería!$J$99+(1-$V$22)*Quesería!$E$99)+$V$9*($V$22*Quesería!$J$102+(1-$V$22)*Quesería!$E$102))*(J908-1))*IF(J$43=2,Quesería!$B$12,1)+IF(J$43=2,Quesería!$B$14*$V$9*($V$22*Quesería!$J$102+(1-$V$22)*Quesería!$E$102)*J908,0))*$V$10*$V$21</f>
        <v>189.31160296531</v>
      </c>
      <c r="K914" s="35" t="n">
        <f aca="false">IF(K$43&lt;=1,0,((($V$22*Quesería!$J$110+(1-$V$22)*Quesería!$E$106)-($V$22*Quesería!$J$99+(1-$V$22)*Quesería!$E$99)+$V$6*($V$22*Quesería!$J$99+(1-$V$22)*Quesería!$E$99)-(1-$V$9)*($V$22*Quesería!$J$102+(1-$V$22)*Quesería!$E$102))+($V$6*($V$22*Quesería!$J$99+(1-$V$22)*Quesería!$E$99)+$V$9*($V$22*Quesería!$J$102+(1-$V$22)*Quesería!$E$102))*(K908-1))*IF(K$43=2,Quesería!$B$12,1)+IF(K$43=2,Quesería!$B$14*$V$9*($V$22*Quesería!$J$102+(1-$V$22)*Quesería!$E$102)*K908,0))*$V$10*$V$21</f>
        <v>189.668505002552</v>
      </c>
      <c r="L914" s="35" t="n">
        <f aca="false">IF(L$43&lt;=1,0,((($V$22*Quesería!$J$110+(1-$V$22)*Quesería!$E$106)-($V$22*Quesería!$J$99+(1-$V$22)*Quesería!$E$99)+$V$6*($V$22*Quesería!$J$99+(1-$V$22)*Quesería!$E$99)-(1-$V$9)*($V$22*Quesería!$J$102+(1-$V$22)*Quesería!$E$102))+($V$6*($V$22*Quesería!$J$99+(1-$V$22)*Quesería!$E$99)+$V$9*($V$22*Quesería!$J$102+(1-$V$22)*Quesería!$E$102))*(L908-1))*IF(L$43=2,Quesería!$B$12,1)+IF(L$43=2,Quesería!$B$14*$V$9*($V$22*Quesería!$J$102+(1-$V$22)*Quesería!$E$102)*L908,0))*$V$10*$V$21</f>
        <v>190.02719154998</v>
      </c>
    </row>
    <row r="915" customFormat="false" ht="15" hidden="false" customHeight="false" outlineLevel="0" collapsed="false">
      <c r="A915" s="5" t="s">
        <v>287</v>
      </c>
      <c r="B915" s="10" t="n">
        <f aca="false">B913+B914</f>
        <v>36.5098985682111</v>
      </c>
      <c r="C915" s="10" t="n">
        <f aca="false">C913+C914</f>
        <v>109.732222874445</v>
      </c>
      <c r="D915" s="10" t="n">
        <f aca="false">D913+D914</f>
        <v>304.628264029397</v>
      </c>
      <c r="E915" s="10" t="n">
        <f aca="false">E913+E914</f>
        <v>333.96020405006</v>
      </c>
      <c r="F915" s="10" t="n">
        <f aca="false">F913+F914</f>
        <v>334.357191121361</v>
      </c>
      <c r="G915" s="10" t="n">
        <f aca="false">G913+G914</f>
        <v>334.756163128019</v>
      </c>
      <c r="H915" s="10" t="n">
        <f aca="false">H913+H914</f>
        <v>335.15712999471</v>
      </c>
      <c r="I915" s="10" t="n">
        <f aca="false">I913+I914</f>
        <v>335.560101695735</v>
      </c>
      <c r="J915" s="10" t="n">
        <f aca="false">J913+J914</f>
        <v>335.965088255265</v>
      </c>
      <c r="K915" s="10" t="n">
        <f aca="false">K913+K914</f>
        <v>336.372099747592</v>
      </c>
      <c r="L915" s="10" t="n">
        <f aca="false">L913+L914</f>
        <v>336.781146297382</v>
      </c>
    </row>
    <row r="916" customFormat="false" ht="15" hidden="false" customHeight="false" outlineLevel="0" collapsed="false">
      <c r="A916" s="6" t="s">
        <v>288</v>
      </c>
      <c r="B916" s="35" t="n">
        <f aca="false">(IF(B$43&gt;=1,(Quesería!$B$21+Quesería!$B$54)*Quesería!$F$82*$V$11+Quesería!$B$22+'Beneficios y costos'!$B$118,0)+IF(B$43&gt;=2,((Quesería!$B$21+Quesería!$B$54)*Quesería!$F$83*$V$11+'Beneficios y costos'!$C$118)*$V$21,0))*$V$12</f>
        <v>0</v>
      </c>
      <c r="C916" s="35" t="n">
        <f aca="false">(IF(C$43&gt;=1,(Quesería!$B$21+Quesería!$B$54)*Quesería!$F$82*$V$11+Quesería!$B$22+'Beneficios y costos'!$B$118,0)+IF(C$43&gt;=2,((Quesería!$B$21+Quesería!$B$54)*Quesería!$F$83*$V$11+'Beneficios y costos'!$C$118)*$V$21,0))*$V$12</f>
        <v>50.94303345573</v>
      </c>
      <c r="D916" s="35" t="n">
        <f aca="false">(IF(D$43&gt;=1,(Quesería!$B$21+Quesería!$B$54)*Quesería!$F$82*$V$11+Quesería!$B$22+'Beneficios y costos'!$B$118,0)+IF(D$43&gt;=2,((Quesería!$B$21+Quesería!$B$54)*Quesería!$F$83*$V$11+'Beneficios y costos'!$C$118)*$V$21,0))*$V$12</f>
        <v>122.734993740651</v>
      </c>
      <c r="E916" s="35" t="n">
        <f aca="false">(IF(E$43&gt;=1,(Quesería!$B$21+Quesería!$B$54)*Quesería!$F$82*$V$11+Quesería!$B$22+'Beneficios y costos'!$B$118,0)+IF(E$43&gt;=2,((Quesería!$B$21+Quesería!$B$54)*Quesería!$F$83*$V$11+'Beneficios y costos'!$C$118)*$V$21,0))*$V$12</f>
        <v>122.734993740651</v>
      </c>
      <c r="F916" s="35" t="n">
        <f aca="false">(IF(F$43&gt;=1,(Quesería!$B$21+Quesería!$B$54)*Quesería!$F$82*$V$11+Quesería!$B$22+'Beneficios y costos'!$B$118,0)+IF(F$43&gt;=2,((Quesería!$B$21+Quesería!$B$54)*Quesería!$F$83*$V$11+'Beneficios y costos'!$C$118)*$V$21,0))*$V$12</f>
        <v>122.734993740651</v>
      </c>
      <c r="G916" s="35" t="n">
        <f aca="false">(IF(G$43&gt;=1,(Quesería!$B$21+Quesería!$B$54)*Quesería!$F$82*$V$11+Quesería!$B$22+'Beneficios y costos'!$B$118,0)+IF(G$43&gt;=2,((Quesería!$B$21+Quesería!$B$54)*Quesería!$F$83*$V$11+'Beneficios y costos'!$C$118)*$V$21,0))*$V$12</f>
        <v>122.734993740651</v>
      </c>
      <c r="H916" s="35" t="n">
        <f aca="false">(IF(H$43&gt;=1,(Quesería!$B$21+Quesería!$B$54)*Quesería!$F$82*$V$11+Quesería!$B$22+'Beneficios y costos'!$B$118,0)+IF(H$43&gt;=2,((Quesería!$B$21+Quesería!$B$54)*Quesería!$F$83*$V$11+'Beneficios y costos'!$C$118)*$V$21,0))*$V$12</f>
        <v>122.734993740651</v>
      </c>
      <c r="I916" s="35" t="n">
        <f aca="false">(IF(I$43&gt;=1,(Quesería!$B$21+Quesería!$B$54)*Quesería!$F$82*$V$11+Quesería!$B$22+'Beneficios y costos'!$B$118,0)+IF(I$43&gt;=2,((Quesería!$B$21+Quesería!$B$54)*Quesería!$F$83*$V$11+'Beneficios y costos'!$C$118)*$V$21,0))*$V$12</f>
        <v>122.734993740651</v>
      </c>
      <c r="J916" s="35" t="n">
        <f aca="false">(IF(J$43&gt;=1,(Quesería!$B$21+Quesería!$B$54)*Quesería!$F$82*$V$11+Quesería!$B$22+'Beneficios y costos'!$B$118,0)+IF(J$43&gt;=2,((Quesería!$B$21+Quesería!$B$54)*Quesería!$F$83*$V$11+'Beneficios y costos'!$C$118)*$V$21,0))*$V$12</f>
        <v>122.734993740651</v>
      </c>
      <c r="K916" s="35" t="n">
        <f aca="false">(IF(K$43&gt;=1,(Quesería!$B$21+Quesería!$B$54)*Quesería!$F$82*$V$11+Quesería!$B$22+'Beneficios y costos'!$B$118,0)+IF(K$43&gt;=2,((Quesería!$B$21+Quesería!$B$54)*Quesería!$F$83*$V$11+'Beneficios y costos'!$C$118)*$V$21,0))*$V$12</f>
        <v>122.734993740651</v>
      </c>
      <c r="L916" s="35" t="n">
        <f aca="false">(IF(L$43&gt;=1,(Quesería!$B$21+Quesería!$B$54)*Quesería!$F$82*$V$11+Quesería!$B$22+'Beneficios y costos'!$B$118,0)+IF(L$43&gt;=2,((Quesería!$B$21+Quesería!$B$54)*Quesería!$F$83*$V$11+'Beneficios y costos'!$C$118)*$V$21,0))*$V$12</f>
        <v>122.734993740651</v>
      </c>
    </row>
    <row r="917" customFormat="false" ht="15" hidden="false" customHeight="false" outlineLevel="0" collapsed="false">
      <c r="A917" s="6" t="s">
        <v>289</v>
      </c>
      <c r="B917" s="35" t="n">
        <f aca="false">IF(B$43=1,2*Quesería!$B$33*Quesería!$B$34/12*B908,0)*$V$21</f>
        <v>0</v>
      </c>
      <c r="C917" s="35" t="n">
        <f aca="false">IF(C$43=1,2*Quesería!$B$33*Quesería!$B$34/12*C908,0)*$V$21</f>
        <v>18.5166509433962</v>
      </c>
      <c r="D917" s="35" t="n">
        <f aca="false">IF(D$43=1,2*Quesería!$B$33*Quesería!$B$34/12*D908,0)*$V$21</f>
        <v>0</v>
      </c>
      <c r="E917" s="35" t="n">
        <f aca="false">IF(E$43=1,2*Quesería!$B$33*Quesería!$B$34/12*E908,0)*$V$21</f>
        <v>0</v>
      </c>
      <c r="F917" s="35" t="n">
        <f aca="false">IF(F$43=1,2*Quesería!$B$33*Quesería!$B$34/12*F908,0)*$V$21</f>
        <v>0</v>
      </c>
      <c r="G917" s="35" t="n">
        <f aca="false">IF(G$43=1,2*Quesería!$B$33*Quesería!$B$34/12*G908,0)*$V$21</f>
        <v>0</v>
      </c>
      <c r="H917" s="35" t="n">
        <f aca="false">IF(H$43=1,2*Quesería!$B$33*Quesería!$B$34/12*H908,0)*$V$21</f>
        <v>0</v>
      </c>
      <c r="I917" s="35" t="n">
        <f aca="false">IF(I$43=1,2*Quesería!$B$33*Quesería!$B$34/12*I908,0)*$V$21</f>
        <v>0</v>
      </c>
      <c r="J917" s="35" t="n">
        <f aca="false">IF(J$43=1,2*Quesería!$B$33*Quesería!$B$34/12*J908,0)*$V$21</f>
        <v>0</v>
      </c>
      <c r="K917" s="35" t="n">
        <f aca="false">IF(K$43=1,2*Quesería!$B$33*Quesería!$B$34/12*K908,0)*$V$21</f>
        <v>0</v>
      </c>
      <c r="L917" s="35" t="n">
        <f aca="false">IF(L$43=1,2*Quesería!$B$33*Quesería!$B$34/12*L908,0)*$V$21</f>
        <v>0</v>
      </c>
    </row>
    <row r="918" customFormat="false" ht="15" hidden="false" customHeight="false" outlineLevel="0" collapsed="false">
      <c r="A918" s="6" t="s">
        <v>290</v>
      </c>
      <c r="B918" s="35" t="n">
        <f aca="false">Quesería!$B$45*(B910+B911+B912+B916+B917)</f>
        <v>3.46363919909037</v>
      </c>
      <c r="C918" s="35" t="n">
        <f aca="false">Quesería!$B$45*(C910+C911+C912+C916+C917)</f>
        <v>3.96362148355759</v>
      </c>
      <c r="D918" s="35" t="n">
        <f aca="false">Quesería!$B$45*(D910+D911+D912+D916+D917)</f>
        <v>0.490939974962603</v>
      </c>
      <c r="E918" s="35" t="n">
        <f aca="false">Quesería!$B$45*(E910+E911+E912+E916+E917)</f>
        <v>0.490939974962603</v>
      </c>
      <c r="F918" s="35" t="n">
        <f aca="false">Quesería!$B$45*(F910+F911+F912+F916+F917)</f>
        <v>0.490939974962603</v>
      </c>
      <c r="G918" s="35" t="n">
        <f aca="false">Quesería!$B$45*(G910+G911+G912+G916+G917)</f>
        <v>0.643259974962603</v>
      </c>
      <c r="H918" s="35" t="n">
        <f aca="false">Quesería!$B$45*(H910+H911+H912+H916+H917)</f>
        <v>0.692599582022283</v>
      </c>
      <c r="I918" s="35" t="n">
        <f aca="false">Quesería!$B$45*(I910+I911+I912+I916+I917)</f>
        <v>0.490939974962603</v>
      </c>
      <c r="J918" s="35" t="n">
        <f aca="false">Quesería!$B$45*(J910+J911+J912+J916+J917)</f>
        <v>0.490939974962603</v>
      </c>
      <c r="K918" s="35" t="n">
        <f aca="false">Quesería!$B$45*(K910+K911+K912+K916+K917)</f>
        <v>0.490939974962603</v>
      </c>
      <c r="L918" s="35" t="n">
        <f aca="false">Quesería!$B$45*(L910+L911+L912+L916+L917)</f>
        <v>0.490939974962603</v>
      </c>
    </row>
    <row r="919" customFormat="false" ht="15" hidden="false" customHeight="false" outlineLevel="0" collapsed="false">
      <c r="A919" s="6" t="s">
        <v>291</v>
      </c>
      <c r="B919" s="35" t="n">
        <f aca="false">(IF($V$19=1,(SUMPRODUCT((Quesería!$C$62:$C$77=0)*(Quesería!$J$62:$J$77&gt;0)*(B$43&gt;=1)*(B$43&lt;=Quesería!$J$62:$J$77)*(Quesería!$H$62:$H$77&gt;0)*Quesería!$F$62:$F$77*(1+Quesería!$I$62:$I$77)/(Quesería!$J$62:$J$77+(Quesería!$J$62:$J$77=0)))+SUMPRODUCT((Quesería!$C$62:$C$77=0)*(Quesería!$J$62:$J$77=0)*(B$43=0)*(Quesería!$H$62:$H$77&gt;0)*Quesería!$F$62:$F$77*(1+Quesería!$I$62:$I$77)))*$B$907+(SUMPRODUCT((Quesería!$C$62:$C$77=1)*(Quesería!$J$62:$J$77&gt;0)*(B$43&gt;=2)*(B$43&lt;=Quesería!$J$62:$J$77+1)*(Quesería!$H$62:$H$77&gt;0)*Quesería!$F$62:$F$77*(1+Quesería!$I$62:$I$77)/(Quesería!$J$62:$J$77+(Quesería!$J$62:$J$77=0)))+SUMPRODUCT((Quesería!$C$62:$C$77=1)*(Quesería!$J$62:$J$77=0)*(B$43=1)*(Quesería!$H$62:$H$77&gt;0)*Quesería!$F$62:$F$77*(1+Quesería!$I$62:$I$77)))*$C$907*$V$21,IF(AND(B$43&gt;=1,B$43&lt;=Quesería!$B$11),Quesería!$F$80/Quesería!$B$11,0)*$B$907+IF(AND(B$43&gt;=2,B$43&lt;=Quesería!$B$11+1),Quesería!$F$81/Quesería!$B$11,0)*$C$907*$V$21)*$V$11+IF(AND(B$43&gt;=6,B$43&lt;=10),$G911*$G907/5,0)+IF(AND(B$43&gt;=7,B$43&lt;=11),$H911*$H907/5,0))*B909</f>
        <v>119.232082946294</v>
      </c>
      <c r="C919" s="35" t="n">
        <f aca="false">(IF($V$19=1,(SUMPRODUCT((Quesería!$C$62:$C$77=0)*(Quesería!$J$62:$J$77&gt;0)*(C$43&gt;=1)*(C$43&lt;=Quesería!$J$62:$J$77)*(Quesería!$H$62:$H$77&gt;0)*Quesería!$F$62:$F$77*(1+Quesería!$I$62:$I$77)/(Quesería!$J$62:$J$77+(Quesería!$J$62:$J$77=0)))+SUMPRODUCT((Quesería!$C$62:$C$77=0)*(Quesería!$J$62:$J$77=0)*(C$43=0)*(Quesería!$H$62:$H$77&gt;0)*Quesería!$F$62:$F$77*(1+Quesería!$I$62:$I$77)))*$B$907+(SUMPRODUCT((Quesería!$C$62:$C$77=1)*(Quesería!$J$62:$J$77&gt;0)*(C$43&gt;=2)*(C$43&lt;=Quesería!$J$62:$J$77+1)*(Quesería!$H$62:$H$77&gt;0)*Quesería!$F$62:$F$77*(1+Quesería!$I$62:$I$77)/(Quesería!$J$62:$J$77+(Quesería!$J$62:$J$77=0)))+SUMPRODUCT((Quesería!$C$62:$C$77=1)*(Quesería!$J$62:$J$77=0)*(C$43=1)*(Quesería!$H$62:$H$77&gt;0)*Quesería!$F$62:$F$77*(1+Quesería!$I$62:$I$77)))*$C$907*$V$21,IF(AND(C$43&gt;=1,C$43&lt;=Quesería!$B$11),Quesería!$F$80/Quesería!$B$11,0)*$B$907+IF(AND(C$43&gt;=2,C$43&lt;=Quesería!$B$11+1),Quesería!$F$81/Quesería!$B$11,0)*$C$907*$V$21)*$V$11+IF(AND(C$43&gt;=6,C$43&lt;=10),$G911*$G907/5,0)+IF(AND(C$43&gt;=7,C$43&lt;=11),$H911*$H907/5,0))*C909</f>
        <v>68.5200253562464</v>
      </c>
      <c r="D919" s="35" t="n">
        <f aca="false">(IF($V$19=1,(SUMPRODUCT((Quesería!$C$62:$C$77=0)*(Quesería!$J$62:$J$77&gt;0)*(D$43&gt;=1)*(D$43&lt;=Quesería!$J$62:$J$77)*(Quesería!$H$62:$H$77&gt;0)*Quesería!$F$62:$F$77*(1+Quesería!$I$62:$I$77)/(Quesería!$J$62:$J$77+(Quesería!$J$62:$J$77=0)))+SUMPRODUCT((Quesería!$C$62:$C$77=0)*(Quesería!$J$62:$J$77=0)*(D$43=0)*(Quesería!$H$62:$H$77&gt;0)*Quesería!$F$62:$F$77*(1+Quesería!$I$62:$I$77)))*$B$907+(SUMPRODUCT((Quesería!$C$62:$C$77=1)*(Quesería!$J$62:$J$77&gt;0)*(D$43&gt;=2)*(D$43&lt;=Quesería!$J$62:$J$77+1)*(Quesería!$H$62:$H$77&gt;0)*Quesería!$F$62:$F$77*(1+Quesería!$I$62:$I$77)/(Quesería!$J$62:$J$77+(Quesería!$J$62:$J$77=0)))+SUMPRODUCT((Quesería!$C$62:$C$77=1)*(Quesería!$J$62:$J$77=0)*(D$43=1)*(Quesería!$H$62:$H$77&gt;0)*Quesería!$F$62:$F$77*(1+Quesería!$I$62:$I$77)))*$C$907*$V$21,IF(AND(D$43&gt;=1,D$43&lt;=Quesería!$B$11),Quesería!$F$80/Quesería!$B$11,0)*$B$907+IF(AND(D$43&gt;=2,D$43&lt;=Quesería!$B$11+1),Quesería!$F$81/Quesería!$B$11,0)*$C$907*$V$21)*$V$11+IF(AND(D$43&gt;=6,D$43&lt;=10),$G911*$G907/5,0)+IF(AND(D$43&gt;=7,D$43&lt;=11),$H911*$H907/5,0))*D909</f>
        <v>139.667402857111</v>
      </c>
      <c r="E919" s="35" t="n">
        <f aca="false">(IF($V$19=1,(SUMPRODUCT((Quesería!$C$62:$C$77=0)*(Quesería!$J$62:$J$77&gt;0)*(E$43&gt;=1)*(E$43&lt;=Quesería!$J$62:$J$77)*(Quesería!$H$62:$H$77&gt;0)*Quesería!$F$62:$F$77*(1+Quesería!$I$62:$I$77)/(Quesería!$J$62:$J$77+(Quesería!$J$62:$J$77=0)))+SUMPRODUCT((Quesería!$C$62:$C$77=0)*(Quesería!$J$62:$J$77=0)*(E$43=0)*(Quesería!$H$62:$H$77&gt;0)*Quesería!$F$62:$F$77*(1+Quesería!$I$62:$I$77)))*$B$907+(SUMPRODUCT((Quesería!$C$62:$C$77=1)*(Quesería!$J$62:$J$77&gt;0)*(E$43&gt;=2)*(E$43&lt;=Quesería!$J$62:$J$77+1)*(Quesería!$H$62:$H$77&gt;0)*Quesería!$F$62:$F$77*(1+Quesería!$I$62:$I$77)/(Quesería!$J$62:$J$77+(Quesería!$J$62:$J$77=0)))+SUMPRODUCT((Quesería!$C$62:$C$77=1)*(Quesería!$J$62:$J$77=0)*(E$43=1)*(Quesería!$H$62:$H$77&gt;0)*Quesería!$F$62:$F$77*(1+Quesería!$I$62:$I$77)))*$C$907*$V$21,IF(AND(E$43&gt;=1,E$43&lt;=Quesería!$B$11),Quesería!$F$80/Quesería!$B$11,0)*$B$907+IF(AND(E$43&gt;=2,E$43&lt;=Quesería!$B$11+1),Quesería!$F$81/Quesería!$B$11,0)*$C$907*$V$21)*$V$11+IF(AND(E$43&gt;=6,E$43&lt;=10),$G911*$G907/5,0)+IF(AND(E$43&gt;=7,E$43&lt;=11),$H911*$H907/5,0))*E909</f>
        <v>134.295579670299</v>
      </c>
      <c r="F919" s="35" t="n">
        <f aca="false">(IF($V$19=1,(SUMPRODUCT((Quesería!$C$62:$C$77=0)*(Quesería!$J$62:$J$77&gt;0)*(F$43&gt;=1)*(F$43&lt;=Quesería!$J$62:$J$77)*(Quesería!$H$62:$H$77&gt;0)*Quesería!$F$62:$F$77*(1+Quesería!$I$62:$I$77)/(Quesería!$J$62:$J$77+(Quesería!$J$62:$J$77=0)))+SUMPRODUCT((Quesería!$C$62:$C$77=0)*(Quesería!$J$62:$J$77=0)*(F$43=0)*(Quesería!$H$62:$H$77&gt;0)*Quesería!$F$62:$F$77*(1+Quesería!$I$62:$I$77)))*$B$907+(SUMPRODUCT((Quesería!$C$62:$C$77=1)*(Quesería!$J$62:$J$77&gt;0)*(F$43&gt;=2)*(F$43&lt;=Quesería!$J$62:$J$77+1)*(Quesería!$H$62:$H$77&gt;0)*Quesería!$F$62:$F$77*(1+Quesería!$I$62:$I$77)/(Quesería!$J$62:$J$77+(Quesería!$J$62:$J$77=0)))+SUMPRODUCT((Quesería!$C$62:$C$77=1)*(Quesería!$J$62:$J$77=0)*(F$43=1)*(Quesería!$H$62:$H$77&gt;0)*Quesería!$F$62:$F$77*(1+Quesería!$I$62:$I$77)))*$C$907*$V$21,IF(AND(F$43&gt;=1,F$43&lt;=Quesería!$B$11),Quesería!$F$80/Quesería!$B$11,0)*$B$907+IF(AND(F$43&gt;=2,F$43&lt;=Quesería!$B$11+1),Quesería!$F$81/Quesería!$B$11,0)*$C$907*$V$21)*$V$11+IF(AND(F$43&gt;=6,F$43&lt;=10),$G911*$G907/5,0)+IF(AND(F$43&gt;=7,F$43&lt;=11),$H911*$H907/5,0))*F909</f>
        <v>129.130365067595</v>
      </c>
      <c r="G919" s="35" t="n">
        <f aca="false">(IF($V$19=1,(SUMPRODUCT((Quesería!$C$62:$C$77=0)*(Quesería!$J$62:$J$77&gt;0)*(G$43&gt;=1)*(G$43&lt;=Quesería!$J$62:$J$77)*(Quesería!$H$62:$H$77&gt;0)*Quesería!$F$62:$F$77*(1+Quesería!$I$62:$I$77)/(Quesería!$J$62:$J$77+(Quesería!$J$62:$J$77=0)))+SUMPRODUCT((Quesería!$C$62:$C$77=0)*(Quesería!$J$62:$J$77=0)*(G$43=0)*(Quesería!$H$62:$H$77&gt;0)*Quesería!$F$62:$F$77*(1+Quesería!$I$62:$I$77)))*$B$907+(SUMPRODUCT((Quesería!$C$62:$C$77=1)*(Quesería!$J$62:$J$77&gt;0)*(G$43&gt;=2)*(G$43&lt;=Quesería!$J$62:$J$77+1)*(Quesería!$H$62:$H$77&gt;0)*Quesería!$F$62:$F$77*(1+Quesería!$I$62:$I$77)/(Quesería!$J$62:$J$77+(Quesería!$J$62:$J$77=0)))+SUMPRODUCT((Quesería!$C$62:$C$77=1)*(Quesería!$J$62:$J$77=0)*(G$43=1)*(Quesería!$H$62:$H$77&gt;0)*Quesería!$F$62:$F$77*(1+Quesería!$I$62:$I$77)))*$C$907*$V$21,IF(AND(G$43&gt;=1,G$43&lt;=Quesería!$B$11),Quesería!$F$80/Quesería!$B$11,0)*$B$907+IF(AND(G$43&gt;=2,G$43&lt;=Quesería!$B$11+1),Quesería!$F$81/Quesería!$B$11,0)*$C$907*$V$21)*$V$11+IF(AND(G$43&gt;=6,G$43&lt;=10),$G911*$G907/5,0)+IF(AND(G$43&gt;=7,G$43&lt;=11),$H911*$H907/5,0))*G909</f>
        <v>124.163812564995</v>
      </c>
      <c r="H919" s="35" t="n">
        <f aca="false">(IF($V$19=1,(SUMPRODUCT((Quesería!$C$62:$C$77=0)*(Quesería!$J$62:$J$77&gt;0)*(H$43&gt;=1)*(H$43&lt;=Quesería!$J$62:$J$77)*(Quesería!$H$62:$H$77&gt;0)*Quesería!$F$62:$F$77*(1+Quesería!$I$62:$I$77)/(Quesería!$J$62:$J$77+(Quesería!$J$62:$J$77=0)))+SUMPRODUCT((Quesería!$C$62:$C$77=0)*(Quesería!$J$62:$J$77=0)*(H$43=0)*(Quesería!$H$62:$H$77&gt;0)*Quesería!$F$62:$F$77*(1+Quesería!$I$62:$I$77)))*$B$907+(SUMPRODUCT((Quesería!$C$62:$C$77=1)*(Quesería!$J$62:$J$77&gt;0)*(H$43&gt;=2)*(H$43&lt;=Quesería!$J$62:$J$77+1)*(Quesería!$H$62:$H$77&gt;0)*Quesería!$F$62:$F$77*(1+Quesería!$I$62:$I$77)/(Quesería!$J$62:$J$77+(Quesería!$J$62:$J$77=0)))+SUMPRODUCT((Quesería!$C$62:$C$77=1)*(Quesería!$J$62:$J$77=0)*(H$43=1)*(Quesería!$H$62:$H$77&gt;0)*Quesería!$F$62:$F$77*(1+Quesería!$I$62:$I$77)))*$C$907*$V$21,IF(AND(H$43&gt;=1,H$43&lt;=Quesería!$B$11),Quesería!$F$80/Quesería!$B$11,0)*$B$907+IF(AND(H$43&gt;=2,H$43&lt;=Quesería!$B$11+1),Quesería!$F$81/Quesería!$B$11,0)*$C$907*$V$21)*$V$11+IF(AND(H$43&gt;=6,H$43&lt;=10),$G911*$G907/5,0)+IF(AND(H$43&gt;=7,H$43&lt;=11),$H911*$H907/5,0))*H909</f>
        <v>111.207748687625</v>
      </c>
      <c r="I919" s="35" t="n">
        <f aca="false">(IF($V$19=1,(SUMPRODUCT((Quesería!$C$62:$C$77=0)*(Quesería!$J$62:$J$77&gt;0)*(I$43&gt;=1)*(I$43&lt;=Quesería!$J$62:$J$77)*(Quesería!$H$62:$H$77&gt;0)*Quesería!$F$62:$F$77*(1+Quesería!$I$62:$I$77)/(Quesería!$J$62:$J$77+(Quesería!$J$62:$J$77=0)))+SUMPRODUCT((Quesería!$C$62:$C$77=0)*(Quesería!$J$62:$J$77=0)*(I$43=0)*(Quesería!$H$62:$H$77&gt;0)*Quesería!$F$62:$F$77*(1+Quesería!$I$62:$I$77)))*$B$907+(SUMPRODUCT((Quesería!$C$62:$C$77=1)*(Quesería!$J$62:$J$77&gt;0)*(I$43&gt;=2)*(I$43&lt;=Quesería!$J$62:$J$77+1)*(Quesería!$H$62:$H$77&gt;0)*Quesería!$F$62:$F$77*(1+Quesería!$I$62:$I$77)/(Quesería!$J$62:$J$77+(Quesería!$J$62:$J$77=0)))+SUMPRODUCT((Quesería!$C$62:$C$77=1)*(Quesería!$J$62:$J$77=0)*(I$43=1)*(Quesería!$H$62:$H$77&gt;0)*Quesería!$F$62:$F$77*(1+Quesería!$I$62:$I$77)))*$C$907*$V$21,IF(AND(I$43&gt;=1,I$43&lt;=Quesería!$B$11),Quesería!$F$80/Quesería!$B$11,0)*$B$907+IF(AND(I$43&gt;=2,I$43&lt;=Quesería!$B$11+1),Quesería!$F$81/Quesería!$B$11,0)*$C$907*$V$21)*$V$11+IF(AND(I$43&gt;=6,I$43&lt;=10),$G911*$G907/5,0)+IF(AND(I$43&gt;=7,I$43&lt;=11),$H911*$H907/5,0))*I909</f>
        <v>115.077732135793</v>
      </c>
      <c r="J919" s="35" t="n">
        <f aca="false">(IF($V$19=1,(SUMPRODUCT((Quesería!$C$62:$C$77=0)*(Quesería!$J$62:$J$77&gt;0)*(J$43&gt;=1)*(J$43&lt;=Quesería!$J$62:$J$77)*(Quesería!$H$62:$H$77&gt;0)*Quesería!$F$62:$F$77*(1+Quesería!$I$62:$I$77)/(Quesería!$J$62:$J$77+(Quesería!$J$62:$J$77=0)))+SUMPRODUCT((Quesería!$C$62:$C$77=0)*(Quesería!$J$62:$J$77=0)*(J$43=0)*(Quesería!$H$62:$H$77&gt;0)*Quesería!$F$62:$F$77*(1+Quesería!$I$62:$I$77)))*$B$907+(SUMPRODUCT((Quesería!$C$62:$C$77=1)*(Quesería!$J$62:$J$77&gt;0)*(J$43&gt;=2)*(J$43&lt;=Quesería!$J$62:$J$77+1)*(Quesería!$H$62:$H$77&gt;0)*Quesería!$F$62:$F$77*(1+Quesería!$I$62:$I$77)/(Quesería!$J$62:$J$77+(Quesería!$J$62:$J$77=0)))+SUMPRODUCT((Quesería!$C$62:$C$77=1)*(Quesería!$J$62:$J$77=0)*(J$43=1)*(Quesería!$H$62:$H$77&gt;0)*Quesería!$F$62:$F$77*(1+Quesería!$I$62:$I$77)))*$C$907*$V$21,IF(AND(J$43&gt;=1,J$43&lt;=Quesería!$B$11),Quesería!$F$80/Quesería!$B$11,0)*$B$907+IF(AND(J$43&gt;=2,J$43&lt;=Quesería!$B$11+1),Quesería!$F$81/Quesería!$B$11,0)*$C$907*$V$21)*$V$11+IF(AND(J$43&gt;=6,J$43&lt;=10),$G911*$G907/5,0)+IF(AND(J$43&gt;=7,J$43&lt;=11),$H911*$H907/5,0))*J909</f>
        <v>110.651665515186</v>
      </c>
      <c r="K919" s="35" t="n">
        <f aca="false">(IF($V$19=1,(SUMPRODUCT((Quesería!$C$62:$C$77=0)*(Quesería!$J$62:$J$77&gt;0)*(K$43&gt;=1)*(K$43&lt;=Quesería!$J$62:$J$77)*(Quesería!$H$62:$H$77&gt;0)*Quesería!$F$62:$F$77*(1+Quesería!$I$62:$I$77)/(Quesería!$J$62:$J$77+(Quesería!$J$62:$J$77=0)))+SUMPRODUCT((Quesería!$C$62:$C$77=0)*(Quesería!$J$62:$J$77=0)*(K$43=0)*(Quesería!$H$62:$H$77&gt;0)*Quesería!$F$62:$F$77*(1+Quesería!$I$62:$I$77)))*$B$907+(SUMPRODUCT((Quesería!$C$62:$C$77=1)*(Quesería!$J$62:$J$77&gt;0)*(K$43&gt;=2)*(K$43&lt;=Quesería!$J$62:$J$77+1)*(Quesería!$H$62:$H$77&gt;0)*Quesería!$F$62:$F$77*(1+Quesería!$I$62:$I$77)/(Quesería!$J$62:$J$77+(Quesería!$J$62:$J$77=0)))+SUMPRODUCT((Quesería!$C$62:$C$77=1)*(Quesería!$J$62:$J$77=0)*(K$43=1)*(Quesería!$H$62:$H$77&gt;0)*Quesería!$F$62:$F$77*(1+Quesería!$I$62:$I$77)))*$C$907*$V$21,IF(AND(K$43&gt;=1,K$43&lt;=Quesería!$B$11),Quesería!$F$80/Quesería!$B$11,0)*$B$907+IF(AND(K$43&gt;=2,K$43&lt;=Quesería!$B$11+1),Quesería!$F$81/Quesería!$B$11,0)*$C$907*$V$21)*$V$11+IF(AND(K$43&gt;=6,K$43&lt;=10),$G911*$G907/5,0)+IF(AND(K$43&gt;=7,K$43&lt;=11),$H911*$H907/5,0))*K909</f>
        <v>106.39583222614</v>
      </c>
      <c r="L919" s="35" t="n">
        <f aca="false">(IF($V$19=1,(SUMPRODUCT((Quesería!$C$62:$C$77=0)*(Quesería!$J$62:$J$77&gt;0)*(L$43&gt;=1)*(L$43&lt;=Quesería!$J$62:$J$77)*(Quesería!$H$62:$H$77&gt;0)*Quesería!$F$62:$F$77*(1+Quesería!$I$62:$I$77)/(Quesería!$J$62:$J$77+(Quesería!$J$62:$J$77=0)))+SUMPRODUCT((Quesería!$C$62:$C$77=0)*(Quesería!$J$62:$J$77=0)*(L$43=0)*(Quesería!$H$62:$H$77&gt;0)*Quesería!$F$62:$F$77*(1+Quesería!$I$62:$I$77)))*$B$907+(SUMPRODUCT((Quesería!$C$62:$C$77=1)*(Quesería!$J$62:$J$77&gt;0)*(L$43&gt;=2)*(L$43&lt;=Quesería!$J$62:$J$77+1)*(Quesería!$H$62:$H$77&gt;0)*Quesería!$F$62:$F$77*(1+Quesería!$I$62:$I$77)/(Quesería!$J$62:$J$77+(Quesería!$J$62:$J$77=0)))+SUMPRODUCT((Quesería!$C$62:$C$77=1)*(Quesería!$J$62:$J$77=0)*(L$43=1)*(Quesería!$H$62:$H$77&gt;0)*Quesería!$F$62:$F$77*(1+Quesería!$I$62:$I$77)))*$C$907*$V$21,IF(AND(L$43&gt;=1,L$43&lt;=Quesería!$B$11),Quesería!$F$80/Quesería!$B$11,0)*$B$907+IF(AND(L$43&gt;=2,L$43&lt;=Quesería!$B$11+1),Quesería!$F$81/Quesería!$B$11,0)*$C$907*$V$21)*$V$11+IF(AND(L$43&gt;=6,L$43&lt;=10),$G911*$G907/5,0)+IF(AND(L$43&gt;=7,L$43&lt;=11),$H911*$H907/5,0))*L909</f>
        <v>102.303684832827</v>
      </c>
    </row>
    <row r="920" customFormat="false" ht="15" hidden="false" customHeight="false" outlineLevel="0" collapsed="false">
      <c r="A920" s="9" t="s">
        <v>292</v>
      </c>
      <c r="B920" s="36" t="n">
        <f aca="false">IF(B$43=1,MIN($V$7*Quesería!$B$35*Quesería!$F$75*$V$11*$V$21,Quesería!$B$50*Quesería!$B$51),0)</f>
        <v>0</v>
      </c>
      <c r="C920" s="36" t="n">
        <f aca="false">IF(C$43=1,MIN($V$7*Quesería!$B$35*Quesería!$F$75*$V$11*$V$21,Quesería!$B$50*Quesería!$B$51),0)</f>
        <v>24</v>
      </c>
      <c r="D920" s="36" t="n">
        <f aca="false">IF(D$43=1,MIN($V$7*Quesería!$B$35*Quesería!$F$75*$V$11*$V$21,Quesería!$B$50*Quesería!$B$51),0)</f>
        <v>0</v>
      </c>
      <c r="E920" s="36" t="n">
        <f aca="false">IF(E$43=1,MIN($V$7*Quesería!$B$35*Quesería!$F$75*$V$11*$V$21,Quesería!$B$50*Quesería!$B$51),0)</f>
        <v>0</v>
      </c>
      <c r="F920" s="36" t="n">
        <f aca="false">IF(F$43=1,MIN($V$7*Quesería!$B$35*Quesería!$F$75*$V$11*$V$21,Quesería!$B$50*Quesería!$B$51),0)</f>
        <v>0</v>
      </c>
      <c r="G920" s="36" t="n">
        <f aca="false">IF(G$43=1,MIN($V$7*Quesería!$B$35*Quesería!$F$75*$V$11*$V$21,Quesería!$B$50*Quesería!$B$51),0)</f>
        <v>0</v>
      </c>
      <c r="H920" s="36" t="n">
        <f aca="false">IF(H$43=1,MIN($V$7*Quesería!$B$35*Quesería!$F$75*$V$11*$V$21,Quesería!$B$50*Quesería!$B$51),0)</f>
        <v>0</v>
      </c>
      <c r="I920" s="36" t="n">
        <f aca="false">IF(I$43=1,MIN($V$7*Quesería!$B$35*Quesería!$F$75*$V$11*$V$21,Quesería!$B$50*Quesería!$B$51),0)</f>
        <v>0</v>
      </c>
      <c r="J920" s="36" t="n">
        <f aca="false">IF(J$43=1,MIN($V$7*Quesería!$B$35*Quesería!$F$75*$V$11*$V$21,Quesería!$B$50*Quesería!$B$51),0)</f>
        <v>0</v>
      </c>
      <c r="K920" s="36" t="n">
        <f aca="false">IF(K$43=1,MIN($V$7*Quesería!$B$35*Quesería!$F$75*$V$11*$V$21,Quesería!$B$50*Quesería!$B$51),0)</f>
        <v>0</v>
      </c>
      <c r="L920" s="36" t="n">
        <f aca="false">IF(L$43=1,MIN($V$7*Quesería!$B$35*Quesería!$F$75*$V$11*$V$21,Quesería!$B$50*Quesería!$B$51),0)</f>
        <v>0</v>
      </c>
    </row>
    <row r="921" customFormat="false" ht="15" hidden="false" customHeight="false" outlineLevel="0" collapsed="false">
      <c r="A921" s="9" t="s">
        <v>293</v>
      </c>
      <c r="B921" s="36" t="n">
        <v>0</v>
      </c>
      <c r="C921" s="36" t="n">
        <f aca="false">$V$20*Quesería!$B$52*Quesería!$F$86*$V$11*$B$907/C907</f>
        <v>200.255857547659</v>
      </c>
      <c r="D921" s="36" t="n">
        <v>0</v>
      </c>
      <c r="E921" s="36" t="n">
        <v>0</v>
      </c>
      <c r="F921" s="36" t="n">
        <v>0</v>
      </c>
      <c r="G921" s="36" t="n">
        <v>0</v>
      </c>
      <c r="H921" s="36" t="n">
        <v>0</v>
      </c>
      <c r="I921" s="36" t="n">
        <v>0</v>
      </c>
      <c r="J921" s="36" t="n">
        <v>0</v>
      </c>
      <c r="K921" s="36" t="n">
        <v>0</v>
      </c>
      <c r="L921" s="36" t="n">
        <v>0</v>
      </c>
    </row>
    <row r="922" customFormat="false" ht="15" hidden="false" customHeight="false" outlineLevel="0" collapsed="false">
      <c r="A922" s="9" t="s">
        <v>294</v>
      </c>
      <c r="B922" s="36" t="n">
        <f aca="false">0</f>
        <v>0</v>
      </c>
      <c r="C922" s="36" t="n">
        <f aca="false">B912*B907/C907</f>
        <v>113.540429129249</v>
      </c>
      <c r="D922" s="36" t="n">
        <f aca="false">C912*C907/D907</f>
        <v>140.786201144427</v>
      </c>
      <c r="E922" s="36" t="n">
        <f aca="false">D912*D907/E907</f>
        <v>0</v>
      </c>
      <c r="F922" s="36" t="n">
        <f aca="false">E912*E907/F907</f>
        <v>0</v>
      </c>
      <c r="G922" s="36" t="n">
        <f aca="false">F912*F907/G907</f>
        <v>0</v>
      </c>
      <c r="H922" s="36" t="n">
        <f aca="false">G912*G907/H907</f>
        <v>5.84615384615385</v>
      </c>
      <c r="I922" s="36" t="n">
        <f aca="false">H912*H907/I907</f>
        <v>7.73984432396154</v>
      </c>
      <c r="J922" s="36" t="n">
        <f aca="false">I912*I907/J907</f>
        <v>0</v>
      </c>
      <c r="K922" s="36" t="n">
        <f aca="false">J912*J907/K907</f>
        <v>0</v>
      </c>
      <c r="L922" s="36" t="n">
        <f aca="false">K912*K907/L907</f>
        <v>0</v>
      </c>
    </row>
    <row r="923" customFormat="false" ht="15" hidden="false" customHeight="false" outlineLevel="0" collapsed="false">
      <c r="A923" s="6" t="s">
        <v>86</v>
      </c>
      <c r="B923" s="35" t="n">
        <f aca="false">$V$17*(B915-B916-B917-0.5*B918-B919)-B920-B921-B922</f>
        <v>-29.5589013921697</v>
      </c>
      <c r="C923" s="35" t="n">
        <f aca="false">$V$17*(C915-C916-C917-0.5*C918-C919)-C920-C921-C922</f>
        <v>-348.376540844855</v>
      </c>
      <c r="D923" s="35" t="n">
        <f aca="false">$V$17*(D915-D916-D917-0.5*D918-D919)-D920-D921-D922</f>
        <v>-126.093062038973</v>
      </c>
      <c r="E923" s="35" t="n">
        <f aca="false">$V$17*(E915-E916-E917-0.5*E918-E919)-E920-E921-E922</f>
        <v>26.83945622807</v>
      </c>
      <c r="F923" s="35" t="n">
        <f aca="false">$V$17*(F915-F916-F917-0.5*F918-F919)-F920-F921-F922</f>
        <v>28.7862268139718</v>
      </c>
      <c r="G923" s="35" t="n">
        <f aca="false">$V$17*(G915-G916-G917-0.5*G918-G919)-G920-G921-G922</f>
        <v>30.637504392212</v>
      </c>
      <c r="H923" s="35" t="n">
        <f aca="false">$V$17*(H915-H916-H917-0.5*H918-H919)-H920-H921-H922</f>
        <v>29.4576768752444</v>
      </c>
      <c r="I923" s="35" t="n">
        <f aca="false">$V$17*(I915-I916-I917-0.5*I918-I919)-I920-I921-I922</f>
        <v>26.3858227171719</v>
      </c>
      <c r="J923" s="35" t="n">
        <f aca="false">$V$17*(J915-J916-J917-0.5*J918-J919)-J920-J921-J922</f>
        <v>35.8165356541815</v>
      </c>
      <c r="K923" s="35" t="n">
        <f aca="false">$V$17*(K915-K916-K917-0.5*K918-K919)-K920-K921-K922</f>
        <v>37.4485313276621</v>
      </c>
      <c r="L923" s="35" t="n">
        <f aca="false">$V$17*(L915-L916-L917-0.5*L918-L919)-L920-L921-L922</f>
        <v>39.0239492077479</v>
      </c>
    </row>
    <row r="924" customFormat="false" ht="15" hidden="false" customHeight="false" outlineLevel="0" collapsed="false">
      <c r="A924" s="9" t="s">
        <v>295</v>
      </c>
      <c r="B924" s="36" t="n">
        <f aca="false">(IF(B$43&gt;=1,Quesería!$G$107*IF(B$43=1,Quesería!$B$12,1),Quesería!$G$107*Quesería!$B$12*Quesería!$B$13/12*$V$23)+IF(B$43&gt;=2,Quesería!$G$108*$V$21*IF(B$43=2,Quesería!$B$12,1),0))*$V$10</f>
        <v>21.4813532836452</v>
      </c>
      <c r="C924" s="36" t="n">
        <f aca="false">(IF(C$43&gt;=1,Quesería!$G$107*IF(C$43=1,Quesería!$B$12,1),Quesería!$G$107*Quesería!$B$12*Quesería!$B$13/12*$V$23)+IF(C$43&gt;=2,Quesería!$G$108*$V$21*IF(C$43=2,Quesería!$B$12,1),0))*$V$10</f>
        <v>64.4440598509356</v>
      </c>
      <c r="D924" s="36" t="n">
        <f aca="false">(IF(D$43&gt;=1,Quesería!$G$107*IF(D$43=1,Quesería!$B$12,1),Quesería!$G$107*Quesería!$B$12*Quesería!$B$13/12*$V$23)+IF(D$43&gt;=2,Quesería!$G$108*$V$21*IF(D$43=2,Quesería!$B$12,1),0))*$V$10</f>
        <v>151.720978456767</v>
      </c>
      <c r="E924" s="36" t="n">
        <f aca="false">(IF(E$43&gt;=1,Quesería!$G$107*IF(E$43=1,Quesería!$B$12,1),Quesería!$G$107*Quesería!$B$12*Quesería!$B$13/12*$V$23)+IF(E$43&gt;=2,Quesería!$G$108*$V$21*IF(E$43=2,Quesería!$B$12,1),0))*$V$10</f>
        <v>173.652833564163</v>
      </c>
      <c r="F924" s="36" t="n">
        <f aca="false">(IF(F$43&gt;=1,Quesería!$G$107*IF(F$43=1,Quesería!$B$12,1),Quesería!$G$107*Quesería!$B$12*Quesería!$B$13/12*$V$23)+IF(F$43&gt;=2,Quesería!$G$108*$V$21*IF(F$43=2,Quesería!$B$12,1),0))*$V$10</f>
        <v>173.652833564163</v>
      </c>
      <c r="G924" s="36" t="n">
        <f aca="false">(IF(G$43&gt;=1,Quesería!$G$107*IF(G$43=1,Quesería!$B$12,1),Quesería!$G$107*Quesería!$B$12*Quesería!$B$13/12*$V$23)+IF(G$43&gt;=2,Quesería!$G$108*$V$21*IF(G$43=2,Quesería!$B$12,1),0))*$V$10</f>
        <v>173.652833564163</v>
      </c>
      <c r="H924" s="36" t="n">
        <f aca="false">(IF(H$43&gt;=1,Quesería!$G$107*IF(H$43=1,Quesería!$B$12,1),Quesería!$G$107*Quesería!$B$12*Quesería!$B$13/12*$V$23)+IF(H$43&gt;=2,Quesería!$G$108*$V$21*IF(H$43=2,Quesería!$B$12,1),0))*$V$10</f>
        <v>173.652833564163</v>
      </c>
      <c r="I924" s="36" t="n">
        <f aca="false">(IF(I$43&gt;=1,Quesería!$G$107*IF(I$43=1,Quesería!$B$12,1),Quesería!$G$107*Quesería!$B$12*Quesería!$B$13/12*$V$23)+IF(I$43&gt;=2,Quesería!$G$108*$V$21*IF(I$43=2,Quesería!$B$12,1),0))*$V$10</f>
        <v>173.652833564163</v>
      </c>
      <c r="J924" s="36" t="n">
        <f aca="false">(IF(J$43&gt;=1,Quesería!$G$107*IF(J$43=1,Quesería!$B$12,1),Quesería!$G$107*Quesería!$B$12*Quesería!$B$13/12*$V$23)+IF(J$43&gt;=2,Quesería!$G$108*$V$21*IF(J$43=2,Quesería!$B$12,1),0))*$V$10</f>
        <v>173.652833564163</v>
      </c>
      <c r="K924" s="36" t="n">
        <f aca="false">(IF(K$43&gt;=1,Quesería!$G$107*IF(K$43=1,Quesería!$B$12,1),Quesería!$G$107*Quesería!$B$12*Quesería!$B$13/12*$V$23)+IF(K$43&gt;=2,Quesería!$G$108*$V$21*IF(K$43=2,Quesería!$B$12,1),0))*$V$10</f>
        <v>173.652833564163</v>
      </c>
      <c r="L924" s="36" t="n">
        <f aca="false">(IF(L$43&gt;=1,Quesería!$G$107*IF(L$43=1,Quesería!$B$12,1),Quesería!$G$107*Quesería!$B$12*Quesería!$B$13/12*$V$23)+IF(L$43&gt;=2,Quesería!$G$108*$V$21*IF(L$43=2,Quesería!$B$12,1),0))*$V$10</f>
        <v>173.652833564163</v>
      </c>
    </row>
    <row r="925" customFormat="false" ht="15" hidden="false" customHeight="false" outlineLevel="0" collapsed="false">
      <c r="A925" s="6" t="s">
        <v>296</v>
      </c>
      <c r="B925" s="35" t="n">
        <f aca="false">(B924*(Quesería!$B$23+Quesería!$B$25*Quesería!$B$24)/365-B916*Quesería!$B$26/365)</f>
        <v>2.00688807389672</v>
      </c>
      <c r="C925" s="35" t="n">
        <f aca="false">(C924*(Quesería!$B$23+Quesería!$B$25*Quesería!$B$24)/365-C916*Quesería!$B$26/365)-(B924*(Quesería!$B$23+Quesería!$B$25*Quesería!$B$24)/365-B916*Quesería!$B$26/365)*B907/C907</f>
        <v>1.03880324373929</v>
      </c>
      <c r="D925" s="35" t="n">
        <f aca="false">(D924*(Quesería!$B$23+Quesería!$B$25*Quesería!$B$24)/365-D916*Quesería!$B$26/365)-(C924*(Quesería!$B$23+Quesería!$B$25*Quesería!$B$24)/365-C916*Quesería!$B$26/365)*C907/D907</f>
        <v>3.95366846910735</v>
      </c>
      <c r="E925" s="35" t="n">
        <f aca="false">(E924*(Quesería!$B$23+Quesería!$B$25*Quesería!$B$24)/365-E916*Quesería!$B$26/365)-(D924*(Quesería!$B$23+Quesería!$B$25*Quesería!$B$24)/365-D916*Quesería!$B$26/365)*D907/E907</f>
        <v>2.30962046799771</v>
      </c>
      <c r="F925" s="35" t="n">
        <f aca="false">(F924*(Quesería!$B$23+Quesería!$B$25*Quesería!$B$24)/365-F916*Quesería!$B$26/365)-(E924*(Quesería!$B$23+Quesería!$B$25*Quesería!$B$24)/365-E916*Quesería!$B$26/365)*E907/F907</f>
        <v>0.339451186748539</v>
      </c>
      <c r="G925" s="35" t="n">
        <f aca="false">(G924*(Quesería!$B$23+Quesería!$B$25*Quesería!$B$24)/365-G916*Quesería!$B$26/365)-(F924*(Quesería!$B$23+Quesería!$B$25*Quesería!$B$24)/365-F916*Quesería!$B$26/365)*F907/G907</f>
        <v>0.339451186748539</v>
      </c>
      <c r="H925" s="35" t="n">
        <f aca="false">(H924*(Quesería!$B$23+Quesería!$B$25*Quesería!$B$24)/365-H916*Quesería!$B$26/365)-(G924*(Quesería!$B$23+Quesería!$B$25*Quesería!$B$24)/365-G916*Quesería!$B$26/365)*G907/H907</f>
        <v>0.339451186748539</v>
      </c>
      <c r="I925" s="35" t="n">
        <f aca="false">(I924*(Quesería!$B$23+Quesería!$B$25*Quesería!$B$24)/365-I916*Quesería!$B$26/365)-(H924*(Quesería!$B$23+Quesería!$B$25*Quesería!$B$24)/365-H916*Quesería!$B$26/365)*H907/I907</f>
        <v>0.339451186748539</v>
      </c>
      <c r="J925" s="35" t="n">
        <f aca="false">(J924*(Quesería!$B$23+Quesería!$B$25*Quesería!$B$24)/365-J916*Quesería!$B$26/365)-(I924*(Quesería!$B$23+Quesería!$B$25*Quesería!$B$24)/365-I916*Quesería!$B$26/365)*I907/J907</f>
        <v>0.339451186748539</v>
      </c>
      <c r="K925" s="35" t="n">
        <f aca="false">(K924*(Quesería!$B$23+Quesería!$B$25*Quesería!$B$24)/365-K916*Quesería!$B$26/365)-(J924*(Quesería!$B$23+Quesería!$B$25*Quesería!$B$24)/365-J916*Quesería!$B$26/365)*J907/K907</f>
        <v>0.339451186748541</v>
      </c>
      <c r="L925" s="35" t="n">
        <f aca="false">-(K924*(Quesería!$B$23+Quesería!$B$25*Quesería!$B$24)/365-K916*Quesería!$B$26/365)*K907/L907</f>
        <v>-8.48627966871347</v>
      </c>
    </row>
    <row r="926" customFormat="false" ht="15" hidden="false" customHeight="false" outlineLevel="0" collapsed="false">
      <c r="A926" s="6" t="s">
        <v>297</v>
      </c>
      <c r="B926" s="35" t="n">
        <v>0</v>
      </c>
      <c r="C926" s="35" t="n">
        <v>0</v>
      </c>
      <c r="D926" s="35" t="n">
        <v>0</v>
      </c>
      <c r="E926" s="35" t="n">
        <v>0</v>
      </c>
      <c r="F926" s="35" t="n">
        <v>0</v>
      </c>
      <c r="G926" s="35" t="n">
        <v>0</v>
      </c>
      <c r="H926" s="35" t="n">
        <v>0</v>
      </c>
      <c r="I926" s="35" t="n">
        <v>0</v>
      </c>
      <c r="J926" s="35" t="n">
        <v>0</v>
      </c>
      <c r="K926" s="35" t="n">
        <v>0</v>
      </c>
      <c r="L926" s="35" t="n">
        <f aca="false">$V$8*Quesería!$B$39*(Quesería!$F$82+Quesería!$F$83*$V$21)*$V$11*(1-$V$17)</f>
        <v>67.2603513842</v>
      </c>
    </row>
    <row r="927" customFormat="false" ht="15" hidden="false" customHeight="false" outlineLevel="0" collapsed="false">
      <c r="A927" s="5" t="s">
        <v>298</v>
      </c>
      <c r="B927" s="37" t="n">
        <f aca="false">B915-B916-B917-B918-B923-B910-B911-B912-B925+B926</f>
        <v>-805.311527085199</v>
      </c>
      <c r="C927" s="37" t="n">
        <f aca="false">C915-C916-C917-C918-C923-C910-C911-C912-C925+C926</f>
        <v>-537.799031897395</v>
      </c>
      <c r="D927" s="37" t="n">
        <f aca="false">D915-D916-D917-D918-D923-D910-D911-D912-D925+D926</f>
        <v>303.541723883649</v>
      </c>
      <c r="E927" s="37" t="n">
        <f aca="false">E915-E916-E917-E918-E923-E910-E911-E912-E925+E926</f>
        <v>181.585193638378</v>
      </c>
      <c r="F927" s="37" t="n">
        <f aca="false">F915-F916-F917-F918-F923-F910-F911-F912-F925+F926</f>
        <v>182.005579405027</v>
      </c>
      <c r="G927" s="37" t="n">
        <f aca="false">G915-G916-G917-G918-G923-G910-G911-G912-G925+G926</f>
        <v>142.320953833445</v>
      </c>
      <c r="H927" s="37" t="n">
        <f aca="false">H915-H916-H917-H918-H923-H910-H911-H912-H925+H926</f>
        <v>131.517506845124</v>
      </c>
      <c r="I927" s="37" t="n">
        <f aca="false">I915-I916-I917-I918-I923-I910-I911-I912-I925+I926</f>
        <v>185.608894076201</v>
      </c>
      <c r="J927" s="37" t="n">
        <f aca="false">J915-J916-J917-J918-J923-J910-J911-J912-J925+J926</f>
        <v>176.583167698722</v>
      </c>
      <c r="K927" s="37" t="n">
        <f aca="false">K915-K916-K917-K918-K923-K910-K911-K912-K925+K926</f>
        <v>175.358183517569</v>
      </c>
      <c r="L927" s="37" t="n">
        <f aca="false">L915-L916-L917-L918-L923-L910-L911-L912-L925+L926</f>
        <v>250.277894426934</v>
      </c>
    </row>
    <row r="928" customFormat="false" ht="15" hidden="false" customHeight="false" outlineLevel="0" collapsed="false">
      <c r="A928" s="9" t="s">
        <v>299</v>
      </c>
      <c r="B928" s="36" t="n">
        <f aca="false">B927*B907</f>
        <v>-853.630218710311</v>
      </c>
      <c r="C928" s="36" t="n">
        <f aca="false">C927*C907</f>
        <v>-598.570322501801</v>
      </c>
      <c r="D928" s="36" t="n">
        <f aca="false">D927*D907</f>
        <v>353.044825923214</v>
      </c>
      <c r="E928" s="36" t="n">
        <f aca="false">E927*E907</f>
        <v>219.646975540609</v>
      </c>
      <c r="F928" s="36" t="n">
        <f aca="false">F927*F907</f>
        <v>228.961696802996</v>
      </c>
      <c r="G928" s="36" t="n">
        <f aca="false">G927*G907</f>
        <v>186.200275147188</v>
      </c>
      <c r="H928" s="36" t="n">
        <f aca="false">H927*H907</f>
        <v>178.948630638665</v>
      </c>
      <c r="I928" s="36" t="n">
        <f aca="false">I927*I907</f>
        <v>262.649715274356</v>
      </c>
      <c r="J928" s="36" t="n">
        <f aca="false">J927*J907</f>
        <v>259.872780919878</v>
      </c>
      <c r="K928" s="36" t="n">
        <f aca="false">K927*K907</f>
        <v>268.39280423908</v>
      </c>
      <c r="L928" s="36" t="n">
        <f aca="false">L927*L907</f>
        <v>398.382875323695</v>
      </c>
    </row>
    <row r="929" customFormat="false" ht="15" hidden="false" customHeight="false" outlineLevel="0" collapsed="false">
      <c r="A929" s="6" t="s">
        <v>300</v>
      </c>
      <c r="B929" s="35" t="n">
        <f aca="false">B927</f>
        <v>-805.311527085199</v>
      </c>
      <c r="C929" s="35" t="n">
        <f aca="false">B929+C927</f>
        <v>-1343.11055898259</v>
      </c>
      <c r="D929" s="35" t="n">
        <f aca="false">C929+D927</f>
        <v>-1039.56883509894</v>
      </c>
      <c r="E929" s="35" t="n">
        <f aca="false">D929+E927</f>
        <v>-857.983641460566</v>
      </c>
      <c r="F929" s="35" t="n">
        <f aca="false">E929+F927</f>
        <v>-675.978062055539</v>
      </c>
      <c r="G929" s="35" t="n">
        <f aca="false">F929+G927</f>
        <v>-533.657108222094</v>
      </c>
      <c r="H929" s="35" t="n">
        <f aca="false">G929+H927</f>
        <v>-402.139601376969</v>
      </c>
      <c r="I929" s="35" t="n">
        <f aca="false">H929+I927</f>
        <v>-216.530707300768</v>
      </c>
      <c r="J929" s="35" t="n">
        <f aca="false">I929+J927</f>
        <v>-39.9475396020463</v>
      </c>
      <c r="K929" s="35" t="n">
        <f aca="false">J929+K927</f>
        <v>135.410643915522</v>
      </c>
      <c r="L929" s="35" t="n">
        <f aca="false">K929+L927</f>
        <v>385.688538342456</v>
      </c>
    </row>
    <row r="930" customFormat="false" ht="15" hidden="false" customHeight="false" outlineLevel="0" collapsed="false">
      <c r="A930" s="9" t="s">
        <v>301</v>
      </c>
      <c r="B930" s="38" t="n">
        <v>0</v>
      </c>
      <c r="C930" s="38" t="n">
        <f aca="false">IF(AND(B929&lt;0,C929&gt;=0),B$43+(-B929)/C927,0)</f>
        <v>0</v>
      </c>
      <c r="D930" s="38" t="n">
        <f aca="false">IF(AND(C929&lt;0,D929&gt;=0),C$43+(-C929)/D927,0)</f>
        <v>0</v>
      </c>
      <c r="E930" s="38" t="n">
        <f aca="false">IF(AND(D929&lt;0,E929&gt;=0),D$43+(-D929)/E927,0)</f>
        <v>0</v>
      </c>
      <c r="F930" s="38" t="n">
        <f aca="false">IF(AND(E929&lt;0,F929&gt;=0),E$43+(-E929)/F927,0)</f>
        <v>0</v>
      </c>
      <c r="G930" s="38" t="n">
        <f aca="false">IF(AND(F929&lt;0,G929&gt;=0),F$43+(-F929)/G927,0)</f>
        <v>0</v>
      </c>
      <c r="H930" s="38" t="n">
        <f aca="false">IF(AND(G929&lt;0,H929&gt;=0),G$43+(-G929)/H927,0)</f>
        <v>0</v>
      </c>
      <c r="I930" s="38" t="n">
        <f aca="false">IF(AND(H929&lt;0,I929&gt;=0),H$43+(-H929)/I927,0)</f>
        <v>0</v>
      </c>
      <c r="J930" s="38" t="n">
        <f aca="false">IF(AND(I929&lt;0,J929&gt;=0),I$43+(-I929)/J927,0)</f>
        <v>0</v>
      </c>
      <c r="K930" s="38" t="n">
        <f aca="false">IF(AND(J929&lt;0,K929&gt;=0),J$43+(-J929)/K927,0)</f>
        <v>8.22780539123253</v>
      </c>
      <c r="L930" s="38" t="n">
        <f aca="false">IF(AND(K929&lt;0,L929&gt;=0),K$43+(-K929)/L927,0)</f>
        <v>0</v>
      </c>
    </row>
    <row r="931" customFormat="false" ht="15" hidden="false" customHeight="false" outlineLevel="0" collapsed="false">
      <c r="A931" s="9" t="s">
        <v>302</v>
      </c>
      <c r="B931" s="34" t="n">
        <f aca="false">(B907/$B$907)/(1+$V$25)^B$43</f>
        <v>1</v>
      </c>
      <c r="C931" s="34" t="n">
        <f aca="false">(C907/$B$907)/(1+$V$25)^C$43</f>
        <v>0.921735848062819</v>
      </c>
      <c r="D931" s="34" t="n">
        <f aca="false">(D907/$B$907)/(1+$V$25)^D$43</f>
        <v>0.845551273729778</v>
      </c>
      <c r="E931" s="34" t="n">
        <f aca="false">(E907/$B$907)/(1+$V$25)^E$43</f>
        <v>0.771952302082657</v>
      </c>
      <c r="F931" s="34" t="n">
        <f aca="false">(F907/$B$907)/(1+$V$25)^F$43</f>
        <v>0.704759575444925</v>
      </c>
      <c r="G931" s="34" t="n">
        <f aca="false">(G907/$B$907)/(1+$V$25)^G$43</f>
        <v>0.643415477667852</v>
      </c>
      <c r="H931" s="34" t="n">
        <f aca="false">(H907/$B$907)/(1+$V$25)^H$43</f>
        <v>0.587410928955732</v>
      </c>
      <c r="I931" s="34" t="n">
        <f aca="false">(I907/$B$907)/(1+$V$25)^I$43</f>
        <v>0.536281161136071</v>
      </c>
      <c r="J931" s="34" t="n">
        <f aca="false">(J907/$B$907)/(1+$V$25)^J$43</f>
        <v>0.489601860661204</v>
      </c>
      <c r="K931" s="34" t="n">
        <f aca="false">(K907/$B$907)/(1+$V$25)^K$43</f>
        <v>0.446985647333025</v>
      </c>
      <c r="L931" s="34" t="n">
        <f aca="false">(L907/$B$907)/(1+$V$25)^L$43</f>
        <v>0.408078859528639</v>
      </c>
    </row>
    <row r="932" customFormat="false" ht="15" hidden="false" customHeight="false" outlineLevel="0" collapsed="false">
      <c r="A932" s="9" t="s">
        <v>303</v>
      </c>
      <c r="B932" s="36" t="n">
        <f aca="false">B927*B931</f>
        <v>-805.311527085199</v>
      </c>
      <c r="C932" s="36" t="n">
        <f aca="false">C927*C931</f>
        <v>-495.708646753308</v>
      </c>
      <c r="D932" s="36" t="n">
        <f aca="false">D927*D931</f>
        <v>256.660091259952</v>
      </c>
      <c r="E932" s="36" t="n">
        <f aca="false">E927*E931</f>
        <v>140.175108253271</v>
      </c>
      <c r="F932" s="36" t="n">
        <f aca="false">F927*F931</f>
        <v>128.270174870095</v>
      </c>
      <c r="G932" s="36" t="n">
        <f aca="false">G927*G931</f>
        <v>91.5715044928904</v>
      </c>
      <c r="H932" s="36" t="n">
        <f aca="false">H927*H931</f>
        <v>77.2548208698363</v>
      </c>
      <c r="I932" s="36" t="n">
        <f aca="false">I927*I931</f>
        <v>99.5385532323673</v>
      </c>
      <c r="J932" s="36" t="n">
        <f aca="false">J927*J931</f>
        <v>86.4554474667435</v>
      </c>
      <c r="K932" s="36" t="n">
        <f aca="false">K927*K931</f>
        <v>78.3825911747438</v>
      </c>
      <c r="L932" s="36" t="n">
        <f aca="false">L927*L931</f>
        <v>102.133117722972</v>
      </c>
    </row>
    <row r="933" customFormat="false" ht="15" hidden="false" customHeight="false" outlineLevel="0" collapsed="false">
      <c r="A933" s="9" t="s">
        <v>304</v>
      </c>
      <c r="B933" s="36" t="n">
        <f aca="false">B932</f>
        <v>-805.311527085199</v>
      </c>
      <c r="C933" s="36" t="n">
        <f aca="false">B933+C932</f>
        <v>-1301.02017383851</v>
      </c>
      <c r="D933" s="36" t="n">
        <f aca="false">C933+D932</f>
        <v>-1044.36008257855</v>
      </c>
      <c r="E933" s="36" t="n">
        <f aca="false">D933+E932</f>
        <v>-904.184974325283</v>
      </c>
      <c r="F933" s="36" t="n">
        <f aca="false">E933+F932</f>
        <v>-775.914799455188</v>
      </c>
      <c r="G933" s="36" t="n">
        <f aca="false">F933+G932</f>
        <v>-684.343294962298</v>
      </c>
      <c r="H933" s="36" t="n">
        <f aca="false">G933+H932</f>
        <v>-607.088474092462</v>
      </c>
      <c r="I933" s="36" t="n">
        <f aca="false">H933+I932</f>
        <v>-507.549920860094</v>
      </c>
      <c r="J933" s="36" t="n">
        <f aca="false">I933+J932</f>
        <v>-421.094473393351</v>
      </c>
      <c r="K933" s="36" t="n">
        <f aca="false">J933+K932</f>
        <v>-342.711882218607</v>
      </c>
      <c r="L933" s="36" t="n">
        <f aca="false">K933+L932</f>
        <v>-240.578764495635</v>
      </c>
    </row>
    <row r="934" customFormat="false" ht="15" hidden="false" customHeight="false" outlineLevel="0" collapsed="false">
      <c r="A934" s="9" t="s">
        <v>305</v>
      </c>
      <c r="B934" s="38" t="n">
        <v>0</v>
      </c>
      <c r="C934" s="38" t="n">
        <f aca="false">IF(AND(B933&lt;0,C933&gt;=0),B$43+(-B933)/C932,0)</f>
        <v>0</v>
      </c>
      <c r="D934" s="38" t="n">
        <f aca="false">IF(AND(C933&lt;0,D933&gt;=0),C$43+(-C933)/D932,0)</f>
        <v>0</v>
      </c>
      <c r="E934" s="38" t="n">
        <f aca="false">IF(AND(D933&lt;0,E933&gt;=0),D$43+(-D933)/E932,0)</f>
        <v>0</v>
      </c>
      <c r="F934" s="38" t="n">
        <f aca="false">IF(AND(E933&lt;0,F933&gt;=0),E$43+(-E933)/F932,0)</f>
        <v>0</v>
      </c>
      <c r="G934" s="38" t="n">
        <f aca="false">IF(AND(F933&lt;0,G933&gt;=0),F$43+(-F933)/G932,0)</f>
        <v>0</v>
      </c>
      <c r="H934" s="38" t="n">
        <f aca="false">IF(AND(G933&lt;0,H933&gt;=0),G$43+(-G933)/H932,0)</f>
        <v>0</v>
      </c>
      <c r="I934" s="38" t="n">
        <f aca="false">IF(AND(H933&lt;0,I933&gt;=0),H$43+(-H933)/I932,0)</f>
        <v>0</v>
      </c>
      <c r="J934" s="38" t="n">
        <f aca="false">IF(AND(I933&lt;0,J933&gt;=0),I$43+(-I933)/J932,0)</f>
        <v>0</v>
      </c>
      <c r="K934" s="38" t="n">
        <f aca="false">IF(AND(J933&lt;0,K933&gt;=0),J$43+(-J933)/K932,0)</f>
        <v>0</v>
      </c>
      <c r="L934" s="38" t="n">
        <f aca="false">IF(AND(K933&lt;0,L933&gt;=0),K$43+(-K933)/L932,0)</f>
        <v>0</v>
      </c>
    </row>
    <row r="935" customFormat="false" ht="15" hidden="false" customHeight="false" outlineLevel="0" collapsed="false">
      <c r="A935" s="9" t="s">
        <v>306</v>
      </c>
      <c r="B935" s="36" t="n">
        <f aca="false">IF(B$43&lt;0,0,(Quesería!$B$40*$B$910*$B$907)*(1-MAX(0,MIN(B$43-0-Quesería!$B$43,(Quesería!$B$42-Quesería!$B$43)))/(Quesería!$B$42-Quesería!$B$43)))+IF(B$43&lt;1,0,(Quesería!$B$40*$C$910*$C$907)*(1-MAX(0,MIN(B$43-1-Quesería!$B$43,(Quesería!$B$42-Quesería!$B$43)))/(Quesería!$B$42-Quesería!$B$43)))</f>
        <v>554.045723096666</v>
      </c>
      <c r="C935" s="36" t="n">
        <f aca="false">IF(C$43&lt;0,0,(Quesería!$B$40*$B$910*$B$907)*(1-MAX(0,MIN(C$43-0-Quesería!$B$43,(Quesería!$B$42-Quesería!$B$43)))/(Quesería!$B$42-Quesería!$B$43)))+IF(C$43&lt;1,0,(Quesería!$B$40*$C$910*$C$907)*(1-MAX(0,MIN(C$43-1-Quesería!$B$43,(Quesería!$B$42-Quesería!$B$43)))/(Quesería!$B$42-Quesería!$B$43)))</f>
        <v>1157.32163431059</v>
      </c>
      <c r="D935" s="36" t="n">
        <f aca="false">IF(D$43&lt;0,0,(Quesería!$B$40*$B$910*$B$907)*(1-MAX(0,MIN(D$43-0-Quesería!$B$43,(Quesería!$B$42-Quesería!$B$43)))/(Quesería!$B$42-Quesería!$B$43)))+IF(D$43&lt;1,0,(Quesería!$B$40*$C$910*$C$907)*(1-MAX(0,MIN(D$43-1-Quesería!$B$43,(Quesería!$B$42-Quesería!$B$43)))/(Quesería!$B$42-Quesería!$B$43)))</f>
        <v>1064.98068046115</v>
      </c>
      <c r="E935" s="36" t="n">
        <f aca="false">IF(E$43&lt;0,0,(Quesería!$B$40*$B$910*$B$907)*(1-MAX(0,MIN(E$43-0-Quesería!$B$43,(Quesería!$B$42-Quesería!$B$43)))/(Quesería!$B$42-Quesería!$B$43)))+IF(E$43&lt;1,0,(Quesería!$B$40*$C$910*$C$907)*(1-MAX(0,MIN(E$43-1-Quesería!$B$43,(Quesería!$B$42-Quesería!$B$43)))/(Quesería!$B$42-Quesería!$B$43)))</f>
        <v>872.093741409381</v>
      </c>
      <c r="F935" s="36" t="n">
        <f aca="false">IF(F$43&lt;0,0,(Quesería!$B$40*$B$910*$B$907)*(1-MAX(0,MIN(F$43-0-Quesería!$B$43,(Quesería!$B$42-Quesería!$B$43)))/(Quesería!$B$42-Quesería!$B$43)))+IF(F$43&lt;1,0,(Quesería!$B$40*$C$910*$C$907)*(1-MAX(0,MIN(F$43-1-Quesería!$B$43,(Quesería!$B$42-Quesería!$B$43)))/(Quesería!$B$42-Quesería!$B$43)))</f>
        <v>679.206802357616</v>
      </c>
      <c r="G935" s="36" t="n">
        <f aca="false">IF(G$43&lt;0,0,(Quesería!$B$40*$B$910*$B$907)*(1-MAX(0,MIN(G$43-0-Quesería!$B$43,(Quesería!$B$42-Quesería!$B$43)))/(Quesería!$B$42-Quesería!$B$43)))+IF(G$43&lt;1,0,(Quesería!$B$40*$C$910*$C$907)*(1-MAX(0,MIN(G$43-1-Quesería!$B$43,(Quesería!$B$42-Quesería!$B$43)))/(Quesería!$B$42-Quesería!$B$43)))</f>
        <v>486.319863305851</v>
      </c>
      <c r="H935" s="36" t="n">
        <f aca="false">IF(H$43&lt;0,0,(Quesería!$B$40*$B$910*$B$907)*(1-MAX(0,MIN(H$43-0-Quesería!$B$43,(Quesería!$B$42-Quesería!$B$43)))/(Quesería!$B$42-Quesería!$B$43)))+IF(H$43&lt;1,0,(Quesería!$B$40*$C$910*$C$907)*(1-MAX(0,MIN(H$43-1-Quesería!$B$43,(Quesería!$B$42-Quesería!$B$43)))/(Quesería!$B$42-Quesería!$B$43)))</f>
        <v>293.432924254086</v>
      </c>
      <c r="I935" s="36" t="n">
        <f aca="false">IF(I$43&lt;0,0,(Quesería!$B$40*$B$910*$B$907)*(1-MAX(0,MIN(I$43-0-Quesería!$B$43,(Quesería!$B$42-Quesería!$B$43)))/(Quesería!$B$42-Quesería!$B$43)))+IF(I$43&lt;1,0,(Quesería!$B$40*$C$910*$C$907)*(1-MAX(0,MIN(I$43-1-Quesería!$B$43,(Quesería!$B$42-Quesería!$B$43)))/(Quesería!$B$42-Quesería!$B$43)))</f>
        <v>100.545985202321</v>
      </c>
      <c r="J935" s="36" t="n">
        <f aca="false">IF(J$43&lt;0,0,(Quesería!$B$40*$B$910*$B$907)*(1-MAX(0,MIN(J$43-0-Quesería!$B$43,(Quesería!$B$42-Quesería!$B$43)))/(Quesería!$B$42-Quesería!$B$43)))+IF(J$43&lt;1,0,(Quesería!$B$40*$C$910*$C$907)*(1-MAX(0,MIN(J$43-1-Quesería!$B$43,(Quesería!$B$42-Quesería!$B$43)))/(Quesería!$B$42-Quesería!$B$43)))</f>
        <v>0</v>
      </c>
      <c r="K935" s="36" t="n">
        <f aca="false">IF(K$43&lt;0,0,(Quesería!$B$40*$B$910*$B$907)*(1-MAX(0,MIN(K$43-0-Quesería!$B$43,(Quesería!$B$42-Quesería!$B$43)))/(Quesería!$B$42-Quesería!$B$43)))+IF(K$43&lt;1,0,(Quesería!$B$40*$C$910*$C$907)*(1-MAX(0,MIN(K$43-1-Quesería!$B$43,(Quesería!$B$42-Quesería!$B$43)))/(Quesería!$B$42-Quesería!$B$43)))</f>
        <v>0</v>
      </c>
      <c r="L935" s="36" t="n">
        <f aca="false">IF(L$43&lt;0,0,(Quesería!$B$40*$B$910*$B$907)*(1-MAX(0,MIN(L$43-0-Quesería!$B$43,(Quesería!$B$42-Quesería!$B$43)))/(Quesería!$B$42-Quesería!$B$43)))+IF(L$43&lt;1,0,(Quesería!$B$40*$C$910*$C$907)*(1-MAX(0,MIN(L$43-1-Quesería!$B$43,(Quesería!$B$42-Quesería!$B$43)))/(Quesería!$B$42-Quesería!$B$43)))</f>
        <v>0</v>
      </c>
    </row>
    <row r="936" customFormat="false" ht="15" hidden="false" customHeight="false" outlineLevel="0" collapsed="false">
      <c r="A936" s="6" t="s">
        <v>307</v>
      </c>
      <c r="B936" s="35" t="n">
        <f aca="false">Quesería!$B$40*B910</f>
        <v>522.684644430816</v>
      </c>
      <c r="C936" s="35" t="n">
        <f aca="false">Quesería!$B$40*C910</f>
        <v>542.026874406042</v>
      </c>
      <c r="D936" s="35" t="n">
        <f aca="false">Quesería!$B$40*D910</f>
        <v>0</v>
      </c>
      <c r="E936" s="35" t="n">
        <f aca="false">Quesería!$B$40*E910</f>
        <v>0</v>
      </c>
      <c r="F936" s="35" t="n">
        <f aca="false">Quesería!$B$40*F910</f>
        <v>0</v>
      </c>
      <c r="G936" s="35" t="n">
        <f aca="false">Quesería!$B$40*G910</f>
        <v>0</v>
      </c>
      <c r="H936" s="35" t="n">
        <f aca="false">Quesería!$B$40*H910</f>
        <v>0</v>
      </c>
      <c r="I936" s="35" t="n">
        <f aca="false">Quesería!$B$40*I910</f>
        <v>0</v>
      </c>
      <c r="J936" s="35" t="n">
        <f aca="false">Quesería!$B$40*J910</f>
        <v>0</v>
      </c>
      <c r="K936" s="35" t="n">
        <f aca="false">Quesería!$B$40*K910</f>
        <v>0</v>
      </c>
      <c r="L936" s="35" t="n">
        <f aca="false">Quesería!$B$40*L910</f>
        <v>0</v>
      </c>
    </row>
    <row r="937" customFormat="false" ht="15" hidden="false" customHeight="false" outlineLevel="0" collapsed="false">
      <c r="A937" s="6" t="s">
        <v>308</v>
      </c>
      <c r="B937" s="35" t="n">
        <f aca="false">(IF(AND(B$43&gt;0,B$43&lt;=0+Quesería!$B$42),($V$14+$V$24)*((Quesería!$B$40*$B$910*$B$907)-(Quesería!$B$40*$B$910*$B$907)/(Quesería!$B$42-Quesería!$B$43)*MAX(0,MIN(B$43-1-0-Quesería!$B$43,(Quesería!$B$42-Quesería!$B$43)))),0)+IF(AND(B$43&gt;1,B$43&lt;=1+Quesería!$B$42),($V$14+$V$24)*((Quesería!$B$40*$C$910*$C$907)-(Quesería!$B$40*$C$910*$C$907)/(Quesería!$B$42-Quesería!$B$43)*MAX(0,MIN(B$43-1-1-Quesería!$B$43,(Quesería!$B$42-Quesería!$B$43)))),0))*B909</f>
        <v>0</v>
      </c>
      <c r="C937" s="35" t="n">
        <f aca="false">(IF(AND(C$43&gt;0,C$43&lt;=0+Quesería!$B$42),($V$14+$V$24)*((Quesería!$B$40*$B$910*$B$907)-(Quesería!$B$40*$B$910*$B$907)/(Quesería!$B$42-Quesería!$B$43)*MAX(0,MIN(C$43-1-0-Quesería!$B$43,(Quesería!$B$42-Quesería!$B$43)))),0)+IF(AND(C$43&gt;1,C$43&lt;=1+Quesería!$B$42),($V$14+$V$24)*((Quesería!$B$40*$C$910*$C$907)-(Quesería!$B$40*$C$910*$C$907)/(Quesería!$B$42-Quesería!$B$43)*MAX(0,MIN(C$43-1-1-Quesería!$B$43,(Quesería!$B$42-Quesería!$B$43)))),0))*C909</f>
        <v>70.1890808235668</v>
      </c>
      <c r="D937" s="35" t="n">
        <f aca="false">(IF(AND(D$43&gt;0,D$43&lt;=0+Quesería!$B$42),($V$14+$V$24)*((Quesería!$B$40*$B$910*$B$907)-(Quesería!$B$40*$B$910*$B$907)/(Quesería!$B$42-Quesería!$B$43)*MAX(0,MIN(D$43-1-0-Quesería!$B$43,(Quesería!$B$42-Quesería!$B$43)))),0)+IF(AND(D$43&gt;1,D$43&lt;=1+Quesería!$B$42),($V$14+$V$24)*((Quesería!$B$40*$C$910*$C$907)-(Quesería!$B$40*$C$910*$C$907)/(Quesería!$B$42-Quesería!$B$43)*MAX(0,MIN(D$43-1-1-Quesería!$B$43,(Quesería!$B$42-Quesería!$B$43)))),0))*D909</f>
        <v>140.301311114659</v>
      </c>
      <c r="E937" s="35" t="n">
        <f aca="false">(IF(AND(E$43&gt;0,E$43&lt;=0+Quesería!$B$42),($V$14+$V$24)*((Quesería!$B$40*$B$910*$B$907)-(Quesería!$B$40*$B$910*$B$907)/(Quesería!$B$42-Quesería!$B$43)*MAX(0,MIN(E$43-1-0-Quesería!$B$43,(Quesería!$B$42-Quesería!$B$43)))),0)+IF(AND(E$43&gt;1,E$43&lt;=1+Quesería!$B$42),($V$14+$V$24)*((Quesería!$B$40*$C$910*$C$907)-(Quesería!$B$40*$C$910*$C$907)/(Quesería!$B$42-Quesería!$B$43)*MAX(0,MIN(E$43-1-1-Quesería!$B$43,(Quesería!$B$42-Quesería!$B$43)))),0))*E909</f>
        <v>124.141231116634</v>
      </c>
      <c r="F937" s="35" t="n">
        <f aca="false">(IF(AND(F$43&gt;0,F$43&lt;=0+Quesería!$B$42),($V$14+$V$24)*((Quesería!$B$40*$B$910*$B$907)-(Quesería!$B$40*$B$910*$B$907)/(Quesería!$B$42-Quesería!$B$43)*MAX(0,MIN(F$43-1-0-Quesería!$B$43,(Quesería!$B$42-Quesería!$B$43)))),0)+IF(AND(F$43&gt;1,F$43&lt;=1+Quesería!$B$42),($V$14+$V$24)*((Quesería!$B$40*$C$910*$C$907)-(Quesería!$B$40*$C$910*$C$907)/(Quesería!$B$42-Quesería!$B$43)*MAX(0,MIN(F$43-1-1-Quesería!$B$43,(Quesería!$B$42-Quesería!$B$43)))),0))*F909</f>
        <v>97.7471602337795</v>
      </c>
      <c r="G937" s="35" t="n">
        <f aca="false">(IF(AND(G$43&gt;0,G$43&lt;=0+Quesería!$B$42),($V$14+$V$24)*((Quesería!$B$40*$B$910*$B$907)-(Quesería!$B$40*$B$910*$B$907)/(Quesería!$B$42-Quesería!$B$43)*MAX(0,MIN(G$43-1-0-Quesería!$B$43,(Quesería!$B$42-Quesería!$B$43)))),0)+IF(AND(G$43&gt;1,G$43&lt;=1+Quesería!$B$42),($V$14+$V$24)*((Quesería!$B$40*$C$910*$C$907)-(Quesería!$B$40*$C$910*$C$907)/(Quesería!$B$42-Quesería!$B$43)*MAX(0,MIN(G$43-1-1-Quesería!$B$43,(Quesería!$B$42-Quesería!$B$43)))),0))*G909</f>
        <v>73.1997616213273</v>
      </c>
      <c r="H937" s="35" t="n">
        <f aca="false">(IF(AND(H$43&gt;0,H$43&lt;=0+Quesería!$B$42),($V$14+$V$24)*((Quesería!$B$40*$B$910*$B$907)-(Quesería!$B$40*$B$910*$B$907)/(Quesería!$B$42-Quesería!$B$43)*MAX(0,MIN(H$43-1-0-Quesería!$B$43,(Quesería!$B$42-Quesería!$B$43)))),0)+IF(AND(H$43&gt;1,H$43&lt;=1+Quesería!$B$42),($V$14+$V$24)*((Quesería!$B$40*$C$910*$C$907)-(Quesería!$B$40*$C$910*$C$907)/(Quesería!$B$42-Quesería!$B$43)*MAX(0,MIN(H$43-1-1-Quesería!$B$43,(Quesería!$B$42-Quesería!$B$43)))),0))*H909</f>
        <v>50.3960280497239</v>
      </c>
      <c r="I937" s="35" t="n">
        <f aca="false">(IF(AND(I$43&gt;0,I$43&lt;=0+Quesería!$B$42),($V$14+$V$24)*((Quesería!$B$40*$B$910*$B$907)-(Quesería!$B$40*$B$910*$B$907)/(Quesería!$B$42-Quesería!$B$43)*MAX(0,MIN(I$43-1-0-Quesería!$B$43,(Quesería!$B$42-Quesería!$B$43)))),0)+IF(AND(I$43&gt;1,I$43&lt;=1+Quesería!$B$42),($V$14+$V$24)*((Quesería!$B$40*$C$910*$C$907)-(Quesería!$B$40*$C$910*$C$907)/(Quesería!$B$42-Quesería!$B$43)*MAX(0,MIN(I$43-1-1-Quesería!$B$43,(Quesería!$B$42-Quesería!$B$43)))),0))*I909</f>
        <v>29.2381441587448</v>
      </c>
      <c r="J937" s="35" t="n">
        <f aca="false">(IF(AND(J$43&gt;0,J$43&lt;=0+Quesería!$B$42),($V$14+$V$24)*((Quesería!$B$40*$B$910*$B$907)-(Quesería!$B$40*$B$910*$B$907)/(Quesería!$B$42-Quesería!$B$43)*MAX(0,MIN(J$43-1-0-Quesería!$B$43,(Quesería!$B$42-Quesería!$B$43)))),0)+IF(AND(J$43&gt;1,J$43&lt;=1+Quesería!$B$42),($V$14+$V$24)*((Quesería!$B$40*$C$910*$C$907)-(Quesería!$B$40*$C$910*$C$907)/(Quesería!$B$42-Quesería!$B$43)*MAX(0,MIN(J$43-1-1-Quesería!$B$43,(Quesería!$B$42-Quesería!$B$43)))),0))*J909</f>
        <v>9.63323946048929</v>
      </c>
      <c r="K937" s="35" t="n">
        <f aca="false">(IF(AND(K$43&gt;0,K$43&lt;=0+Quesería!$B$42),($V$14+$V$24)*((Quesería!$B$40*$B$910*$B$907)-(Quesería!$B$40*$B$910*$B$907)/(Quesería!$B$42-Quesería!$B$43)*MAX(0,MIN(K$43-1-0-Quesería!$B$43,(Quesería!$B$42-Quesería!$B$43)))),0)+IF(AND(K$43&gt;1,K$43&lt;=1+Quesería!$B$42),($V$14+$V$24)*((Quesería!$B$40*$C$910*$C$907)-(Quesería!$B$40*$C$910*$C$907)/(Quesería!$B$42-Quesería!$B$43)*MAX(0,MIN(K$43-1-1-Quesería!$B$43,(Quesería!$B$42-Quesería!$B$43)))),0))*K909</f>
        <v>0</v>
      </c>
      <c r="L937" s="35" t="n">
        <f aca="false">(IF(AND(L$43&gt;0,L$43&lt;=0+Quesería!$B$42),($V$14+$V$24)*((Quesería!$B$40*$B$910*$B$907)-(Quesería!$B$40*$B$910*$B$907)/(Quesería!$B$42-Quesería!$B$43)*MAX(0,MIN(L$43-1-0-Quesería!$B$43,(Quesería!$B$42-Quesería!$B$43)))),0)+IF(AND(L$43&gt;1,L$43&lt;=1+Quesería!$B$42),($V$14+$V$24)*((Quesería!$B$40*$C$910*$C$907)-(Quesería!$B$40*$C$910*$C$907)/(Quesería!$B$42-Quesería!$B$43)*MAX(0,MIN(L$43-1-1-Quesería!$B$43,(Quesería!$B$42-Quesería!$B$43)))),0))*L909</f>
        <v>0</v>
      </c>
    </row>
    <row r="938" customFormat="false" ht="15" hidden="false" customHeight="false" outlineLevel="0" collapsed="false">
      <c r="A938" s="6" t="s">
        <v>309</v>
      </c>
      <c r="B938" s="35" t="n">
        <f aca="false">(IF(AND(B$43&gt;0+Quesería!$B$43,B$43&lt;=0+Quesería!$B$42),(Quesería!$B$40*$B$910*$B$907)/(Quesería!$B$42-Quesería!$B$43),0)+IF(AND(B$43&gt;1+Quesería!$B$43,B$43&lt;=1+Quesería!$B$42),(Quesería!$B$40*$C$910*$C$907)/(Quesería!$B$42-Quesería!$B$43),0))*B909</f>
        <v>0</v>
      </c>
      <c r="C938" s="35" t="n">
        <f aca="false">(IF(AND(C$43&gt;0+Quesería!$B$43,C$43&lt;=0+Quesería!$B$42),(Quesería!$B$40*$B$910*$B$907)/(Quesería!$B$42-Quesería!$B$43),0)+IF(AND(C$43&gt;1+Quesería!$B$43,C$43&lt;=1+Quesería!$B$42),(Quesería!$B$40*$C$910*$C$907)/(Quesería!$B$42-Quesería!$B$43),0))*C909</f>
        <v>0</v>
      </c>
      <c r="D938" s="35" t="n">
        <f aca="false">(IF(AND(D$43&gt;0+Quesería!$B$43,D$43&lt;=0+Quesería!$B$42),(Quesería!$B$40*$B$910*$B$907)/(Quesería!$B$42-Quesería!$B$43),0)+IF(AND(D$43&gt;1+Quesería!$B$43,D$43&lt;=1+Quesería!$B$42),(Quesería!$B$40*$C$910*$C$907)/(Quesería!$B$42-Quesería!$B$43),0))*D909</f>
        <v>79.3931259103541</v>
      </c>
      <c r="E938" s="35" t="n">
        <f aca="false">(IF(AND(E$43&gt;0+Quesería!$B$43,E$43&lt;=0+Quesería!$B$42),(Quesería!$B$40*$B$910*$B$907)/(Quesería!$B$42-Quesería!$B$43),0)+IF(AND(E$43&gt;1+Quesería!$B$43,E$43&lt;=1+Quesería!$B$42),(Quesería!$B$40*$C$910*$C$907)/(Quesería!$B$42-Quesería!$B$43),0))*E909</f>
        <v>159.462301230518</v>
      </c>
      <c r="F938" s="35" t="n">
        <f aca="false">(IF(AND(F$43&gt;0+Quesería!$B$43,F$43&lt;=0+Quesería!$B$42),(Quesería!$B$40*$B$910*$B$907)/(Quesería!$B$42-Quesería!$B$43),0)+IF(AND(F$43&gt;1+Quesería!$B$43,F$43&lt;=1+Quesería!$B$42),(Quesería!$B$40*$C$910*$C$907)/(Quesería!$B$42-Quesería!$B$43),0))*F909</f>
        <v>153.329135798575</v>
      </c>
      <c r="G938" s="35" t="n">
        <f aca="false">(IF(AND(G$43&gt;0+Quesería!$B$43,G$43&lt;=0+Quesería!$B$42),(Quesería!$B$40*$B$910*$B$907)/(Quesería!$B$42-Quesería!$B$43),0)+IF(AND(G$43&gt;1+Quesería!$B$43,G$43&lt;=1+Quesería!$B$42),(Quesería!$B$40*$C$910*$C$907)/(Quesería!$B$42-Quesería!$B$43),0))*G909</f>
        <v>147.431861344784</v>
      </c>
      <c r="H938" s="35" t="n">
        <f aca="false">(IF(AND(H$43&gt;0+Quesería!$B$43,H$43&lt;=0+Quesería!$B$42),(Quesería!$B$40*$B$910*$B$907)/(Quesería!$B$42-Quesería!$B$43),0)+IF(AND(H$43&gt;1+Quesería!$B$43,H$43&lt;=1+Quesería!$B$42),(Quesería!$B$40*$C$910*$C$907)/(Quesería!$B$42-Quesería!$B$43),0))*H909</f>
        <v>141.761405139215</v>
      </c>
      <c r="I938" s="35" t="n">
        <f aca="false">(IF(AND(I$43&gt;0+Quesería!$B$43,I$43&lt;=0+Quesería!$B$42),(Quesería!$B$40*$B$910*$B$907)/(Quesería!$B$42-Quesería!$B$43),0)+IF(AND(I$43&gt;1+Quesería!$B$43,I$43&lt;=1+Quesería!$B$42),(Quesería!$B$40*$C$910*$C$907)/(Quesería!$B$42-Quesería!$B$43),0))*I909</f>
        <v>136.309043403091</v>
      </c>
      <c r="J938" s="35" t="n">
        <f aca="false">(IF(AND(J$43&gt;0+Quesería!$B$43,J$43&lt;=0+Quesería!$B$42),(Quesería!$B$40*$B$910*$B$907)/(Quesería!$B$42-Quesería!$B$43),0)+IF(AND(J$43&gt;1+Quesería!$B$43,J$43&lt;=1+Quesería!$B$42),(Quesería!$B$40*$C$910*$C$907)/(Quesería!$B$42-Quesería!$B$43),0))*J909</f>
        <v>68.3208472375127</v>
      </c>
      <c r="K938" s="35" t="n">
        <f aca="false">(IF(AND(K$43&gt;0+Quesería!$B$43,K$43&lt;=0+Quesería!$B$42),(Quesería!$B$40*$B$910*$B$907)/(Quesería!$B$42-Quesería!$B$43),0)+IF(AND(K$43&gt;1+Quesería!$B$43,K$43&lt;=1+Quesería!$B$42),(Quesería!$B$40*$C$910*$C$907)/(Quesería!$B$42-Quesería!$B$43),0))*K909</f>
        <v>0</v>
      </c>
      <c r="L938" s="35" t="n">
        <f aca="false">(IF(AND(L$43&gt;0+Quesería!$B$43,L$43&lt;=0+Quesería!$B$42),(Quesería!$B$40*$B$910*$B$907)/(Quesería!$B$42-Quesería!$B$43),0)+IF(AND(L$43&gt;1+Quesería!$B$43,L$43&lt;=1+Quesería!$B$42),(Quesería!$B$40*$C$910*$C$907)/(Quesería!$B$42-Quesería!$B$43),0))*L909</f>
        <v>0</v>
      </c>
    </row>
    <row r="939" customFormat="false" ht="15" hidden="false" customHeight="false" outlineLevel="0" collapsed="false">
      <c r="A939" s="6" t="s">
        <v>310</v>
      </c>
      <c r="B939" s="35" t="n">
        <f aca="false">$V$13*Quesería!$B$44*(1+0.19)*B935*B909+(1-$V$13)*IF(B$43=0,Quesería!$B$53,0)</f>
        <v>4</v>
      </c>
      <c r="C939" s="35" t="n">
        <f aca="false">$V$13*Quesería!$B$44*(1+0.19)*C935*C909+(1-$V$13)*IF(C$43=0,Quesería!$B$53,0)</f>
        <v>0</v>
      </c>
      <c r="D939" s="35" t="n">
        <f aca="false">$V$13*Quesería!$B$44*(1+0.19)*D935*D909+(1-$V$13)*IF(D$43=0,Quesería!$B$53,0)</f>
        <v>0</v>
      </c>
      <c r="E939" s="35" t="n">
        <f aca="false">$V$13*Quesería!$B$44*(1+0.19)*E935*E909+(1-$V$13)*IF(E$43=0,Quesería!$B$53,0)</f>
        <v>0</v>
      </c>
      <c r="F939" s="35" t="n">
        <f aca="false">$V$13*Quesería!$B$44*(1+0.19)*F935*F909+(1-$V$13)*IF(F$43=0,Quesería!$B$53,0)</f>
        <v>0</v>
      </c>
      <c r="G939" s="35" t="n">
        <f aca="false">$V$13*Quesería!$B$44*(1+0.19)*G935*G909+(1-$V$13)*IF(G$43=0,Quesería!$B$53,0)</f>
        <v>0</v>
      </c>
      <c r="H939" s="35" t="n">
        <f aca="false">$V$13*Quesería!$B$44*(1+0.19)*H935*H909+(1-$V$13)*IF(H$43=0,Quesería!$B$53,0)</f>
        <v>0</v>
      </c>
      <c r="I939" s="35" t="n">
        <f aca="false">$V$13*Quesería!$B$44*(1+0.19)*I935*I909+(1-$V$13)*IF(I$43=0,Quesería!$B$53,0)</f>
        <v>0</v>
      </c>
      <c r="J939" s="35" t="n">
        <f aca="false">$V$13*Quesería!$B$44*(1+0.19)*J935*J909+(1-$V$13)*IF(J$43=0,Quesería!$B$53,0)</f>
        <v>0</v>
      </c>
      <c r="K939" s="35" t="n">
        <f aca="false">$V$13*Quesería!$B$44*(1+0.19)*K935*K909+(1-$V$13)*IF(K$43=0,Quesería!$B$53,0)</f>
        <v>0</v>
      </c>
      <c r="L939" s="35" t="n">
        <f aca="false">$V$13*Quesería!$B$44*(1+0.19)*L935*L909+(1-$V$13)*IF(L$43=0,Quesería!$B$53,0)</f>
        <v>0</v>
      </c>
    </row>
    <row r="940" customFormat="false" ht="15" hidden="false" customHeight="false" outlineLevel="0" collapsed="false">
      <c r="A940" s="6" t="s">
        <v>311</v>
      </c>
      <c r="B940" s="35" t="n">
        <f aca="false">Quesería!$B$45*(B937+B938+B939)</f>
        <v>0.016</v>
      </c>
      <c r="C940" s="35" t="n">
        <f aca="false">Quesería!$B$45*(C937+C938+C939)</f>
        <v>0.280756323294267</v>
      </c>
      <c r="D940" s="35" t="n">
        <f aca="false">Quesería!$B$45*(D937+D938+D939)</f>
        <v>0.878777748100053</v>
      </c>
      <c r="E940" s="35" t="n">
        <f aca="false">Quesería!$B$45*(E937+E938+E939)</f>
        <v>1.13441412938861</v>
      </c>
      <c r="F940" s="35" t="n">
        <f aca="false">Quesería!$B$45*(F937+F938+F939)</f>
        <v>1.00430518412942</v>
      </c>
      <c r="G940" s="35" t="n">
        <f aca="false">Quesería!$B$45*(G937+G938+G939)</f>
        <v>0.882526491864444</v>
      </c>
      <c r="H940" s="35" t="n">
        <f aca="false">Quesería!$B$45*(H937+H938+H939)</f>
        <v>0.768629732755756</v>
      </c>
      <c r="I940" s="35" t="n">
        <f aca="false">Quesería!$B$45*(I937+I938+I939)</f>
        <v>0.662188750247345</v>
      </c>
      <c r="J940" s="35" t="n">
        <f aca="false">Quesería!$B$45*(J937+J938+J939)</f>
        <v>0.311816346792008</v>
      </c>
      <c r="K940" s="35" t="n">
        <f aca="false">Quesería!$B$45*(K937+K938+K939)</f>
        <v>0</v>
      </c>
      <c r="L940" s="35" t="n">
        <f aca="false">Quesería!$B$45*(L937+L938+L939)</f>
        <v>0</v>
      </c>
    </row>
    <row r="941" customFormat="false" ht="15" hidden="false" customHeight="false" outlineLevel="0" collapsed="false">
      <c r="A941" s="6" t="s">
        <v>312</v>
      </c>
      <c r="B941" s="35" t="n">
        <f aca="false">$V$17*(B937+B939+0.5*B940)</f>
        <v>1.4028</v>
      </c>
      <c r="C941" s="35" t="n">
        <f aca="false">$V$17*(C937+C939+0.5*C940)</f>
        <v>24.6153106448249</v>
      </c>
      <c r="D941" s="35" t="n">
        <f aca="false">$V$17*(D937+D939+0.5*D940)</f>
        <v>49.2592449960482</v>
      </c>
      <c r="E941" s="35" t="n">
        <f aca="false">$V$17*(E937+E939+0.5*E940)</f>
        <v>43.6479533634648</v>
      </c>
      <c r="F941" s="35" t="n">
        <f aca="false">$V$17*(F937+F939+0.5*F940)</f>
        <v>34.3872594890455</v>
      </c>
      <c r="G941" s="35" t="n">
        <f aca="false">$V$17*(G937+G939+0.5*G940)</f>
        <v>25.7743587035408</v>
      </c>
      <c r="H941" s="35" t="n">
        <f aca="false">$V$17*(H937+H939+0.5*H940)</f>
        <v>17.7731200206356</v>
      </c>
      <c r="I941" s="35" t="n">
        <f aca="false">$V$17*(I937+I939+0.5*I940)</f>
        <v>10.3492334868539</v>
      </c>
      <c r="J941" s="35" t="n">
        <f aca="false">$V$17*(J937+J939+0.5*J940)</f>
        <v>3.42620167185985</v>
      </c>
      <c r="K941" s="35" t="n">
        <f aca="false">$V$17*(K937+K939+0.5*K940)</f>
        <v>0</v>
      </c>
      <c r="L941" s="35" t="n">
        <f aca="false">$V$17*(L937+L939+0.5*L940)</f>
        <v>0</v>
      </c>
    </row>
    <row r="942" customFormat="false" ht="15" hidden="false" customHeight="false" outlineLevel="0" collapsed="false">
      <c r="A942" s="5" t="s">
        <v>313</v>
      </c>
      <c r="B942" s="37" t="n">
        <f aca="false">B927+B936-B937-B938-B939-B940+B941</f>
        <v>-285.240082654382</v>
      </c>
      <c r="C942" s="37" t="n">
        <f aca="false">C927+C936-C937-C938-C939-C940+C941</f>
        <v>-41.6266839933891</v>
      </c>
      <c r="D942" s="37" t="n">
        <f aca="false">D927+D936-D937-D938-D939-D940+D941</f>
        <v>132.227754106584</v>
      </c>
      <c r="E942" s="37" t="n">
        <f aca="false">E927+E936-E937-E938-E939-E940+E941</f>
        <v>-59.5047994746972</v>
      </c>
      <c r="F942" s="37" t="n">
        <f aca="false">F927+F936-F937-F938-F939-F940+F941</f>
        <v>-35.6877623224112</v>
      </c>
      <c r="G942" s="37" t="n">
        <f aca="false">G927+G936-G937-G938-G939-G940+G941</f>
        <v>-53.4188369209896</v>
      </c>
      <c r="H942" s="37" t="n">
        <f aca="false">H927+H936-H937-H938-H939-H940+H941</f>
        <v>-43.6354360559348</v>
      </c>
      <c r="I942" s="37" t="n">
        <f aca="false">I927+I936-I937-I938-I939-I940+I941</f>
        <v>29.7487512509717</v>
      </c>
      <c r="J942" s="37" t="n">
        <f aca="false">J927+J936-J937-J938-J939-J940+J941</f>
        <v>101.743466325787</v>
      </c>
      <c r="K942" s="37" t="n">
        <f aca="false">K927+K936-K937-K938-K939-K940+K941</f>
        <v>175.358183517569</v>
      </c>
      <c r="L942" s="37" t="n">
        <f aca="false">L927+L936-L937-L938-L939-L940+L941</f>
        <v>250.277894426934</v>
      </c>
    </row>
    <row r="943" customFormat="false" ht="15" hidden="false" customHeight="false" outlineLevel="0" collapsed="false">
      <c r="A943" s="9" t="s">
        <v>314</v>
      </c>
      <c r="B943" s="36" t="n">
        <f aca="false">B942*B907</f>
        <v>-302.354487613645</v>
      </c>
      <c r="C943" s="36" t="n">
        <f aca="false">C942*C907</f>
        <v>-46.3304992846421</v>
      </c>
      <c r="D943" s="36" t="n">
        <f aca="false">D942*D907</f>
        <v>153.792117385056</v>
      </c>
      <c r="E943" s="36" t="n">
        <f aca="false">E942*E907</f>
        <v>-71.9775052849093</v>
      </c>
      <c r="F943" s="36" t="n">
        <f aca="false">F942*F907</f>
        <v>-44.8949457656878</v>
      </c>
      <c r="G943" s="36" t="n">
        <f aca="false">G942*G907</f>
        <v>-69.8885291646605</v>
      </c>
      <c r="H943" s="36" t="n">
        <f aca="false">H942*H907</f>
        <v>-59.372335416348</v>
      </c>
      <c r="I943" s="36" t="n">
        <f aca="false">I942*I907</f>
        <v>42.0965874761774</v>
      </c>
      <c r="J943" s="36" t="n">
        <f aca="false">J942*J907</f>
        <v>149.733170375682</v>
      </c>
      <c r="K943" s="36" t="n">
        <f aca="false">K942*K907</f>
        <v>268.39280423908</v>
      </c>
      <c r="L943" s="36" t="n">
        <f aca="false">L942*L907</f>
        <v>398.382875323695</v>
      </c>
    </row>
    <row r="944" customFormat="false" ht="15" hidden="false" customHeight="false" outlineLevel="0" collapsed="false">
      <c r="A944" s="9" t="s">
        <v>315</v>
      </c>
      <c r="B944" s="34" t="n">
        <f aca="false">(B907/$B$907)/(1+Quesería!$B$46+$V$24)^B$43</f>
        <v>1</v>
      </c>
      <c r="C944" s="34" t="n">
        <f aca="false">(C907/$B$907)/(1+Quesería!$B$46+$V$24)^C$43</f>
        <v>0.84</v>
      </c>
      <c r="D944" s="34" t="n">
        <f aca="false">(D907/$B$907)/(1+Quesería!$B$46+$V$24)^D$43</f>
        <v>0.70224</v>
      </c>
      <c r="E944" s="34" t="n">
        <f aca="false">(E907/$B$907)/(1+Quesería!$B$46+$V$24)^E$43</f>
        <v>0.58426368</v>
      </c>
      <c r="F944" s="34" t="n">
        <f aca="false">(F907/$B$907)/(1+Quesería!$B$46+$V$24)^F$43</f>
        <v>0.48610738176</v>
      </c>
      <c r="G944" s="34" t="n">
        <f aca="false">(G907/$B$907)/(1+Quesería!$B$46+$V$24)^G$43</f>
        <v>0.40444134162432</v>
      </c>
      <c r="H944" s="34" t="n">
        <f aca="false">(H907/$B$907)/(1+Quesería!$B$46+$V$24)^H$43</f>
        <v>0.336495196231434</v>
      </c>
      <c r="I944" s="34" t="n">
        <f aca="false">(I907/$B$907)/(1+Quesería!$B$46+$V$24)^I$43</f>
        <v>0.279964003264553</v>
      </c>
      <c r="J944" s="34" t="n">
        <f aca="false">(J907/$B$907)/(1+Quesería!$B$46+$V$24)^J$43</f>
        <v>0.232930050716108</v>
      </c>
      <c r="K944" s="34" t="n">
        <f aca="false">(K907/$B$907)/(1+Quesería!$B$46+$V$24)^K$43</f>
        <v>0.193797802195802</v>
      </c>
      <c r="L944" s="34" t="n">
        <f aca="false">(L907/$B$907)/(1+Quesería!$B$46+$V$24)^L$43</f>
        <v>0.161239771426907</v>
      </c>
    </row>
    <row r="945" customFormat="false" ht="15" hidden="false" customHeight="false" outlineLevel="0" collapsed="false">
      <c r="A945" s="9" t="s">
        <v>316</v>
      </c>
      <c r="B945" s="36" t="n">
        <f aca="false">B927+B910+B912+B941</f>
        <v>62.0010726873937</v>
      </c>
      <c r="C945" s="36" t="n">
        <f aca="false">C927+C910+C912+C941</f>
        <v>408.261965237702</v>
      </c>
      <c r="D945" s="36" t="n">
        <f aca="false">D927+D910+D912+D941</f>
        <v>352.800968879697</v>
      </c>
      <c r="E945" s="36" t="n">
        <f aca="false">E927+E910+E912+E941</f>
        <v>225.233147001843</v>
      </c>
      <c r="F945" s="36" t="n">
        <f aca="false">F927+F910+F912+F941</f>
        <v>216.392838894073</v>
      </c>
      <c r="G945" s="36" t="n">
        <f aca="false">G927+G910+G912+G941</f>
        <v>174.175312536986</v>
      </c>
      <c r="H945" s="36" t="n">
        <f aca="false">H927+H910+H912+H941</f>
        <v>157.34006496268</v>
      </c>
      <c r="I945" s="36" t="n">
        <f aca="false">I927+I910+I912+I941</f>
        <v>195.958127563055</v>
      </c>
      <c r="J945" s="36" t="n">
        <f aca="false">J927+J910+J912+J941</f>
        <v>180.009369370581</v>
      </c>
      <c r="K945" s="36" t="n">
        <f aca="false">K927+K910+K912+K941</f>
        <v>175.358183517569</v>
      </c>
      <c r="L945" s="36" t="n">
        <f aca="false">L927+L910+L912+L941</f>
        <v>250.277894426934</v>
      </c>
    </row>
    <row r="946" customFormat="false" ht="15" hidden="false" customHeight="false" outlineLevel="0" collapsed="false">
      <c r="A946" s="5" t="s">
        <v>317</v>
      </c>
      <c r="B946" s="12" t="str">
        <f aca="false">IF(AND(B$43&gt;=1,(B937+B938+B939)&gt;0.001),B945/(B937+B938+B939),"")</f>
        <v/>
      </c>
      <c r="C946" s="12" t="n">
        <f aca="false">IF(AND(C$43&gt;=1,(C937+C938+C939)&gt;0.001),C945/(C937+C938+C939),"")</f>
        <v>5.81660224706381</v>
      </c>
      <c r="D946" s="12" t="n">
        <f aca="false">IF(AND(D$43&gt;=1,(D937+D938+D939)&gt;0.001),D945/(D937+D938+D939),"")</f>
        <v>1.60587119845702</v>
      </c>
      <c r="E946" s="12" t="n">
        <f aca="false">IF(AND(E$43&gt;=1,(E937+E938+E939)&gt;0.001),E945/(E937+E938+E939),"")</f>
        <v>0.794183151168023</v>
      </c>
      <c r="F946" s="12" t="n">
        <f aca="false">IF(AND(F$43&gt;=1,(F937+F938+F939)&gt;0.001),F945/(F937+F938+F939),"")</f>
        <v>0.861860885769112</v>
      </c>
      <c r="G946" s="12" t="n">
        <f aca="false">IF(AND(G$43&gt;=1,(G937+G938+G939)&gt;0.001),G945/(G937+G938+G939),"")</f>
        <v>0.789439474701862</v>
      </c>
      <c r="H946" s="12" t="n">
        <f aca="false">IF(AND(H$43&gt;=1,(H937+H938+H939)&gt;0.001),H945/(H937+H938+H939),"")</f>
        <v>0.818808111409228</v>
      </c>
      <c r="I946" s="12" t="n">
        <f aca="false">IF(AND(I$43&gt;=1,(I937+I938+I939)&gt;0.001),I945/(I937+I938+I939),"")</f>
        <v>1.18369952669755</v>
      </c>
      <c r="J946" s="12" t="n">
        <f aca="false">IF(AND(J$43&gt;=1,(J937+J938+J939)&gt;0.001),J945/(J937+J938+J939),"")</f>
        <v>2.30917168035009</v>
      </c>
      <c r="K946" s="12" t="str">
        <f aca="false">IF(AND(K$43&gt;=1,(K937+K938+K939)&gt;0.001),K945/(K937+K938+K939),"")</f>
        <v/>
      </c>
      <c r="L946" s="12" t="str">
        <f aca="false">IF(AND(L$43&gt;=1,(L937+L938+L939)&gt;0.001),L945/(L937+L938+L939),"")</f>
        <v/>
      </c>
    </row>
    <row r="948" customFormat="false" ht="15" hidden="false" customHeight="false" outlineLevel="0" collapsed="false">
      <c r="A948" s="66" t="s">
        <v>647</v>
      </c>
      <c r="B948" s="67"/>
      <c r="C948" s="67"/>
      <c r="D948" s="67"/>
      <c r="E948" s="67"/>
      <c r="F948" s="67"/>
      <c r="G948" s="67"/>
      <c r="H948" s="67"/>
      <c r="I948" s="67"/>
      <c r="J948" s="67"/>
      <c r="K948" s="67"/>
      <c r="L948" s="67"/>
    </row>
    <row r="949" customFormat="false" ht="15" hidden="false" customHeight="false" outlineLevel="0" collapsed="false">
      <c r="A949" s="9" t="s">
        <v>281</v>
      </c>
      <c r="B949" s="33" t="n">
        <f aca="false">CHOOSE($W$15,Entorno!B$7,Entorno!B$8,Entorno!B$9)</f>
        <v>0.06</v>
      </c>
      <c r="C949" s="33" t="n">
        <f aca="false">CHOOSE($W$15,Entorno!C$7,Entorno!C$8,Entorno!C$9)</f>
        <v>0.05</v>
      </c>
      <c r="D949" s="33" t="n">
        <f aca="false">CHOOSE($W$15,Entorno!D$7,Entorno!D$8,Entorno!D$9)</f>
        <v>0.045</v>
      </c>
      <c r="E949" s="33" t="n">
        <f aca="false">CHOOSE($W$15,Entorno!E$7,Entorno!E$8,Entorno!E$9)</f>
        <v>0.04</v>
      </c>
      <c r="F949" s="33" t="n">
        <f aca="false">CHOOSE($W$15,Entorno!F$7,Entorno!F$8,Entorno!F$9)</f>
        <v>0.04</v>
      </c>
      <c r="G949" s="33" t="n">
        <f aca="false">CHOOSE($W$15,Entorno!G$7,Entorno!G$8,Entorno!G$9)</f>
        <v>0.04</v>
      </c>
      <c r="H949" s="33" t="n">
        <f aca="false">CHOOSE($W$15,Entorno!H$7,Entorno!H$8,Entorno!H$9)</f>
        <v>0.04</v>
      </c>
      <c r="I949" s="33" t="n">
        <f aca="false">CHOOSE($W$15,Entorno!I$7,Entorno!I$8,Entorno!I$9)</f>
        <v>0.04</v>
      </c>
      <c r="J949" s="33" t="n">
        <f aca="false">CHOOSE($W$15,Entorno!J$7,Entorno!J$8,Entorno!J$9)</f>
        <v>0.04</v>
      </c>
      <c r="K949" s="33" t="n">
        <f aca="false">CHOOSE($W$15,Entorno!K$7,Entorno!K$8,Entorno!K$9)</f>
        <v>0.04</v>
      </c>
      <c r="L949" s="33" t="n">
        <f aca="false">CHOOSE($W$15,Entorno!L$7,Entorno!L$8,Entorno!L$9)</f>
        <v>0.04</v>
      </c>
    </row>
    <row r="950" customFormat="false" ht="15" hidden="false" customHeight="false" outlineLevel="0" collapsed="false">
      <c r="A950" s="9" t="s">
        <v>282</v>
      </c>
      <c r="B950" s="34" t="n">
        <f aca="false">1+B949</f>
        <v>1.06</v>
      </c>
      <c r="C950" s="34" t="n">
        <f aca="false">B950*(1+C949)</f>
        <v>1.113</v>
      </c>
      <c r="D950" s="34" t="n">
        <f aca="false">C950*(1+D949)</f>
        <v>1.163085</v>
      </c>
      <c r="E950" s="34" t="n">
        <f aca="false">D950*(1+E949)</f>
        <v>1.2096084</v>
      </c>
      <c r="F950" s="34" t="n">
        <f aca="false">E950*(1+F949)</f>
        <v>1.257992736</v>
      </c>
      <c r="G950" s="34" t="n">
        <f aca="false">F950*(1+G949)</f>
        <v>1.30831244544</v>
      </c>
      <c r="H950" s="34" t="n">
        <f aca="false">G950*(1+H949)</f>
        <v>1.3606449432576</v>
      </c>
      <c r="I950" s="34" t="n">
        <f aca="false">H950*(1+I949)</f>
        <v>1.4150707409879</v>
      </c>
      <c r="J950" s="34" t="n">
        <f aca="false">I950*(1+J949)</f>
        <v>1.47167357062742</v>
      </c>
      <c r="K950" s="34" t="n">
        <f aca="false">J950*(1+K949)</f>
        <v>1.53054051345252</v>
      </c>
      <c r="L950" s="34" t="n">
        <f aca="false">K950*(1+L949)</f>
        <v>1.59176213399062</v>
      </c>
    </row>
    <row r="951" customFormat="false" ht="15" hidden="false" customHeight="false" outlineLevel="0" collapsed="false">
      <c r="A951" s="9" t="s">
        <v>283</v>
      </c>
      <c r="B951" s="34" t="n">
        <f aca="false">(1+$W$16)/(1+B949)</f>
        <v>1.02358490566038</v>
      </c>
      <c r="C951" s="34" t="n">
        <f aca="false">B951*(1+Entorno!$B$13)</f>
        <v>1.02870283018868</v>
      </c>
      <c r="D951" s="34" t="n">
        <f aca="false">C951*(1+Entorno!$B$13)</f>
        <v>1.03384634433962</v>
      </c>
      <c r="E951" s="34" t="n">
        <f aca="false">D951*(1+Entorno!$B$13)</f>
        <v>1.03901557606132</v>
      </c>
      <c r="F951" s="34" t="n">
        <f aca="false">E951*(1+Entorno!$B$13)</f>
        <v>1.04421065394163</v>
      </c>
      <c r="G951" s="34" t="n">
        <f aca="false">F951*(1+Entorno!$B$13)</f>
        <v>1.04943170721133</v>
      </c>
      <c r="H951" s="34" t="n">
        <f aca="false">G951*(1+Entorno!$B$13)</f>
        <v>1.05467886574739</v>
      </c>
      <c r="I951" s="34" t="n">
        <f aca="false">H951*(1+Entorno!$B$13)</f>
        <v>1.05995226007613</v>
      </c>
      <c r="J951" s="34" t="n">
        <f aca="false">I951*(1+Entorno!$B$13)</f>
        <v>1.06525202137651</v>
      </c>
      <c r="K951" s="34" t="n">
        <f aca="false">J951*(1+Entorno!$B$13)</f>
        <v>1.07057828148339</v>
      </c>
      <c r="L951" s="34" t="n">
        <f aca="false">K951*(1+Entorno!$B$13)</f>
        <v>1.07593117289081</v>
      </c>
    </row>
    <row r="952" customFormat="false" ht="15" hidden="false" customHeight="false" outlineLevel="0" collapsed="false">
      <c r="A952" s="9" t="s">
        <v>284</v>
      </c>
      <c r="B952" s="34" t="n">
        <f aca="false">1/B950</f>
        <v>0.943396226415094</v>
      </c>
      <c r="C952" s="34" t="n">
        <f aca="false">1/C950</f>
        <v>0.898472596585804</v>
      </c>
      <c r="D952" s="34" t="n">
        <f aca="false">1/D950</f>
        <v>0.859782389077324</v>
      </c>
      <c r="E952" s="34" t="n">
        <f aca="false">1/E950</f>
        <v>0.826713835651273</v>
      </c>
      <c r="F952" s="34" t="n">
        <f aca="false">1/F950</f>
        <v>0.794917149664686</v>
      </c>
      <c r="G952" s="34" t="n">
        <f aca="false">1/G950</f>
        <v>0.764343413139121</v>
      </c>
      <c r="H952" s="34" t="n">
        <f aca="false">1/H950</f>
        <v>0.734945589556847</v>
      </c>
      <c r="I952" s="34" t="n">
        <f aca="false">1/I950</f>
        <v>0.706678451496968</v>
      </c>
      <c r="J952" s="34" t="n">
        <f aca="false">1/J950</f>
        <v>0.679498511054777</v>
      </c>
      <c r="K952" s="34" t="n">
        <f aca="false">1/K950</f>
        <v>0.653363952937286</v>
      </c>
      <c r="L952" s="34" t="n">
        <f aca="false">1/L950</f>
        <v>0.628234570132006</v>
      </c>
    </row>
    <row r="953" customFormat="false" ht="15" hidden="false" customHeight="false" outlineLevel="0" collapsed="false">
      <c r="A953" s="6" t="s">
        <v>202</v>
      </c>
      <c r="B953" s="35" t="n">
        <f aca="false">IF(B$43=0,Quesería!$F$80,IF(B$43=1,Quesería!$F$81*$W$21,0))*$W$11</f>
        <v>622.243624322401</v>
      </c>
      <c r="C953" s="35" t="n">
        <f aca="false">IF(C$43=0,Quesería!$F$80,IF(C$43=1,Quesería!$F$81*$W$21,0))*$W$11</f>
        <v>645.270088578622</v>
      </c>
      <c r="D953" s="35" t="n">
        <f aca="false">IF(D$43=0,Quesería!$F$80,IF(D$43=1,Quesería!$F$81*$W$21,0))*$W$11</f>
        <v>0</v>
      </c>
      <c r="E953" s="35" t="n">
        <f aca="false">IF(E$43=0,Quesería!$F$80,IF(E$43=1,Quesería!$F$81*$W$21,0))*$W$11</f>
        <v>0</v>
      </c>
      <c r="F953" s="35" t="n">
        <f aca="false">IF(F$43=0,Quesería!$F$80,IF(F$43=1,Quesería!$F$81*$W$21,0))*$W$11</f>
        <v>0</v>
      </c>
      <c r="G953" s="35" t="n">
        <f aca="false">IF(G$43=0,Quesería!$F$80,IF(G$43=1,Quesería!$F$81*$W$21,0))*$W$11</f>
        <v>0</v>
      </c>
      <c r="H953" s="35" t="n">
        <f aca="false">IF(H$43=0,Quesería!$F$80,IF(H$43=1,Quesería!$F$81*$W$21,0))*$W$11</f>
        <v>0</v>
      </c>
      <c r="I953" s="35" t="n">
        <f aca="false">IF(I$43=0,Quesería!$F$80,IF(I$43=1,Quesería!$F$81*$W$21,0))*$W$11</f>
        <v>0</v>
      </c>
      <c r="J953" s="35" t="n">
        <f aca="false">IF(J$43=0,Quesería!$F$80,IF(J$43=1,Quesería!$F$81*$W$21,0))*$W$11</f>
        <v>0</v>
      </c>
      <c r="K953" s="35" t="n">
        <f aca="false">IF(K$43=0,Quesería!$F$80,IF(K$43=1,Quesería!$F$81*$W$21,0))*$W$11</f>
        <v>0</v>
      </c>
      <c r="L953" s="35" t="n">
        <f aca="false">IF(L$43=0,Quesería!$F$80,IF(L$43=1,Quesería!$F$81*$W$21,0))*$W$11</f>
        <v>0</v>
      </c>
    </row>
    <row r="954" customFormat="false" ht="15" hidden="false" customHeight="false" outlineLevel="0" collapsed="false">
      <c r="A954" s="6" t="s">
        <v>285</v>
      </c>
      <c r="B954" s="35" t="n">
        <f aca="false">IF(B$43=5,Quesería!$F$87,IF(B$43=6,Quesería!$F$88,0))*$W$11</f>
        <v>0</v>
      </c>
      <c r="C954" s="35" t="n">
        <f aca="false">IF(C$43=5,Quesería!$F$87,IF(C$43=6,Quesería!$F$88,0))*$W$11</f>
        <v>0</v>
      </c>
      <c r="D954" s="35" t="n">
        <f aca="false">IF(D$43=5,Quesería!$F$87,IF(D$43=6,Quesería!$F$88,0))*$W$11</f>
        <v>0</v>
      </c>
      <c r="E954" s="35" t="n">
        <f aca="false">IF(E$43=5,Quesería!$F$87,IF(E$43=6,Quesería!$F$88,0))*$W$11</f>
        <v>0</v>
      </c>
      <c r="F954" s="35" t="n">
        <f aca="false">IF(F$43=5,Quesería!$F$87,IF(F$43=6,Quesería!$F$88,0))*$W$11</f>
        <v>0</v>
      </c>
      <c r="G954" s="35" t="n">
        <f aca="false">IF(G$43=5,Quesería!$F$87,IF(G$43=6,Quesería!$F$88,0))*$W$11</f>
        <v>26.6666666666667</v>
      </c>
      <c r="H954" s="35" t="n">
        <f aca="false">IF(H$43=5,Quesería!$F$87,IF(H$43=6,Quesería!$F$88,0))*$W$11</f>
        <v>35.3045530566667</v>
      </c>
      <c r="I954" s="35" t="n">
        <f aca="false">IF(I$43=5,Quesería!$F$87,IF(I$43=6,Quesería!$F$88,0))*$W$11</f>
        <v>0</v>
      </c>
      <c r="J954" s="35" t="n">
        <f aca="false">IF(J$43=5,Quesería!$F$87,IF(J$43=6,Quesería!$F$88,0))*$W$11</f>
        <v>0</v>
      </c>
      <c r="K954" s="35" t="n">
        <f aca="false">IF(K$43=5,Quesería!$F$87,IF(K$43=6,Quesería!$F$88,0))*$W$11</f>
        <v>0</v>
      </c>
      <c r="L954" s="35" t="n">
        <f aca="false">IF(L$43=5,Quesería!$F$87,IF(L$43=6,Quesería!$F$88,0))*$W$11</f>
        <v>0</v>
      </c>
    </row>
    <row r="955" customFormat="false" ht="15" hidden="false" customHeight="false" outlineLevel="0" collapsed="false">
      <c r="A955" s="6" t="s">
        <v>286</v>
      </c>
      <c r="B955" s="35" t="n">
        <f aca="false">Quesería!$B$36*(IF(B$43=0,SUMPRODUCT((Quesería!$C$62:$C$77=0)*(Quesería!$H$62:$H$77&gt;0)*(Quesería!$J$62:$J$77&gt;0)*Quesería!$F$62:$F$77*(1+Quesería!$I$62:$I$77)),IF(B$43=1,SUMPRODUCT((Quesería!$C$62:$C$77=1)*(Quesería!$H$62:$H$77&gt;0)*(Quesería!$J$62:$J$77&gt;0)*Quesería!$F$62:$F$77*(1+Quesería!$I$62:$I$77))*$W$21,0))*$W$11+B954)</f>
        <v>99.347875488093</v>
      </c>
      <c r="C955" s="35" t="n">
        <f aca="false">Quesería!$B$36*(IF(C$43=0,SUMPRODUCT((Quesería!$C$62:$C$77=0)*(Quesería!$H$62:$H$77&gt;0)*(Quesería!$J$62:$J$77&gt;0)*Quesería!$F$62:$F$77*(1+Quesería!$I$62:$I$77)),IF(C$43=1,SUMPRODUCT((Quesería!$C$62:$C$77=1)*(Quesería!$H$62:$H$77&gt;0)*(Quesería!$J$62:$J$77&gt;0)*Quesería!$F$62:$F$77*(1+Quesería!$I$62:$I$77))*$W$21,0))*$W$11+C954)</f>
        <v>122.601316829938</v>
      </c>
      <c r="D955" s="35" t="n">
        <f aca="false">Quesería!$B$36*(IF(D$43=0,SUMPRODUCT((Quesería!$C$62:$C$77=0)*(Quesería!$H$62:$H$77&gt;0)*(Quesería!$J$62:$J$77&gt;0)*Quesería!$F$62:$F$77*(1+Quesería!$I$62:$I$77)),IF(D$43=1,SUMPRODUCT((Quesería!$C$62:$C$77=1)*(Quesería!$H$62:$H$77&gt;0)*(Quesería!$J$62:$J$77&gt;0)*Quesería!$F$62:$F$77*(1+Quesería!$I$62:$I$77))*$W$21,0))*$W$11+D954)</f>
        <v>0</v>
      </c>
      <c r="E955" s="35" t="n">
        <f aca="false">Quesería!$B$36*(IF(E$43=0,SUMPRODUCT((Quesería!$C$62:$C$77=0)*(Quesería!$H$62:$H$77&gt;0)*(Quesería!$J$62:$J$77&gt;0)*Quesería!$F$62:$F$77*(1+Quesería!$I$62:$I$77)),IF(E$43=1,SUMPRODUCT((Quesería!$C$62:$C$77=1)*(Quesería!$H$62:$H$77&gt;0)*(Quesería!$J$62:$J$77&gt;0)*Quesería!$F$62:$F$77*(1+Quesería!$I$62:$I$77))*$W$21,0))*$W$11+E954)</f>
        <v>0</v>
      </c>
      <c r="F955" s="35" t="n">
        <f aca="false">Quesería!$B$36*(IF(F$43=0,SUMPRODUCT((Quesería!$C$62:$C$77=0)*(Quesería!$H$62:$H$77&gt;0)*(Quesería!$J$62:$J$77&gt;0)*Quesería!$F$62:$F$77*(1+Quesería!$I$62:$I$77)),IF(F$43=1,SUMPRODUCT((Quesería!$C$62:$C$77=1)*(Quesería!$H$62:$H$77&gt;0)*(Quesería!$J$62:$J$77&gt;0)*Quesería!$F$62:$F$77*(1+Quesería!$I$62:$I$77))*$W$21,0))*$W$11+F954)</f>
        <v>0</v>
      </c>
      <c r="G955" s="35" t="n">
        <f aca="false">Quesería!$B$36*(IF(G$43=0,SUMPRODUCT((Quesería!$C$62:$C$77=0)*(Quesería!$H$62:$H$77&gt;0)*(Quesería!$J$62:$J$77&gt;0)*Quesería!$F$62:$F$77*(1+Quesería!$I$62:$I$77)),IF(G$43=1,SUMPRODUCT((Quesería!$C$62:$C$77=1)*(Quesería!$H$62:$H$77&gt;0)*(Quesería!$J$62:$J$77&gt;0)*Quesería!$F$62:$F$77*(1+Quesería!$I$62:$I$77))*$W$21,0))*$W$11+G954)</f>
        <v>5.06666666666667</v>
      </c>
      <c r="H955" s="35" t="n">
        <f aca="false">Quesería!$B$36*(IF(H$43=0,SUMPRODUCT((Quesería!$C$62:$C$77=0)*(Quesería!$H$62:$H$77&gt;0)*(Quesería!$J$62:$J$77&gt;0)*Quesería!$F$62:$F$77*(1+Quesería!$I$62:$I$77)),IF(H$43=1,SUMPRODUCT((Quesería!$C$62:$C$77=1)*(Quesería!$H$62:$H$77&gt;0)*(Quesería!$J$62:$J$77&gt;0)*Quesería!$F$62:$F$77*(1+Quesería!$I$62:$I$77))*$W$21,0))*$W$11+H954)</f>
        <v>6.70786508076667</v>
      </c>
      <c r="I955" s="35" t="n">
        <f aca="false">Quesería!$B$36*(IF(I$43=0,SUMPRODUCT((Quesería!$C$62:$C$77=0)*(Quesería!$H$62:$H$77&gt;0)*(Quesería!$J$62:$J$77&gt;0)*Quesería!$F$62:$F$77*(1+Quesería!$I$62:$I$77)),IF(I$43=1,SUMPRODUCT((Quesería!$C$62:$C$77=1)*(Quesería!$H$62:$H$77&gt;0)*(Quesería!$J$62:$J$77&gt;0)*Quesería!$F$62:$F$77*(1+Quesería!$I$62:$I$77))*$W$21,0))*$W$11+I954)</f>
        <v>0</v>
      </c>
      <c r="J955" s="35" t="n">
        <f aca="false">Quesería!$B$36*(IF(J$43=0,SUMPRODUCT((Quesería!$C$62:$C$77=0)*(Quesería!$H$62:$H$77&gt;0)*(Quesería!$J$62:$J$77&gt;0)*Quesería!$F$62:$F$77*(1+Quesería!$I$62:$I$77)),IF(J$43=1,SUMPRODUCT((Quesería!$C$62:$C$77=1)*(Quesería!$H$62:$H$77&gt;0)*(Quesería!$J$62:$J$77&gt;0)*Quesería!$F$62:$F$77*(1+Quesería!$I$62:$I$77))*$W$21,0))*$W$11+J954)</f>
        <v>0</v>
      </c>
      <c r="K955" s="35" t="n">
        <f aca="false">Quesería!$B$36*(IF(K$43=0,SUMPRODUCT((Quesería!$C$62:$C$77=0)*(Quesería!$H$62:$H$77&gt;0)*(Quesería!$J$62:$J$77&gt;0)*Quesería!$F$62:$F$77*(1+Quesería!$I$62:$I$77)),IF(K$43=1,SUMPRODUCT((Quesería!$C$62:$C$77=1)*(Quesería!$H$62:$H$77&gt;0)*(Quesería!$J$62:$J$77&gt;0)*Quesería!$F$62:$F$77*(1+Quesería!$I$62:$I$77))*$W$21,0))*$W$11+K954)</f>
        <v>0</v>
      </c>
      <c r="L955" s="35" t="n">
        <f aca="false">Quesería!$B$36*(IF(L$43=0,SUMPRODUCT((Quesería!$C$62:$C$77=0)*(Quesería!$H$62:$H$77&gt;0)*(Quesería!$J$62:$J$77&gt;0)*Quesería!$F$62:$F$77*(1+Quesería!$I$62:$I$77)),IF(L$43=1,SUMPRODUCT((Quesería!$C$62:$C$77=1)*(Quesería!$H$62:$H$77&gt;0)*(Quesería!$J$62:$J$77&gt;0)*Quesería!$F$62:$F$77*(1+Quesería!$I$62:$I$77))*$W$21,0))*$W$11+L954)</f>
        <v>0</v>
      </c>
    </row>
    <row r="956" customFormat="false" ht="15" hidden="false" customHeight="false" outlineLevel="0" collapsed="false">
      <c r="A956" s="6" t="s">
        <v>260</v>
      </c>
      <c r="B956" s="35" t="n">
        <f aca="false">IF(B$43=0,($W$22*Quesería!$J$109+(1-$W$22)*Quesería!$E$105)*Quesería!$B$12*Quesería!$B$13/12*$W$23,(($W$22*Quesería!$J$109+(1-$W$22)*Quesería!$E$105)+($W$22*Quesería!$J$92+(1-$W$22)*Quesería!$E$92)*(B951-1))*IF(B$43=1,Quesería!$B$12,1))*$W$10</f>
        <v>45.6373732102639</v>
      </c>
      <c r="C956" s="35" t="n">
        <f aca="false">IF(C$43=0,($W$22*Quesería!$J$109+(1-$W$22)*Quesería!$E$105)*Quesería!$B$12*Quesería!$B$13/12*$W$23,(($W$22*Quesería!$J$109+(1-$W$22)*Quesería!$E$105)+($W$22*Quesería!$J$92+(1-$W$22)*Quesería!$E$92)*(C951-1))*IF(C$43=1,Quesería!$B$12,1))*$W$10</f>
        <v>137.165278593056</v>
      </c>
      <c r="D956" s="35" t="n">
        <f aca="false">IF(D$43=0,($W$22*Quesería!$J$109+(1-$W$22)*Quesería!$E$105)*Quesería!$B$12*Quesería!$B$13/12*$W$23,(($W$22*Quesería!$J$109+(1-$W$22)*Quesería!$E$105)+($W$22*Quesería!$J$92+(1-$W$22)*Quesería!$E$92)*(D951-1))*IF(D$43=1,Quesería!$B$12,1))*$W$10</f>
        <v>182.947525850489</v>
      </c>
      <c r="E956" s="35" t="n">
        <f aca="false">IF(E$43=0,($W$22*Quesería!$J$109+(1-$W$22)*Quesería!$E$105)*Quesería!$B$12*Quesería!$B$13/12*$W$23,(($W$22*Quesería!$J$109+(1-$W$22)*Quesería!$E$105)+($W$22*Quesería!$J$92+(1-$W$22)*Quesería!$E$92)*(E951-1))*IF(E$43=1,Quesería!$B$12,1))*$W$10</f>
        <v>183.008316015537</v>
      </c>
      <c r="F956" s="35" t="n">
        <f aca="false">IF(F$43=0,($W$22*Quesería!$J$109+(1-$W$22)*Quesería!$E$105)*Quesería!$B$12*Quesería!$B$13/12*$W$23,(($W$22*Quesería!$J$109+(1-$W$22)*Quesería!$E$105)+($W$22*Quesería!$J$92+(1-$W$22)*Quesería!$E$92)*(F951-1))*IF(F$43=1,Quesería!$B$12,1))*$W$10</f>
        <v>183.069410131409</v>
      </c>
      <c r="G956" s="35" t="n">
        <f aca="false">IF(G$43=0,($W$22*Quesería!$J$109+(1-$W$22)*Quesería!$E$105)*Quesería!$B$12*Quesería!$B$13/12*$W$23,(($W$22*Quesería!$J$109+(1-$W$22)*Quesería!$E$105)+($W$22*Quesería!$J$92+(1-$W$22)*Quesería!$E$92)*(G951-1))*IF(G$43=1,Quesería!$B$12,1))*$W$10</f>
        <v>183.130809717861</v>
      </c>
      <c r="H956" s="35" t="n">
        <f aca="false">IF(H$43=0,($W$22*Quesería!$J$109+(1-$W$22)*Quesería!$E$105)*Quesería!$B$12*Quesería!$B$13/12*$W$23,(($W$22*Quesería!$J$109+(1-$W$22)*Quesería!$E$105)+($W$22*Quesería!$J$92+(1-$W$22)*Quesería!$E$92)*(H951-1))*IF(H$43=1,Quesería!$B$12,1))*$W$10</f>
        <v>183.192516302245</v>
      </c>
      <c r="I956" s="35" t="n">
        <f aca="false">IF(I$43=0,($W$22*Quesería!$J$109+(1-$W$22)*Quesería!$E$105)*Quesería!$B$12*Quesería!$B$13/12*$W$23,(($W$22*Quesería!$J$109+(1-$W$22)*Quesería!$E$105)+($W$22*Quesería!$J$92+(1-$W$22)*Quesería!$E$92)*(I951-1))*IF(I$43=1,Quesería!$B$12,1))*$W$10</f>
        <v>183.254531419551</v>
      </c>
      <c r="J956" s="35" t="n">
        <f aca="false">IF(J$43=0,($W$22*Quesería!$J$109+(1-$W$22)*Quesería!$E$105)*Quesería!$B$12*Quesería!$B$13/12*$W$23,(($W$22*Quesería!$J$109+(1-$W$22)*Quesería!$E$105)+($W$22*Quesería!$J$92+(1-$W$22)*Quesería!$E$92)*(J951-1))*IF(J$43=1,Quesería!$B$12,1))*$W$10</f>
        <v>183.316856612443</v>
      </c>
      <c r="K956" s="35" t="n">
        <f aca="false">IF(K$43=0,($W$22*Quesería!$J$109+(1-$W$22)*Quesería!$E$105)*Quesería!$B$12*Quesería!$B$13/12*$W$23,(($W$22*Quesería!$J$109+(1-$W$22)*Quesería!$E$105)+($W$22*Quesería!$J$92+(1-$W$22)*Quesería!$E$92)*(K951-1))*IF(K$43=1,Quesería!$B$12,1))*$W$10</f>
        <v>183.3794934313</v>
      </c>
      <c r="L956" s="35" t="n">
        <f aca="false">IF(L$43=0,($W$22*Quesería!$J$109+(1-$W$22)*Quesería!$E$105)*Quesería!$B$12*Quesería!$B$13/12*$W$23,(($W$22*Quesería!$J$109+(1-$W$22)*Quesería!$E$105)+($W$22*Quesería!$J$92+(1-$W$22)*Quesería!$E$92)*(L951-1))*IF(L$43=1,Quesería!$B$12,1))*$W$10</f>
        <v>183.442443434251</v>
      </c>
    </row>
    <row r="957" customFormat="false" ht="15" hidden="false" customHeight="false" outlineLevel="0" collapsed="false">
      <c r="A957" s="6" t="s">
        <v>261</v>
      </c>
      <c r="B957" s="35" t="n">
        <f aca="false">IF(B$43&lt;=1,0,((($W$22*Quesería!$J$110+(1-$W$22)*Quesería!$E$106)-($W$22*Quesería!$J$99+(1-$W$22)*Quesería!$E$99)+$W$6*($W$22*Quesería!$J$99+(1-$W$22)*Quesería!$E$99)-(1-$W$9)*($W$22*Quesería!$J$102+(1-$W$22)*Quesería!$E$102))+($W$6*($W$22*Quesería!$J$99+(1-$W$22)*Quesería!$E$99)+$W$9*($W$22*Quesería!$J$102+(1-$W$22)*Quesería!$E$102))*(B951-1))*IF(B$43=2,Quesería!$B$12,1)+IF(B$43=2,Quesería!$B$14*$W$9*($W$22*Quesería!$J$102+(1-$W$22)*Quesería!$E$102)*B951,0))*$W$10*$W$21</f>
        <v>0</v>
      </c>
      <c r="C957" s="35" t="n">
        <f aca="false">IF(C$43&lt;=1,0,((($W$22*Quesería!$J$110+(1-$W$22)*Quesería!$E$106)-($W$22*Quesería!$J$99+(1-$W$22)*Quesería!$E$99)+$W$6*($W$22*Quesería!$J$99+(1-$W$22)*Quesería!$E$99)-(1-$W$9)*($W$22*Quesería!$J$102+(1-$W$22)*Quesería!$E$102))+($W$6*($W$22*Quesería!$J$99+(1-$W$22)*Quesería!$E$99)+$W$9*($W$22*Quesería!$J$102+(1-$W$22)*Quesería!$E$102))*(C951-1))*IF(C$43=2,Quesería!$B$12,1)+IF(C$43=2,Quesería!$B$14*$W$9*($W$22*Quesería!$J$102+(1-$W$22)*Quesería!$E$102)*C951,0))*$W$10*$W$21</f>
        <v>0</v>
      </c>
      <c r="D957" s="35" t="n">
        <f aca="false">IF(D$43&lt;=1,0,((($W$22*Quesería!$J$110+(1-$W$22)*Quesería!$E$106)-($W$22*Quesería!$J$99+(1-$W$22)*Quesería!$E$99)+$W$6*($W$22*Quesería!$J$99+(1-$W$22)*Quesería!$E$99)-(1-$W$9)*($W$22*Quesería!$J$102+(1-$W$22)*Quesería!$E$102))+($W$6*($W$22*Quesería!$J$99+(1-$W$22)*Quesería!$E$99)+$W$9*($W$22*Quesería!$J$102+(1-$W$22)*Quesería!$E$102))*(D951-1))*IF(D$43=2,Quesería!$B$12,1)+IF(D$43=2,Quesería!$B$14*$W$9*($W$22*Quesería!$J$102+(1-$W$22)*Quesería!$E$102)*D951,0))*$W$10*$W$21</f>
        <v>197.837804186257</v>
      </c>
      <c r="E957" s="35" t="n">
        <f aca="false">IF(E$43&lt;=1,0,((($W$22*Quesería!$J$110+(1-$W$22)*Quesería!$E$106)-($W$22*Quesería!$J$99+(1-$W$22)*Quesería!$E$99)+$W$6*($W$22*Quesería!$J$99+(1-$W$22)*Quesería!$E$99)-(1-$W$9)*($W$22*Quesería!$J$102+(1-$W$22)*Quesería!$E$102))+($W$6*($W$22*Quesería!$J$99+(1-$W$22)*Quesería!$E$99)+$W$9*($W$22*Quesería!$J$102+(1-$W$22)*Quesería!$E$102))*(E951-1))*IF(E$43=2,Quesería!$B$12,1)+IF(E$43=2,Quesería!$B$14*$W$9*($W$22*Quesería!$J$102+(1-$W$22)*Quesería!$E$102)*E951,0))*$W$10*$W$21</f>
        <v>234.441939047038</v>
      </c>
      <c r="F957" s="35" t="n">
        <f aca="false">IF(F$43&lt;=1,0,((($W$22*Quesería!$J$110+(1-$W$22)*Quesería!$E$106)-($W$22*Quesería!$J$99+(1-$W$22)*Quesería!$E$99)+$W$6*($W$22*Quesería!$J$99+(1-$W$22)*Quesería!$E$99)-(1-$W$9)*($W$22*Quesería!$J$102+(1-$W$22)*Quesería!$E$102))+($W$6*($W$22*Quesería!$J$99+(1-$W$22)*Quesería!$E$99)+$W$9*($W$22*Quesería!$J$102+(1-$W$22)*Quesería!$E$102))*(F951-1))*IF(F$43=2,Quesería!$B$12,1)+IF(F$43=2,Quesería!$B$14*$W$9*($W$22*Quesería!$J$102+(1-$W$22)*Quesería!$E$102)*F951,0))*$W$10*$W$21</f>
        <v>234.877078770292</v>
      </c>
      <c r="G957" s="35" t="n">
        <f aca="false">IF(G$43&lt;=1,0,((($W$22*Quesería!$J$110+(1-$W$22)*Quesería!$E$106)-($W$22*Quesería!$J$99+(1-$W$22)*Quesería!$E$99)+$W$6*($W$22*Quesería!$J$99+(1-$W$22)*Quesería!$E$99)-(1-$W$9)*($W$22*Quesería!$J$102+(1-$W$22)*Quesería!$E$102))+($W$6*($W$22*Quesería!$J$99+(1-$W$22)*Quesería!$E$99)+$W$9*($W$22*Quesería!$J$102+(1-$W$22)*Quesería!$E$102))*(G951-1))*IF(G$43=2,Quesería!$B$12,1)+IF(G$43=2,Quesería!$B$14*$W$9*($W$22*Quesería!$J$102+(1-$W$22)*Quesería!$E$102)*G951,0))*$W$10*$W$21</f>
        <v>235.314394192163</v>
      </c>
      <c r="H957" s="35" t="n">
        <f aca="false">IF(H$43&lt;=1,0,((($W$22*Quesería!$J$110+(1-$W$22)*Quesería!$E$106)-($W$22*Quesería!$J$99+(1-$W$22)*Quesería!$E$99)+$W$6*($W$22*Quesería!$J$99+(1-$W$22)*Quesería!$E$99)-(1-$W$9)*($W$22*Quesería!$J$102+(1-$W$22)*Quesería!$E$102))+($W$6*($W$22*Quesería!$J$99+(1-$W$22)*Quesería!$E$99)+$W$9*($W$22*Quesería!$J$102+(1-$W$22)*Quesería!$E$102))*(H951-1))*IF(H$43=2,Quesería!$B$12,1)+IF(H$43=2,Quesería!$B$14*$W$9*($W$22*Quesería!$J$102+(1-$W$22)*Quesería!$E$102)*H951,0))*$W$10*$W$21</f>
        <v>235.753896191143</v>
      </c>
      <c r="I957" s="35" t="n">
        <f aca="false">IF(I$43&lt;=1,0,((($W$22*Quesería!$J$110+(1-$W$22)*Quesería!$E$106)-($W$22*Quesería!$J$99+(1-$W$22)*Quesería!$E$99)+$W$6*($W$22*Quesería!$J$99+(1-$W$22)*Quesería!$E$99)-(1-$W$9)*($W$22*Quesería!$J$102+(1-$W$22)*Quesería!$E$102))+($W$6*($W$22*Quesería!$J$99+(1-$W$22)*Quesería!$E$99)+$W$9*($W$22*Quesería!$J$102+(1-$W$22)*Quesería!$E$102))*(I951-1))*IF(I$43=2,Quesería!$B$12,1)+IF(I$43=2,Quesería!$B$14*$W$9*($W$22*Quesería!$J$102+(1-$W$22)*Quesería!$E$102)*I951,0))*$W$10*$W$21</f>
        <v>236.195595700118</v>
      </c>
      <c r="J957" s="35" t="n">
        <f aca="false">IF(J$43&lt;=1,0,((($W$22*Quesería!$J$110+(1-$W$22)*Quesería!$E$106)-($W$22*Quesería!$J$99+(1-$W$22)*Quesería!$E$99)+$W$6*($W$22*Quesería!$J$99+(1-$W$22)*Quesería!$E$99)-(1-$W$9)*($W$22*Quesería!$J$102+(1-$W$22)*Quesería!$E$102))+($W$6*($W$22*Quesería!$J$99+(1-$W$22)*Quesería!$E$99)+$W$9*($W$22*Quesería!$J$102+(1-$W$22)*Quesería!$E$102))*(J951-1))*IF(J$43=2,Quesería!$B$12,1)+IF(J$43=2,Quesería!$B$14*$W$9*($W$22*Quesería!$J$102+(1-$W$22)*Quesería!$E$102)*J951,0))*$W$10*$W$21</f>
        <v>236.639503706638</v>
      </c>
      <c r="K957" s="35" t="n">
        <f aca="false">IF(K$43&lt;=1,0,((($W$22*Quesería!$J$110+(1-$W$22)*Quesería!$E$106)-($W$22*Quesería!$J$99+(1-$W$22)*Quesería!$E$99)+$W$6*($W$22*Quesería!$J$99+(1-$W$22)*Quesería!$E$99)-(1-$W$9)*($W$22*Quesería!$J$102+(1-$W$22)*Quesería!$E$102))+($W$6*($W$22*Quesería!$J$99+(1-$W$22)*Quesería!$E$99)+$W$9*($W$22*Quesería!$J$102+(1-$W$22)*Quesería!$E$102))*(K951-1))*IF(K$43=2,Quesería!$B$12,1)+IF(K$43=2,Quesería!$B$14*$W$9*($W$22*Quesería!$J$102+(1-$W$22)*Quesería!$E$102)*K951,0))*$W$10*$W$21</f>
        <v>237.08563125319</v>
      </c>
      <c r="L957" s="35" t="n">
        <f aca="false">IF(L$43&lt;=1,0,((($W$22*Quesería!$J$110+(1-$W$22)*Quesería!$E$106)-($W$22*Quesería!$J$99+(1-$W$22)*Quesería!$E$99)+$W$6*($W$22*Quesería!$J$99+(1-$W$22)*Quesería!$E$99)-(1-$W$9)*($W$22*Quesería!$J$102+(1-$W$22)*Quesería!$E$102))+($W$6*($W$22*Quesería!$J$99+(1-$W$22)*Quesería!$E$99)+$W$9*($W$22*Quesería!$J$102+(1-$W$22)*Quesería!$E$102))*(L951-1))*IF(L$43=2,Quesería!$B$12,1)+IF(L$43=2,Quesería!$B$14*$W$9*($W$22*Quesería!$J$102+(1-$W$22)*Quesería!$E$102)*L951,0))*$W$10*$W$21</f>
        <v>237.533989437476</v>
      </c>
    </row>
    <row r="958" customFormat="false" ht="15" hidden="false" customHeight="false" outlineLevel="0" collapsed="false">
      <c r="A958" s="5" t="s">
        <v>287</v>
      </c>
      <c r="B958" s="10" t="n">
        <f aca="false">B956+B957</f>
        <v>45.6373732102639</v>
      </c>
      <c r="C958" s="10" t="n">
        <f aca="false">C956+C957</f>
        <v>137.165278593056</v>
      </c>
      <c r="D958" s="10" t="n">
        <f aca="false">D956+D957</f>
        <v>380.785330036747</v>
      </c>
      <c r="E958" s="10" t="n">
        <f aca="false">E956+E957</f>
        <v>417.450255062574</v>
      </c>
      <c r="F958" s="10" t="n">
        <f aca="false">F956+F957</f>
        <v>417.946488901701</v>
      </c>
      <c r="G958" s="10" t="n">
        <f aca="false">G956+G957</f>
        <v>418.445203910024</v>
      </c>
      <c r="H958" s="10" t="n">
        <f aca="false">H956+H957</f>
        <v>418.946412493388</v>
      </c>
      <c r="I958" s="10" t="n">
        <f aca="false">I956+I957</f>
        <v>419.450127119669</v>
      </c>
      <c r="J958" s="10" t="n">
        <f aca="false">J956+J957</f>
        <v>419.956360319081</v>
      </c>
      <c r="K958" s="10" t="n">
        <f aca="false">K956+K957</f>
        <v>420.465124684491</v>
      </c>
      <c r="L958" s="10" t="n">
        <f aca="false">L956+L957</f>
        <v>420.976432871727</v>
      </c>
    </row>
    <row r="959" customFormat="false" ht="15" hidden="false" customHeight="false" outlineLevel="0" collapsed="false">
      <c r="A959" s="6" t="s">
        <v>288</v>
      </c>
      <c r="B959" s="35" t="n">
        <f aca="false">(IF(B$43&gt;=1,(Quesería!$B$21+Quesería!$B$54)*Quesería!$F$82*$W$11+Quesería!$B$22+'Beneficios y costos'!$B$118,0)+IF(B$43&gt;=2,((Quesería!$B$21+Quesería!$B$54)*Quesería!$F$83*$W$11+'Beneficios y costos'!$C$118)*$W$21,0))*$W$12</f>
        <v>0</v>
      </c>
      <c r="C959" s="35" t="n">
        <f aca="false">(IF(C$43&gt;=1,(Quesería!$B$21+Quesería!$B$54)*Quesería!$F$82*$W$11+Quesería!$B$22+'Beneficios y costos'!$B$118,0)+IF(C$43&gt;=2,((Quesería!$B$21+Quesería!$B$54)*Quesería!$F$83*$W$11+'Beneficios y costos'!$C$118)*$W$21,0))*$W$12</f>
        <v>36.8921528634167</v>
      </c>
      <c r="D959" s="35" t="n">
        <f aca="false">(IF(D$43&gt;=1,(Quesería!$B$21+Quesería!$B$54)*Quesería!$F$82*$W$11+Quesería!$B$22+'Beneficios y costos'!$B$118,0)+IF(D$43&gt;=2,((Quesería!$B$21+Quesería!$B$54)*Quesería!$F$83*$W$11+'Beneficios y costos'!$C$118)*$W$21,0))*$W$12</f>
        <v>88.8065043646377</v>
      </c>
      <c r="E959" s="35" t="n">
        <f aca="false">(IF(E$43&gt;=1,(Quesería!$B$21+Quesería!$B$54)*Quesería!$F$82*$W$11+Quesería!$B$22+'Beneficios y costos'!$B$118,0)+IF(E$43&gt;=2,((Quesería!$B$21+Quesería!$B$54)*Quesería!$F$83*$W$11+'Beneficios y costos'!$C$118)*$W$21,0))*$W$12</f>
        <v>88.8065043646377</v>
      </c>
      <c r="F959" s="35" t="n">
        <f aca="false">(IF(F$43&gt;=1,(Quesería!$B$21+Quesería!$B$54)*Quesería!$F$82*$W$11+Quesería!$B$22+'Beneficios y costos'!$B$118,0)+IF(F$43&gt;=2,((Quesería!$B$21+Quesería!$B$54)*Quesería!$F$83*$W$11+'Beneficios y costos'!$C$118)*$W$21,0))*$W$12</f>
        <v>88.8065043646377</v>
      </c>
      <c r="G959" s="35" t="n">
        <f aca="false">(IF(G$43&gt;=1,(Quesería!$B$21+Quesería!$B$54)*Quesería!$F$82*$W$11+Quesería!$B$22+'Beneficios y costos'!$B$118,0)+IF(G$43&gt;=2,((Quesería!$B$21+Quesería!$B$54)*Quesería!$F$83*$W$11+'Beneficios y costos'!$C$118)*$W$21,0))*$W$12</f>
        <v>88.8065043646377</v>
      </c>
      <c r="H959" s="35" t="n">
        <f aca="false">(IF(H$43&gt;=1,(Quesería!$B$21+Quesería!$B$54)*Quesería!$F$82*$W$11+Quesería!$B$22+'Beneficios y costos'!$B$118,0)+IF(H$43&gt;=2,((Quesería!$B$21+Quesería!$B$54)*Quesería!$F$83*$W$11+'Beneficios y costos'!$C$118)*$W$21,0))*$W$12</f>
        <v>88.8065043646377</v>
      </c>
      <c r="I959" s="35" t="n">
        <f aca="false">(IF(I$43&gt;=1,(Quesería!$B$21+Quesería!$B$54)*Quesería!$F$82*$W$11+Quesería!$B$22+'Beneficios y costos'!$B$118,0)+IF(I$43&gt;=2,((Quesería!$B$21+Quesería!$B$54)*Quesería!$F$83*$W$11+'Beneficios y costos'!$C$118)*$W$21,0))*$W$12</f>
        <v>88.8065043646377</v>
      </c>
      <c r="J959" s="35" t="n">
        <f aca="false">(IF(J$43&gt;=1,(Quesería!$B$21+Quesería!$B$54)*Quesería!$F$82*$W$11+Quesería!$B$22+'Beneficios y costos'!$B$118,0)+IF(J$43&gt;=2,((Quesería!$B$21+Quesería!$B$54)*Quesería!$F$83*$W$11+'Beneficios y costos'!$C$118)*$W$21,0))*$W$12</f>
        <v>88.8065043646377</v>
      </c>
      <c r="K959" s="35" t="n">
        <f aca="false">(IF(K$43&gt;=1,(Quesería!$B$21+Quesería!$B$54)*Quesería!$F$82*$W$11+Quesería!$B$22+'Beneficios y costos'!$B$118,0)+IF(K$43&gt;=2,((Quesería!$B$21+Quesería!$B$54)*Quesería!$F$83*$W$11+'Beneficios y costos'!$C$118)*$W$21,0))*$W$12</f>
        <v>88.8065043646377</v>
      </c>
      <c r="L959" s="35" t="n">
        <f aca="false">(IF(L$43&gt;=1,(Quesería!$B$21+Quesería!$B$54)*Quesería!$F$82*$W$11+Quesería!$B$22+'Beneficios y costos'!$B$118,0)+IF(L$43&gt;=2,((Quesería!$B$21+Quesería!$B$54)*Quesería!$F$83*$W$11+'Beneficios y costos'!$C$118)*$W$21,0))*$W$12</f>
        <v>88.8065043646377</v>
      </c>
    </row>
    <row r="960" customFormat="false" ht="15" hidden="false" customHeight="false" outlineLevel="0" collapsed="false">
      <c r="A960" s="6" t="s">
        <v>289</v>
      </c>
      <c r="B960" s="35" t="n">
        <f aca="false">IF(B$43=1,2*Quesería!$B$33*Quesería!$B$34/12*B951,0)*$W$21</f>
        <v>0</v>
      </c>
      <c r="C960" s="35" t="n">
        <f aca="false">IF(C$43=1,2*Quesería!$B$33*Quesería!$B$34/12*C951,0)*$W$21</f>
        <v>18.5166509433962</v>
      </c>
      <c r="D960" s="35" t="n">
        <f aca="false">IF(D$43=1,2*Quesería!$B$33*Quesería!$B$34/12*D951,0)*$W$21</f>
        <v>0</v>
      </c>
      <c r="E960" s="35" t="n">
        <f aca="false">IF(E$43=1,2*Quesería!$B$33*Quesería!$B$34/12*E951,0)*$W$21</f>
        <v>0</v>
      </c>
      <c r="F960" s="35" t="n">
        <f aca="false">IF(F$43=1,2*Quesería!$B$33*Quesería!$B$34/12*F951,0)*$W$21</f>
        <v>0</v>
      </c>
      <c r="G960" s="35" t="n">
        <f aca="false">IF(G$43=1,2*Quesería!$B$33*Quesería!$B$34/12*G951,0)*$W$21</f>
        <v>0</v>
      </c>
      <c r="H960" s="35" t="n">
        <f aca="false">IF(H$43=1,2*Quesería!$B$33*Quesería!$B$34/12*H951,0)*$W$21</f>
        <v>0</v>
      </c>
      <c r="I960" s="35" t="n">
        <f aca="false">IF(I$43=1,2*Quesería!$B$33*Quesería!$B$34/12*I951,0)*$W$21</f>
        <v>0</v>
      </c>
      <c r="J960" s="35" t="n">
        <f aca="false">IF(J$43=1,2*Quesería!$B$33*Quesería!$B$34/12*J951,0)*$W$21</f>
        <v>0</v>
      </c>
      <c r="K960" s="35" t="n">
        <f aca="false">IF(K$43=1,2*Quesería!$B$33*Quesería!$B$34/12*K951,0)*$W$21</f>
        <v>0</v>
      </c>
      <c r="L960" s="35" t="n">
        <f aca="false">IF(L$43=1,2*Quesería!$B$33*Quesería!$B$34/12*L951,0)*$W$21</f>
        <v>0</v>
      </c>
    </row>
    <row r="961" customFormat="false" ht="15" hidden="false" customHeight="false" outlineLevel="0" collapsed="false">
      <c r="A961" s="6" t="s">
        <v>290</v>
      </c>
      <c r="B961" s="35" t="n">
        <f aca="false">Quesería!$B$45*(B953+B954+B955+B959+B960)</f>
        <v>2.88636599924197</v>
      </c>
      <c r="C961" s="35" t="n">
        <f aca="false">Quesería!$B$45*(C953+C954+C955+C959+C960)</f>
        <v>3.29312083686149</v>
      </c>
      <c r="D961" s="35" t="n">
        <f aca="false">Quesería!$B$45*(D953+D954+D955+D959+D960)</f>
        <v>0.355226017458551</v>
      </c>
      <c r="E961" s="35" t="n">
        <f aca="false">Quesería!$B$45*(E953+E954+E955+E959+E960)</f>
        <v>0.355226017458551</v>
      </c>
      <c r="F961" s="35" t="n">
        <f aca="false">Quesería!$B$45*(F953+F954+F955+F959+F960)</f>
        <v>0.355226017458551</v>
      </c>
      <c r="G961" s="35" t="n">
        <f aca="false">Quesería!$B$45*(G953+G954+G955+G959+G960)</f>
        <v>0.482159350791884</v>
      </c>
      <c r="H961" s="35" t="n">
        <f aca="false">Quesería!$B$45*(H953+H954+H955+H959+H960)</f>
        <v>0.523275690008284</v>
      </c>
      <c r="I961" s="35" t="n">
        <f aca="false">Quesería!$B$45*(I953+I954+I955+I959+I960)</f>
        <v>0.355226017458551</v>
      </c>
      <c r="J961" s="35" t="n">
        <f aca="false">Quesería!$B$45*(J953+J954+J955+J959+J960)</f>
        <v>0.355226017458551</v>
      </c>
      <c r="K961" s="35" t="n">
        <f aca="false">Quesería!$B$45*(K953+K954+K955+K959+K960)</f>
        <v>0.355226017458551</v>
      </c>
      <c r="L961" s="35" t="n">
        <f aca="false">Quesería!$B$45*(L953+L954+L955+L959+L960)</f>
        <v>0.355226017458551</v>
      </c>
    </row>
    <row r="962" customFormat="false" ht="15" hidden="false" customHeight="false" outlineLevel="0" collapsed="false">
      <c r="A962" s="6" t="s">
        <v>291</v>
      </c>
      <c r="B962" s="35" t="n">
        <f aca="false">(IF($W$19=1,(SUMPRODUCT((Quesería!$C$62:$C$77=0)*(Quesería!$J$62:$J$77&gt;0)*(B$43&gt;=1)*(B$43&lt;=Quesería!$J$62:$J$77)*(Quesería!$H$62:$H$77&gt;0)*Quesería!$F$62:$F$77*(1+Quesería!$I$62:$I$77)/(Quesería!$J$62:$J$77+(Quesería!$J$62:$J$77=0)))+SUMPRODUCT((Quesería!$C$62:$C$77=0)*(Quesería!$J$62:$J$77=0)*(B$43=0)*(Quesería!$H$62:$H$77&gt;0)*Quesería!$F$62:$F$77*(1+Quesería!$I$62:$I$77)))*$B$950+(SUMPRODUCT((Quesería!$C$62:$C$77=1)*(Quesería!$J$62:$J$77&gt;0)*(B$43&gt;=2)*(B$43&lt;=Quesería!$J$62:$J$77+1)*(Quesería!$H$62:$H$77&gt;0)*Quesería!$F$62:$F$77*(1+Quesería!$I$62:$I$77)/(Quesería!$J$62:$J$77+(Quesería!$J$62:$J$77=0)))+SUMPRODUCT((Quesería!$C$62:$C$77=1)*(Quesería!$J$62:$J$77=0)*(B$43=1)*(Quesería!$H$62:$H$77&gt;0)*Quesería!$F$62:$F$77*(1+Quesería!$I$62:$I$77)))*$C$950*$W$21,IF(AND(B$43&gt;=1,B$43&lt;=Quesería!$B$11),Quesería!$F$80/Quesería!$B$11,0)*$B$950+IF(AND(B$43&gt;=2,B$43&lt;=Quesería!$B$11+1),Quesería!$F$81/Quesería!$B$11,0)*$C$950*$W$21)*$W$11+IF(AND(B$43&gt;=6,B$43&lt;=10),$G954*$G950/5,0)+IF(AND(B$43&gt;=7,B$43&lt;=11),$H954*$H950/5,0))*B952</f>
        <v>0</v>
      </c>
      <c r="C962" s="35" t="n">
        <f aca="false">(IF($W$19=1,(SUMPRODUCT((Quesería!$C$62:$C$77=0)*(Quesería!$J$62:$J$77&gt;0)*(C$43&gt;=1)*(C$43&lt;=Quesería!$J$62:$J$77)*(Quesería!$H$62:$H$77&gt;0)*Quesería!$F$62:$F$77*(1+Quesería!$I$62:$I$77)/(Quesería!$J$62:$J$77+(Quesería!$J$62:$J$77=0)))+SUMPRODUCT((Quesería!$C$62:$C$77=0)*(Quesería!$J$62:$J$77=0)*(C$43=0)*(Quesería!$H$62:$H$77&gt;0)*Quesería!$F$62:$F$77*(1+Quesería!$I$62:$I$77)))*$B$950+(SUMPRODUCT((Quesería!$C$62:$C$77=1)*(Quesería!$J$62:$J$77&gt;0)*(C$43&gt;=2)*(C$43&lt;=Quesería!$J$62:$J$77+1)*(Quesería!$H$62:$H$77&gt;0)*Quesería!$F$62:$F$77*(1+Quesería!$I$62:$I$77)/(Quesería!$J$62:$J$77+(Quesería!$J$62:$J$77=0)))+SUMPRODUCT((Quesería!$C$62:$C$77=1)*(Quesería!$J$62:$J$77=0)*(C$43=1)*(Quesería!$H$62:$H$77&gt;0)*Quesería!$F$62:$F$77*(1+Quesería!$I$62:$I$77)))*$C$950*$W$21,IF(AND(C$43&gt;=1,C$43&lt;=Quesería!$B$11),Quesería!$F$80/Quesería!$B$11,0)*$B$950+IF(AND(C$43&gt;=2,C$43&lt;=Quesería!$B$11+1),Quesería!$F$81/Quesería!$B$11,0)*$C$950*$W$21)*$W$11+IF(AND(C$43&gt;=6,C$43&lt;=10),$G954*$G950/5,0)+IF(AND(C$43&gt;=7,C$43&lt;=11),$H954*$H950/5,0))*C952</f>
        <v>59.2612975545143</v>
      </c>
      <c r="D962" s="35" t="n">
        <f aca="false">(IF($W$19=1,(SUMPRODUCT((Quesería!$C$62:$C$77=0)*(Quesería!$J$62:$J$77&gt;0)*(D$43&gt;=1)*(D$43&lt;=Quesería!$J$62:$J$77)*(Quesería!$H$62:$H$77&gt;0)*Quesería!$F$62:$F$77*(1+Quesería!$I$62:$I$77)/(Quesería!$J$62:$J$77+(Quesería!$J$62:$J$77=0)))+SUMPRODUCT((Quesería!$C$62:$C$77=0)*(Quesería!$J$62:$J$77=0)*(D$43=0)*(Quesería!$H$62:$H$77&gt;0)*Quesería!$F$62:$F$77*(1+Quesería!$I$62:$I$77)))*$B$950+(SUMPRODUCT((Quesería!$C$62:$C$77=1)*(Quesería!$J$62:$J$77&gt;0)*(D$43&gt;=2)*(D$43&lt;=Quesería!$J$62:$J$77+1)*(Quesería!$H$62:$H$77&gt;0)*Quesería!$F$62:$F$77*(1+Quesería!$I$62:$I$77)/(Quesería!$J$62:$J$77+(Quesería!$J$62:$J$77=0)))+SUMPRODUCT((Quesería!$C$62:$C$77=1)*(Quesería!$J$62:$J$77=0)*(D$43=1)*(Quesería!$H$62:$H$77&gt;0)*Quesería!$F$62:$F$77*(1+Quesería!$I$62:$I$77)))*$C$950*$W$21,IF(AND(D$43&gt;=1,D$43&lt;=Quesería!$B$11),Quesería!$F$80/Quesería!$B$11,0)*$B$950+IF(AND(D$43&gt;=2,D$43&lt;=Quesería!$B$11+1),Quesería!$F$81/Quesería!$B$11,0)*$C$950*$W$21)*$W$11+IF(AND(D$43&gt;=6,D$43&lt;=10),$G954*$G950/5,0)+IF(AND(D$43&gt;=7,D$43&lt;=11),$H954*$H950/5,0))*D952</f>
        <v>118.457709485528</v>
      </c>
      <c r="E962" s="35" t="n">
        <f aca="false">(IF($W$19=1,(SUMPRODUCT((Quesería!$C$62:$C$77=0)*(Quesería!$J$62:$J$77&gt;0)*(E$43&gt;=1)*(E$43&lt;=Quesería!$J$62:$J$77)*(Quesería!$H$62:$H$77&gt;0)*Quesería!$F$62:$F$77*(1+Quesería!$I$62:$I$77)/(Quesería!$J$62:$J$77+(Quesería!$J$62:$J$77=0)))+SUMPRODUCT((Quesería!$C$62:$C$77=0)*(Quesería!$J$62:$J$77=0)*(E$43=0)*(Quesería!$H$62:$H$77&gt;0)*Quesería!$F$62:$F$77*(1+Quesería!$I$62:$I$77)))*$B$950+(SUMPRODUCT((Quesería!$C$62:$C$77=1)*(Quesería!$J$62:$J$77&gt;0)*(E$43&gt;=2)*(E$43&lt;=Quesería!$J$62:$J$77+1)*(Quesería!$H$62:$H$77&gt;0)*Quesería!$F$62:$F$77*(1+Quesería!$I$62:$I$77)/(Quesería!$J$62:$J$77+(Quesería!$J$62:$J$77=0)))+SUMPRODUCT((Quesería!$C$62:$C$77=1)*(Quesería!$J$62:$J$77=0)*(E$43=1)*(Quesería!$H$62:$H$77&gt;0)*Quesería!$F$62:$F$77*(1+Quesería!$I$62:$I$77)))*$C$950*$W$21,IF(AND(E$43&gt;=1,E$43&lt;=Quesería!$B$11),Quesería!$F$80/Quesería!$B$11,0)*$B$950+IF(AND(E$43&gt;=2,E$43&lt;=Quesería!$B$11+1),Quesería!$F$81/Quesería!$B$11,0)*$C$950*$W$21)*$W$11+IF(AND(E$43&gt;=6,E$43&lt;=10),$G954*$G950/5,0)+IF(AND(E$43&gt;=7,E$43&lt;=11),$H954*$H950/5,0))*E952</f>
        <v>113.901643736084</v>
      </c>
      <c r="F962" s="35" t="n">
        <f aca="false">(IF($W$19=1,(SUMPRODUCT((Quesería!$C$62:$C$77=0)*(Quesería!$J$62:$J$77&gt;0)*(F$43&gt;=1)*(F$43&lt;=Quesería!$J$62:$J$77)*(Quesería!$H$62:$H$77&gt;0)*Quesería!$F$62:$F$77*(1+Quesería!$I$62:$I$77)/(Quesería!$J$62:$J$77+(Quesería!$J$62:$J$77=0)))+SUMPRODUCT((Quesería!$C$62:$C$77=0)*(Quesería!$J$62:$J$77=0)*(F$43=0)*(Quesería!$H$62:$H$77&gt;0)*Quesería!$F$62:$F$77*(1+Quesería!$I$62:$I$77)))*$B$950+(SUMPRODUCT((Quesería!$C$62:$C$77=1)*(Quesería!$J$62:$J$77&gt;0)*(F$43&gt;=2)*(F$43&lt;=Quesería!$J$62:$J$77+1)*(Quesería!$H$62:$H$77&gt;0)*Quesería!$F$62:$F$77*(1+Quesería!$I$62:$I$77)/(Quesería!$J$62:$J$77+(Quesería!$J$62:$J$77=0)))+SUMPRODUCT((Quesería!$C$62:$C$77=1)*(Quesería!$J$62:$J$77=0)*(F$43=1)*(Quesería!$H$62:$H$77&gt;0)*Quesería!$F$62:$F$77*(1+Quesería!$I$62:$I$77)))*$C$950*$W$21,IF(AND(F$43&gt;=1,F$43&lt;=Quesería!$B$11),Quesería!$F$80/Quesería!$B$11,0)*$B$950+IF(AND(F$43&gt;=2,F$43&lt;=Quesería!$B$11+1),Quesería!$F$81/Quesería!$B$11,0)*$C$950*$W$21)*$W$11+IF(AND(F$43&gt;=6,F$43&lt;=10),$G954*$G950/5,0)+IF(AND(F$43&gt;=7,F$43&lt;=11),$H954*$H950/5,0))*F952</f>
        <v>109.520811284697</v>
      </c>
      <c r="G962" s="35" t="n">
        <f aca="false">(IF($W$19=1,(SUMPRODUCT((Quesería!$C$62:$C$77=0)*(Quesería!$J$62:$J$77&gt;0)*(G$43&gt;=1)*(G$43&lt;=Quesería!$J$62:$J$77)*(Quesería!$H$62:$H$77&gt;0)*Quesería!$F$62:$F$77*(1+Quesería!$I$62:$I$77)/(Quesería!$J$62:$J$77+(Quesería!$J$62:$J$77=0)))+SUMPRODUCT((Quesería!$C$62:$C$77=0)*(Quesería!$J$62:$J$77=0)*(G$43=0)*(Quesería!$H$62:$H$77&gt;0)*Quesería!$F$62:$F$77*(1+Quesería!$I$62:$I$77)))*$B$950+(SUMPRODUCT((Quesería!$C$62:$C$77=1)*(Quesería!$J$62:$J$77&gt;0)*(G$43&gt;=2)*(G$43&lt;=Quesería!$J$62:$J$77+1)*(Quesería!$H$62:$H$77&gt;0)*Quesería!$F$62:$F$77*(1+Quesería!$I$62:$I$77)/(Quesería!$J$62:$J$77+(Quesería!$J$62:$J$77=0)))+SUMPRODUCT((Quesería!$C$62:$C$77=1)*(Quesería!$J$62:$J$77=0)*(G$43=1)*(Quesería!$H$62:$H$77&gt;0)*Quesería!$F$62:$F$77*(1+Quesería!$I$62:$I$77)))*$C$950*$W$21,IF(AND(G$43&gt;=1,G$43&lt;=Quesería!$B$11),Quesería!$F$80/Quesería!$B$11,0)*$B$950+IF(AND(G$43&gt;=2,G$43&lt;=Quesería!$B$11+1),Quesería!$F$81/Quesería!$B$11,0)*$C$950*$W$21)*$W$11+IF(AND(G$43&gt;=6,G$43&lt;=10),$G954*$G950/5,0)+IF(AND(G$43&gt;=7,G$43&lt;=11),$H954*$H950/5,0))*G952</f>
        <v>105.308472389131</v>
      </c>
      <c r="H962" s="35" t="n">
        <f aca="false">(IF($W$19=1,(SUMPRODUCT((Quesería!$C$62:$C$77=0)*(Quesería!$J$62:$J$77&gt;0)*(H$43&gt;=1)*(H$43&lt;=Quesería!$J$62:$J$77)*(Quesería!$H$62:$H$77&gt;0)*Quesería!$F$62:$F$77*(1+Quesería!$I$62:$I$77)/(Quesería!$J$62:$J$77+(Quesería!$J$62:$J$77=0)))+SUMPRODUCT((Quesería!$C$62:$C$77=0)*(Quesería!$J$62:$J$77=0)*(H$43=0)*(Quesería!$H$62:$H$77&gt;0)*Quesería!$F$62:$F$77*(1+Quesería!$I$62:$I$77)))*$B$950+(SUMPRODUCT((Quesería!$C$62:$C$77=1)*(Quesería!$J$62:$J$77&gt;0)*(H$43&gt;=2)*(H$43&lt;=Quesería!$J$62:$J$77+1)*(Quesería!$H$62:$H$77&gt;0)*Quesería!$F$62:$F$77*(1+Quesería!$I$62:$I$77)/(Quesería!$J$62:$J$77+(Quesería!$J$62:$J$77=0)))+SUMPRODUCT((Quesería!$C$62:$C$77=1)*(Quesería!$J$62:$J$77=0)*(H$43=1)*(Quesería!$H$62:$H$77&gt;0)*Quesería!$F$62:$F$77*(1+Quesería!$I$62:$I$77)))*$C$950*$W$21,IF(AND(H$43&gt;=1,H$43&lt;=Quesería!$B$11),Quesería!$F$80/Quesería!$B$11,0)*$B$950+IF(AND(H$43&gt;=2,H$43&lt;=Quesería!$B$11+1),Quesería!$F$81/Quesería!$B$11,0)*$C$950*$W$21)*$W$11+IF(AND(H$43&gt;=6,H$43&lt;=10),$G954*$G950/5,0)+IF(AND(H$43&gt;=7,H$43&lt;=11),$H954*$H950/5,0))*H952</f>
        <v>106.386351656216</v>
      </c>
      <c r="I962" s="35" t="n">
        <f aca="false">(IF($W$19=1,(SUMPRODUCT((Quesería!$C$62:$C$77=0)*(Quesería!$J$62:$J$77&gt;0)*(I$43&gt;=1)*(I$43&lt;=Quesería!$J$62:$J$77)*(Quesería!$H$62:$H$77&gt;0)*Quesería!$F$62:$F$77*(1+Quesería!$I$62:$I$77)/(Quesería!$J$62:$J$77+(Quesería!$J$62:$J$77=0)))+SUMPRODUCT((Quesería!$C$62:$C$77=0)*(Quesería!$J$62:$J$77=0)*(I$43=0)*(Quesería!$H$62:$H$77&gt;0)*Quesería!$F$62:$F$77*(1+Quesería!$I$62:$I$77)))*$B$950+(SUMPRODUCT((Quesería!$C$62:$C$77=1)*(Quesería!$J$62:$J$77&gt;0)*(I$43&gt;=2)*(I$43&lt;=Quesería!$J$62:$J$77+1)*(Quesería!$H$62:$H$77&gt;0)*Quesería!$F$62:$F$77*(1+Quesería!$I$62:$I$77)/(Quesería!$J$62:$J$77+(Quesería!$J$62:$J$77=0)))+SUMPRODUCT((Quesería!$C$62:$C$77=1)*(Quesería!$J$62:$J$77=0)*(I$43=1)*(Quesería!$H$62:$H$77&gt;0)*Quesería!$F$62:$F$77*(1+Quesería!$I$62:$I$77)))*$C$950*$W$21,IF(AND(I$43&gt;=1,I$43&lt;=Quesería!$B$11),Quesería!$F$80/Quesería!$B$11,0)*$B$950+IF(AND(I$43&gt;=2,I$43&lt;=Quesería!$B$11+1),Quesería!$F$81/Quesería!$B$11,0)*$C$950*$W$21)*$W$11+IF(AND(I$43&gt;=6,I$43&lt;=10),$G954*$G950/5,0)+IF(AND(I$43&gt;=7,I$43&lt;=11),$H954*$H950/5,0))*I952</f>
        <v>109.08390602649</v>
      </c>
      <c r="J962" s="35" t="n">
        <f aca="false">(IF($W$19=1,(SUMPRODUCT((Quesería!$C$62:$C$77=0)*(Quesería!$J$62:$J$77&gt;0)*(J$43&gt;=1)*(J$43&lt;=Quesería!$J$62:$J$77)*(Quesería!$H$62:$H$77&gt;0)*Quesería!$F$62:$F$77*(1+Quesería!$I$62:$I$77)/(Quesería!$J$62:$J$77+(Quesería!$J$62:$J$77=0)))+SUMPRODUCT((Quesería!$C$62:$C$77=0)*(Quesería!$J$62:$J$77=0)*(J$43=0)*(Quesería!$H$62:$H$77&gt;0)*Quesería!$F$62:$F$77*(1+Quesería!$I$62:$I$77)))*$B$950+(SUMPRODUCT((Quesería!$C$62:$C$77=1)*(Quesería!$J$62:$J$77&gt;0)*(J$43&gt;=2)*(J$43&lt;=Quesería!$J$62:$J$77+1)*(Quesería!$H$62:$H$77&gt;0)*Quesería!$F$62:$F$77*(1+Quesería!$I$62:$I$77)/(Quesería!$J$62:$J$77+(Quesería!$J$62:$J$77=0)))+SUMPRODUCT((Quesería!$C$62:$C$77=1)*(Quesería!$J$62:$J$77=0)*(J$43=1)*(Quesería!$H$62:$H$77&gt;0)*Quesería!$F$62:$F$77*(1+Quesería!$I$62:$I$77)))*$C$950*$W$21,IF(AND(J$43&gt;=1,J$43&lt;=Quesería!$B$11),Quesería!$F$80/Quesería!$B$11,0)*$B$950+IF(AND(J$43&gt;=2,J$43&lt;=Quesería!$B$11+1),Quesería!$F$81/Quesería!$B$11,0)*$C$950*$W$21)*$W$11+IF(AND(J$43&gt;=6,J$43&lt;=10),$G954*$G950/5,0)+IF(AND(J$43&gt;=7,J$43&lt;=11),$H954*$H950/5,0))*J952</f>
        <v>104.888371179317</v>
      </c>
      <c r="K962" s="35" t="n">
        <f aca="false">(IF($W$19=1,(SUMPRODUCT((Quesería!$C$62:$C$77=0)*(Quesería!$J$62:$J$77&gt;0)*(K$43&gt;=1)*(K$43&lt;=Quesería!$J$62:$J$77)*(Quesería!$H$62:$H$77&gt;0)*Quesería!$F$62:$F$77*(1+Quesería!$I$62:$I$77)/(Quesería!$J$62:$J$77+(Quesería!$J$62:$J$77=0)))+SUMPRODUCT((Quesería!$C$62:$C$77=0)*(Quesería!$J$62:$J$77=0)*(K$43=0)*(Quesería!$H$62:$H$77&gt;0)*Quesería!$F$62:$F$77*(1+Quesería!$I$62:$I$77)))*$B$950+(SUMPRODUCT((Quesería!$C$62:$C$77=1)*(Quesería!$J$62:$J$77&gt;0)*(K$43&gt;=2)*(K$43&lt;=Quesería!$J$62:$J$77+1)*(Quesería!$H$62:$H$77&gt;0)*Quesería!$F$62:$F$77*(1+Quesería!$I$62:$I$77)/(Quesería!$J$62:$J$77+(Quesería!$J$62:$J$77=0)))+SUMPRODUCT((Quesería!$C$62:$C$77=1)*(Quesería!$J$62:$J$77=0)*(K$43=1)*(Quesería!$H$62:$H$77&gt;0)*Quesería!$F$62:$F$77*(1+Quesería!$I$62:$I$77)))*$C$950*$W$21,IF(AND(K$43&gt;=1,K$43&lt;=Quesería!$B$11),Quesería!$F$80/Quesería!$B$11,0)*$B$950+IF(AND(K$43&gt;=2,K$43&lt;=Quesería!$B$11+1),Quesería!$F$81/Quesería!$B$11,0)*$C$950*$W$21)*$W$11+IF(AND(K$43&gt;=6,K$43&lt;=10),$G954*$G950/5,0)+IF(AND(K$43&gt;=7,K$43&lt;=11),$H954*$H950/5,0))*K952</f>
        <v>100.854203057036</v>
      </c>
      <c r="L962" s="35" t="n">
        <f aca="false">(IF($W$19=1,(SUMPRODUCT((Quesería!$C$62:$C$77=0)*(Quesería!$J$62:$J$77&gt;0)*(L$43&gt;=1)*(L$43&lt;=Quesería!$J$62:$J$77)*(Quesería!$H$62:$H$77&gt;0)*Quesería!$F$62:$F$77*(1+Quesería!$I$62:$I$77)/(Quesería!$J$62:$J$77+(Quesería!$J$62:$J$77=0)))+SUMPRODUCT((Quesería!$C$62:$C$77=0)*(Quesería!$J$62:$J$77=0)*(L$43=0)*(Quesería!$H$62:$H$77&gt;0)*Quesería!$F$62:$F$77*(1+Quesería!$I$62:$I$77)))*$B$950+(SUMPRODUCT((Quesería!$C$62:$C$77=1)*(Quesería!$J$62:$J$77&gt;0)*(L$43&gt;=2)*(L$43&lt;=Quesería!$J$62:$J$77+1)*(Quesería!$H$62:$H$77&gt;0)*Quesería!$F$62:$F$77*(1+Quesería!$I$62:$I$77)/(Quesería!$J$62:$J$77+(Quesería!$J$62:$J$77=0)))+SUMPRODUCT((Quesería!$C$62:$C$77=1)*(Quesería!$J$62:$J$77=0)*(L$43=1)*(Quesería!$H$62:$H$77&gt;0)*Quesería!$F$62:$F$77*(1+Quesería!$I$62:$I$77)))*$C$950*$W$21,IF(AND(L$43&gt;=1,L$43&lt;=Quesería!$B$11),Quesería!$F$80/Quesería!$B$11,0)*$B$950+IF(AND(L$43&gt;=2,L$43&lt;=Quesería!$B$11+1),Quesería!$F$81/Quesería!$B$11,0)*$C$950*$W$21)*$W$11+IF(AND(L$43&gt;=6,L$43&lt;=10),$G954*$G950/5,0)+IF(AND(L$43&gt;=7,L$43&lt;=11),$H954*$H950/5,0))*L952</f>
        <v>96.9751952471496</v>
      </c>
    </row>
    <row r="963" customFormat="false" ht="15" hidden="false" customHeight="false" outlineLevel="0" collapsed="false">
      <c r="A963" s="9" t="s">
        <v>292</v>
      </c>
      <c r="B963" s="36" t="n">
        <f aca="false">IF(B$43=1,MIN($W$7*Quesería!$B$35*Quesería!$F$75*$W$11*$W$21,Quesería!$B$50*Quesería!$B$51),0)</f>
        <v>0</v>
      </c>
      <c r="C963" s="36" t="n">
        <f aca="false">IF(C$43=1,MIN($W$7*Quesería!$B$35*Quesería!$F$75*$W$11*$W$21,Quesería!$B$50*Quesería!$B$51),0)</f>
        <v>20</v>
      </c>
      <c r="D963" s="36" t="n">
        <f aca="false">IF(D$43=1,MIN($W$7*Quesería!$B$35*Quesería!$F$75*$W$11*$W$21,Quesería!$B$50*Quesería!$B$51),0)</f>
        <v>0</v>
      </c>
      <c r="E963" s="36" t="n">
        <f aca="false">IF(E$43=1,MIN($W$7*Quesería!$B$35*Quesería!$F$75*$W$11*$W$21,Quesería!$B$50*Quesería!$B$51),0)</f>
        <v>0</v>
      </c>
      <c r="F963" s="36" t="n">
        <f aca="false">IF(F$43=1,MIN($W$7*Quesería!$B$35*Quesería!$F$75*$W$11*$W$21,Quesería!$B$50*Quesería!$B$51),0)</f>
        <v>0</v>
      </c>
      <c r="G963" s="36" t="n">
        <f aca="false">IF(G$43=1,MIN($W$7*Quesería!$B$35*Quesería!$F$75*$W$11*$W$21,Quesería!$B$50*Quesería!$B$51),0)</f>
        <v>0</v>
      </c>
      <c r="H963" s="36" t="n">
        <f aca="false">IF(H$43=1,MIN($W$7*Quesería!$B$35*Quesería!$F$75*$W$11*$W$21,Quesería!$B$50*Quesería!$B$51),0)</f>
        <v>0</v>
      </c>
      <c r="I963" s="36" t="n">
        <f aca="false">IF(I$43=1,MIN($W$7*Quesería!$B$35*Quesería!$F$75*$W$11*$W$21,Quesería!$B$50*Quesería!$B$51),0)</f>
        <v>0</v>
      </c>
      <c r="J963" s="36" t="n">
        <f aca="false">IF(J$43=1,MIN($W$7*Quesería!$B$35*Quesería!$F$75*$W$11*$W$21,Quesería!$B$50*Quesería!$B$51),0)</f>
        <v>0</v>
      </c>
      <c r="K963" s="36" t="n">
        <f aca="false">IF(K$43=1,MIN($W$7*Quesería!$B$35*Quesería!$F$75*$W$11*$W$21,Quesería!$B$50*Quesería!$B$51),0)</f>
        <v>0</v>
      </c>
      <c r="L963" s="36" t="n">
        <f aca="false">IF(L$43=1,MIN($W$7*Quesería!$B$35*Quesería!$F$75*$W$11*$W$21,Quesería!$B$50*Quesería!$B$51),0)</f>
        <v>0</v>
      </c>
    </row>
    <row r="964" customFormat="false" ht="15" hidden="false" customHeight="false" outlineLevel="0" collapsed="false">
      <c r="A964" s="9" t="s">
        <v>293</v>
      </c>
      <c r="B964" s="36" t="n">
        <v>0</v>
      </c>
      <c r="C964" s="36" t="n">
        <f aca="false">$W$20*Quesería!$B$52*Quesería!$F$86*$W$11*$B$950/C950</f>
        <v>0</v>
      </c>
      <c r="D964" s="36" t="n">
        <v>0</v>
      </c>
      <c r="E964" s="36" t="n">
        <v>0</v>
      </c>
      <c r="F964" s="36" t="n">
        <v>0</v>
      </c>
      <c r="G964" s="36" t="n">
        <v>0</v>
      </c>
      <c r="H964" s="36" t="n">
        <v>0</v>
      </c>
      <c r="I964" s="36" t="n">
        <v>0</v>
      </c>
      <c r="J964" s="36" t="n">
        <v>0</v>
      </c>
      <c r="K964" s="36" t="n">
        <v>0</v>
      </c>
      <c r="L964" s="36" t="n">
        <v>0</v>
      </c>
    </row>
    <row r="965" customFormat="false" ht="15" hidden="false" customHeight="false" outlineLevel="0" collapsed="false">
      <c r="A965" s="9" t="s">
        <v>294</v>
      </c>
      <c r="B965" s="36" t="n">
        <f aca="false">0</f>
        <v>0</v>
      </c>
      <c r="C965" s="36" t="n">
        <f aca="false">B955*B950/C950</f>
        <v>94.6170242743742</v>
      </c>
      <c r="D965" s="36" t="n">
        <f aca="false">C955*C950/D950</f>
        <v>117.321834287022</v>
      </c>
      <c r="E965" s="36" t="n">
        <f aca="false">D955*D950/E950</f>
        <v>0</v>
      </c>
      <c r="F965" s="36" t="n">
        <f aca="false">E955*E950/F950</f>
        <v>0</v>
      </c>
      <c r="G965" s="36" t="n">
        <f aca="false">F955*F950/G950</f>
        <v>0</v>
      </c>
      <c r="H965" s="36" t="n">
        <f aca="false">G955*G950/H950</f>
        <v>4.87179487179487</v>
      </c>
      <c r="I965" s="36" t="n">
        <f aca="false">H955*H950/I950</f>
        <v>6.44987026996795</v>
      </c>
      <c r="J965" s="36" t="n">
        <f aca="false">I955*I950/J950</f>
        <v>0</v>
      </c>
      <c r="K965" s="36" t="n">
        <f aca="false">J955*J950/K950</f>
        <v>0</v>
      </c>
      <c r="L965" s="36" t="n">
        <f aca="false">K955*K950/L950</f>
        <v>0</v>
      </c>
    </row>
    <row r="966" customFormat="false" ht="15" hidden="false" customHeight="false" outlineLevel="0" collapsed="false">
      <c r="A966" s="6" t="s">
        <v>86</v>
      </c>
      <c r="B966" s="35" t="n">
        <f aca="false">$W$17*(B958-B959-B960-0.5*B961-B962)-B963-B964-B965</f>
        <v>15.467966573725</v>
      </c>
      <c r="C966" s="35" t="n">
        <f aca="false">$W$17*(C958-C959-C960-0.5*C961-C962)-C963-C964-C965</f>
        <v>-107.32000838972</v>
      </c>
      <c r="D966" s="35" t="n">
        <f aca="false">$W$17*(D958-D959-D960-0.5*D961-D962)-D963-D964-D965</f>
        <v>-56.651608174774</v>
      </c>
      <c r="E966" s="35" t="n">
        <f aca="false">$W$17*(E958-E959-E960-0.5*E961-E962)-E963-E964-E965</f>
        <v>75.097572883593</v>
      </c>
      <c r="F966" s="35" t="n">
        <f aca="false">$W$17*(F958-F959-F960-0.5*F961-F962)-F963-F964-F965</f>
        <v>76.8045460852732</v>
      </c>
      <c r="G966" s="35" t="n">
        <f aca="false">$W$17*(G958-G959-G960-0.5*G961-G962)-G963-G964-G965</f>
        <v>78.4312016183006</v>
      </c>
      <c r="H966" s="35" t="n">
        <f aca="false">$W$17*(H958-H959-H960-0.5*H961-H962)-H963-H964-H965</f>
        <v>73.3503766478406</v>
      </c>
      <c r="I966" s="35" t="n">
        <f aca="false">$W$17*(I958-I959-I960-0.5*I961-I962)-I963-I964-I965</f>
        <v>71.0338660319663</v>
      </c>
      <c r="J966" s="35" t="n">
        <f aca="false">$W$17*(J958-J959-J960-0.5*J961-J962)-J963-J964-J965</f>
        <v>79.129355118239</v>
      </c>
      <c r="K966" s="35" t="n">
        <f aca="false">$W$17*(K958-K959-K960-0.5*K961-K962)-K963-K964-K965</f>
        <v>80.7193814889308</v>
      </c>
      <c r="L966" s="35" t="n">
        <f aca="false">$W$17*(L958-L959-L960-0.5*L961-L962)-L963-L964-L965</f>
        <v>82.2559920879236</v>
      </c>
    </row>
    <row r="967" customFormat="false" ht="15" hidden="false" customHeight="false" outlineLevel="0" collapsed="false">
      <c r="A967" s="9" t="s">
        <v>295</v>
      </c>
      <c r="B967" s="36" t="n">
        <f aca="false">(IF(B$43&gt;=1,Quesería!$G$107*IF(B$43=1,Quesería!$B$12,1),Quesería!$G$107*Quesería!$B$12*Quesería!$B$13/12*$W$23)+IF(B$43&gt;=2,Quesería!$G$108*$W$21*IF(B$43=2,Quesería!$B$12,1),0))*$W$10</f>
        <v>26.8516916045565</v>
      </c>
      <c r="C967" s="36" t="n">
        <f aca="false">(IF(C$43&gt;=1,Quesería!$G$107*IF(C$43=1,Quesería!$B$12,1),Quesería!$G$107*Quesería!$B$12*Quesería!$B$13/12*$W$23)+IF(C$43&gt;=2,Quesería!$G$108*$W$21*IF(C$43=2,Quesería!$B$12,1),0))*$W$10</f>
        <v>80.5550748136695</v>
      </c>
      <c r="D967" s="36" t="n">
        <f aca="false">(IF(D$43&gt;=1,Quesería!$G$107*IF(D$43=1,Quesería!$B$12,1),Quesería!$G$107*Quesería!$B$12*Quesería!$B$13/12*$W$23)+IF(D$43&gt;=2,Quesería!$G$108*$W$21*IF(D$43=2,Quesería!$B$12,1),0))*$W$10</f>
        <v>189.651223070959</v>
      </c>
      <c r="E967" s="36" t="n">
        <f aca="false">(IF(E$43&gt;=1,Quesería!$G$107*IF(E$43=1,Quesería!$B$12,1),Quesería!$G$107*Quesería!$B$12*Quesería!$B$13/12*$W$23)+IF(E$43&gt;=2,Quesería!$G$108*$W$21*IF(E$43=2,Quesería!$B$12,1),0))*$W$10</f>
        <v>217.066041955203</v>
      </c>
      <c r="F967" s="36" t="n">
        <f aca="false">(IF(F$43&gt;=1,Quesería!$G$107*IF(F$43=1,Quesería!$B$12,1),Quesería!$G$107*Quesería!$B$12*Quesería!$B$13/12*$W$23)+IF(F$43&gt;=2,Quesería!$G$108*$W$21*IF(F$43=2,Quesería!$B$12,1),0))*$W$10</f>
        <v>217.066041955203</v>
      </c>
      <c r="G967" s="36" t="n">
        <f aca="false">(IF(G$43&gt;=1,Quesería!$G$107*IF(G$43=1,Quesería!$B$12,1),Quesería!$G$107*Quesería!$B$12*Quesería!$B$13/12*$W$23)+IF(G$43&gt;=2,Quesería!$G$108*$W$21*IF(G$43=2,Quesería!$B$12,1),0))*$W$10</f>
        <v>217.066041955203</v>
      </c>
      <c r="H967" s="36" t="n">
        <f aca="false">(IF(H$43&gt;=1,Quesería!$G$107*IF(H$43=1,Quesería!$B$12,1),Quesería!$G$107*Quesería!$B$12*Quesería!$B$13/12*$W$23)+IF(H$43&gt;=2,Quesería!$G$108*$W$21*IF(H$43=2,Quesería!$B$12,1),0))*$W$10</f>
        <v>217.066041955203</v>
      </c>
      <c r="I967" s="36" t="n">
        <f aca="false">(IF(I$43&gt;=1,Quesería!$G$107*IF(I$43=1,Quesería!$B$12,1),Quesería!$G$107*Quesería!$B$12*Quesería!$B$13/12*$W$23)+IF(I$43&gt;=2,Quesería!$G$108*$W$21*IF(I$43=2,Quesería!$B$12,1),0))*$W$10</f>
        <v>217.066041955203</v>
      </c>
      <c r="J967" s="36" t="n">
        <f aca="false">(IF(J$43&gt;=1,Quesería!$G$107*IF(J$43=1,Quesería!$B$12,1),Quesería!$G$107*Quesería!$B$12*Quesería!$B$13/12*$W$23)+IF(J$43&gt;=2,Quesería!$G$108*$W$21*IF(J$43=2,Quesería!$B$12,1),0))*$W$10</f>
        <v>217.066041955203</v>
      </c>
      <c r="K967" s="36" t="n">
        <f aca="false">(IF(K$43&gt;=1,Quesería!$G$107*IF(K$43=1,Quesería!$B$12,1),Quesería!$G$107*Quesería!$B$12*Quesería!$B$13/12*$W$23)+IF(K$43&gt;=2,Quesería!$G$108*$W$21*IF(K$43=2,Quesería!$B$12,1),0))*$W$10</f>
        <v>217.066041955203</v>
      </c>
      <c r="L967" s="36" t="n">
        <f aca="false">(IF(L$43&gt;=1,Quesería!$G$107*IF(L$43=1,Quesería!$B$12,1),Quesería!$G$107*Quesería!$B$12*Quesería!$B$13/12*$W$23)+IF(L$43&gt;=2,Quesería!$G$108*$W$21*IF(L$43=2,Quesería!$B$12,1),0))*$W$10</f>
        <v>217.066041955203</v>
      </c>
    </row>
    <row r="968" customFormat="false" ht="15" hidden="false" customHeight="false" outlineLevel="0" collapsed="false">
      <c r="A968" s="6" t="s">
        <v>296</v>
      </c>
      <c r="B968" s="35" t="n">
        <f aca="false">(B967*(Quesería!$B$23+Quesería!$B$25*Quesería!$B$24)/365-B959*Quesería!$B$26/365)</f>
        <v>2.50861009237089</v>
      </c>
      <c r="C968" s="35" t="n">
        <f aca="false">(C967*(Quesería!$B$23+Quesería!$B$25*Quesería!$B$24)/365-C959*Quesería!$B$26/365)-(B967*(Quesería!$B$23+Quesería!$B$25*Quesería!$B$24)/365-B959*Quesería!$B$26/365)*B950/C950</f>
        <v>2.91304119724236</v>
      </c>
      <c r="D968" s="35" t="n">
        <f aca="false">(D967*(Quesería!$B$23+Quesería!$B$25*Quesería!$B$24)/365-D959*Quesería!$B$26/365)-(C967*(Quesería!$B$23+Quesería!$B$25*Quesería!$B$24)/365-C959*Quesería!$B$26/365)*C950/D950</f>
        <v>7.29151021833416</v>
      </c>
      <c r="E968" s="35" t="n">
        <f aca="false">(E967*(Quesería!$B$23+Quesería!$B$25*Quesería!$B$24)/365-E959*Quesería!$B$26/365)-(D967*(Quesería!$B$23+Quesería!$B$25*Quesería!$B$24)/365-D959*Quesería!$B$26/365)*D950/E950</f>
        <v>3.03681159467532</v>
      </c>
      <c r="F968" s="35" t="n">
        <f aca="false">(F967*(Quesería!$B$23+Quesería!$B$25*Quesería!$B$24)/365-F959*Quesería!$B$26/365)-(E967*(Quesería!$B$23+Quesería!$B$25*Quesería!$B$24)/365-E959*Quesería!$B$26/365)*E950/F950</f>
        <v>0.574099993113848</v>
      </c>
      <c r="G968" s="35" t="n">
        <f aca="false">(G967*(Quesería!$B$23+Quesería!$B$25*Quesería!$B$24)/365-G959*Quesería!$B$26/365)-(F967*(Quesería!$B$23+Quesería!$B$25*Quesería!$B$24)/365-F959*Quesería!$B$26/365)*F950/G950</f>
        <v>0.574099993113849</v>
      </c>
      <c r="H968" s="35" t="n">
        <f aca="false">(H967*(Quesería!$B$23+Quesería!$B$25*Quesería!$B$24)/365-H959*Quesería!$B$26/365)-(G967*(Quesería!$B$23+Quesería!$B$25*Quesería!$B$24)/365-G959*Quesería!$B$26/365)*G950/H950</f>
        <v>0.574099993113848</v>
      </c>
      <c r="I968" s="35" t="n">
        <f aca="false">(I967*(Quesería!$B$23+Quesería!$B$25*Quesería!$B$24)/365-I959*Quesería!$B$26/365)-(H967*(Quesería!$B$23+Quesería!$B$25*Quesería!$B$24)/365-H959*Quesería!$B$26/365)*H950/I950</f>
        <v>0.574099993113846</v>
      </c>
      <c r="J968" s="35" t="n">
        <f aca="false">(J967*(Quesería!$B$23+Quesería!$B$25*Quesería!$B$24)/365-J959*Quesería!$B$26/365)-(I967*(Quesería!$B$23+Quesería!$B$25*Quesería!$B$24)/365-I959*Quesería!$B$26/365)*I950/J950</f>
        <v>0.574099993113849</v>
      </c>
      <c r="K968" s="35" t="n">
        <f aca="false">(K967*(Quesería!$B$23+Quesería!$B$25*Quesería!$B$24)/365-K959*Quesería!$B$26/365)-(J967*(Quesería!$B$23+Quesería!$B$25*Quesería!$B$24)/365-J959*Quesería!$B$26/365)*J950/K950</f>
        <v>0.574099993113848</v>
      </c>
      <c r="L968" s="35" t="n">
        <f aca="false">-(K967*(Quesería!$B$23+Quesería!$B$25*Quesería!$B$24)/365-K959*Quesería!$B$26/365)*K950/L950</f>
        <v>-14.3524998278462</v>
      </c>
    </row>
    <row r="969" customFormat="false" ht="15" hidden="false" customHeight="false" outlineLevel="0" collapsed="false">
      <c r="A969" s="6" t="s">
        <v>297</v>
      </c>
      <c r="B969" s="35" t="n">
        <v>0</v>
      </c>
      <c r="C969" s="35" t="n">
        <v>0</v>
      </c>
      <c r="D969" s="35" t="n">
        <v>0</v>
      </c>
      <c r="E969" s="35" t="n">
        <v>0</v>
      </c>
      <c r="F969" s="35" t="n">
        <v>0</v>
      </c>
      <c r="G969" s="35" t="n">
        <v>0</v>
      </c>
      <c r="H969" s="35" t="n">
        <v>0</v>
      </c>
      <c r="I969" s="35" t="n">
        <v>0</v>
      </c>
      <c r="J969" s="35" t="n">
        <v>0</v>
      </c>
      <c r="K969" s="35" t="n">
        <v>0</v>
      </c>
      <c r="L969" s="35" t="n">
        <f aca="false">$W$8*Quesería!$B$39*(Quesería!$F$82+Quesería!$F$83*$W$21)*$W$11*(1-$W$17)</f>
        <v>56.0502928201667</v>
      </c>
    </row>
    <row r="970" customFormat="false" ht="15" hidden="false" customHeight="false" outlineLevel="0" collapsed="false">
      <c r="A970" s="5" t="s">
        <v>298</v>
      </c>
      <c r="B970" s="37" t="n">
        <f aca="false">B958-B959-B960-B961-B966-B953-B954-B955-B968+B969</f>
        <v>-696.817069265568</v>
      </c>
      <c r="C970" s="37" t="n">
        <f aca="false">C958-C959-C960-C961-C966-C953-C954-C955-C968+C969</f>
        <v>-585.001084266701</v>
      </c>
      <c r="D970" s="37" t="n">
        <f aca="false">D958-D959-D960-D961-D966-D953-D954-D955-D968+D969</f>
        <v>340.98369761109</v>
      </c>
      <c r="E970" s="37" t="n">
        <f aca="false">E958-E959-E960-E961-E966-E953-E954-E955-E968+E969</f>
        <v>250.15414020221</v>
      </c>
      <c r="F970" s="37" t="n">
        <f aca="false">F958-F959-F960-F961-F966-F953-F954-F955-F968+F969</f>
        <v>251.406112441218</v>
      </c>
      <c r="G970" s="37" t="n">
        <f aca="false">G958-G959-G960-G961-G966-G953-G954-G955-G968+G969</f>
        <v>218.417905249846</v>
      </c>
      <c r="H970" s="37" t="n">
        <f aca="false">H958-H959-H960-H961-H966-H953-H954-H955-H968+H969</f>
        <v>213.679737660354</v>
      </c>
      <c r="I970" s="37" t="n">
        <f aca="false">I958-I959-I960-I961-I966-I953-I954-I955-I968+I969</f>
        <v>258.680430712492</v>
      </c>
      <c r="J970" s="37" t="n">
        <f aca="false">J958-J959-J960-J961-J966-J953-J954-J955-J968+J969</f>
        <v>251.091174825632</v>
      </c>
      <c r="K970" s="37" t="n">
        <f aca="false">K958-K959-K960-K961-K966-K953-K954-K955-K968+K969</f>
        <v>250.00991282035</v>
      </c>
      <c r="L970" s="37" t="n">
        <f aca="false">L958-L959-L960-L961-L966-L953-L954-L955-L968+L969</f>
        <v>319.96150304972</v>
      </c>
    </row>
    <row r="971" customFormat="false" ht="15" hidden="false" customHeight="false" outlineLevel="0" collapsed="false">
      <c r="A971" s="9" t="s">
        <v>299</v>
      </c>
      <c r="B971" s="36" t="n">
        <f aca="false">B970*B950</f>
        <v>-738.626093421502</v>
      </c>
      <c r="C971" s="36" t="n">
        <f aca="false">C970*C950</f>
        <v>-651.106206788838</v>
      </c>
      <c r="D971" s="36" t="n">
        <f aca="false">D970*D950</f>
        <v>396.593023935995</v>
      </c>
      <c r="E971" s="36" t="n">
        <f aca="false">E970*E950</f>
        <v>302.588549283371</v>
      </c>
      <c r="F971" s="36" t="n">
        <f aca="false">F970*F950</f>
        <v>316.267063237051</v>
      </c>
      <c r="G971" s="36" t="n">
        <f aca="false">G970*G950</f>
        <v>285.758863745309</v>
      </c>
      <c r="H971" s="36" t="n">
        <f aca="false">H970*H950</f>
        <v>290.742254524171</v>
      </c>
      <c r="I971" s="36" t="n">
        <f aca="false">I970*I950</f>
        <v>366.051108767397</v>
      </c>
      <c r="J971" s="36" t="n">
        <f aca="false">J970*J950</f>
        <v>369.524245808672</v>
      </c>
      <c r="K971" s="36" t="n">
        <f aca="false">K970*K950</f>
        <v>382.650300336277</v>
      </c>
      <c r="L971" s="36" t="n">
        <f aca="false">L970*L950</f>
        <v>509.302604889268</v>
      </c>
    </row>
    <row r="972" customFormat="false" ht="15" hidden="false" customHeight="false" outlineLevel="0" collapsed="false">
      <c r="A972" s="6" t="s">
        <v>300</v>
      </c>
      <c r="B972" s="35" t="n">
        <f aca="false">B970</f>
        <v>-696.817069265568</v>
      </c>
      <c r="C972" s="35" t="n">
        <f aca="false">B972+C970</f>
        <v>-1281.81815353227</v>
      </c>
      <c r="D972" s="35" t="n">
        <f aca="false">C972+D970</f>
        <v>-940.834455921178</v>
      </c>
      <c r="E972" s="35" t="n">
        <f aca="false">D972+E970</f>
        <v>-690.680315718969</v>
      </c>
      <c r="F972" s="35" t="n">
        <f aca="false">E972+F970</f>
        <v>-439.274203277751</v>
      </c>
      <c r="G972" s="35" t="n">
        <f aca="false">F972+G970</f>
        <v>-220.856298027904</v>
      </c>
      <c r="H972" s="35" t="n">
        <f aca="false">G972+H970</f>
        <v>-7.17656036755039</v>
      </c>
      <c r="I972" s="35" t="n">
        <f aca="false">H972+I970</f>
        <v>251.503870344942</v>
      </c>
      <c r="J972" s="35" t="n">
        <f aca="false">I972+J970</f>
        <v>502.595045170574</v>
      </c>
      <c r="K972" s="35" t="n">
        <f aca="false">J972+K970</f>
        <v>752.604957990924</v>
      </c>
      <c r="L972" s="35" t="n">
        <f aca="false">K972+L970</f>
        <v>1072.56646104064</v>
      </c>
    </row>
    <row r="973" customFormat="false" ht="15" hidden="false" customHeight="false" outlineLevel="0" collapsed="false">
      <c r="A973" s="9" t="s">
        <v>301</v>
      </c>
      <c r="B973" s="38" t="n">
        <v>0</v>
      </c>
      <c r="C973" s="38" t="n">
        <f aca="false">IF(AND(B972&lt;0,C972&gt;=0),B$43+(-B972)/C970,0)</f>
        <v>0</v>
      </c>
      <c r="D973" s="38" t="n">
        <f aca="false">IF(AND(C972&lt;0,D972&gt;=0),C$43+(-C972)/D970,0)</f>
        <v>0</v>
      </c>
      <c r="E973" s="38" t="n">
        <f aca="false">IF(AND(D972&lt;0,E972&gt;=0),D$43+(-D972)/E970,0)</f>
        <v>0</v>
      </c>
      <c r="F973" s="38" t="n">
        <f aca="false">IF(AND(E972&lt;0,F972&gt;=0),E$43+(-E972)/F970,0)</f>
        <v>0</v>
      </c>
      <c r="G973" s="38" t="n">
        <f aca="false">IF(AND(F972&lt;0,G972&gt;=0),F$43+(-F972)/G970,0)</f>
        <v>0</v>
      </c>
      <c r="H973" s="38" t="n">
        <f aca="false">IF(AND(G972&lt;0,H972&gt;=0),G$43+(-G972)/H970,0)</f>
        <v>0</v>
      </c>
      <c r="I973" s="38" t="n">
        <f aca="false">IF(AND(H972&lt;0,I972&gt;=0),H$43+(-H972)/I970,0)</f>
        <v>6.02774295816573</v>
      </c>
      <c r="J973" s="38" t="n">
        <f aca="false">IF(AND(I972&lt;0,J972&gt;=0),I$43+(-I972)/J970,0)</f>
        <v>0</v>
      </c>
      <c r="K973" s="38" t="n">
        <f aca="false">IF(AND(J972&lt;0,K972&gt;=0),J$43+(-J972)/K970,0)</f>
        <v>0</v>
      </c>
      <c r="L973" s="38" t="n">
        <f aca="false">IF(AND(K972&lt;0,L972&gt;=0),K$43+(-K972)/L970,0)</f>
        <v>0</v>
      </c>
    </row>
    <row r="974" customFormat="false" ht="15" hidden="false" customHeight="false" outlineLevel="0" collapsed="false">
      <c r="A974" s="9" t="s">
        <v>302</v>
      </c>
      <c r="B974" s="34" t="n">
        <f aca="false">(B950/$B$950)/(1+$W$25)^B$43</f>
        <v>1</v>
      </c>
      <c r="C974" s="34" t="n">
        <f aca="false">(C950/$B$950)/(1+$W$25)^C$43</f>
        <v>0.905172413793104</v>
      </c>
      <c r="D974" s="34" t="n">
        <f aca="false">(D950/$B$950)/(1+$W$25)^D$43</f>
        <v>0.815435493460167</v>
      </c>
      <c r="E974" s="34" t="n">
        <f aca="false">(E950/$B$950)/(1+$W$25)^E$43</f>
        <v>0.731080097584977</v>
      </c>
      <c r="F974" s="34" t="n">
        <f aca="false">(F950/$B$950)/(1+$W$25)^F$43</f>
        <v>0.655451121972738</v>
      </c>
      <c r="G974" s="34" t="n">
        <f aca="false">(G950/$B$950)/(1+$W$25)^G$43</f>
        <v>0.5876458334928</v>
      </c>
      <c r="H974" s="34" t="n">
        <f aca="false">(H950/$B$950)/(1+$W$25)^H$43</f>
        <v>0.526854885200441</v>
      </c>
      <c r="I974" s="34" t="n">
        <f aca="false">(I950/$B$950)/(1+$W$25)^I$43</f>
        <v>0.472352655696947</v>
      </c>
      <c r="J974" s="34" t="n">
        <f aca="false">(J950/$B$950)/(1+$W$25)^J$43</f>
        <v>0.423488587866229</v>
      </c>
      <c r="K974" s="34" t="n">
        <f aca="false">(K950/$B$950)/(1+$W$25)^K$43</f>
        <v>0.379679423604205</v>
      </c>
      <c r="L974" s="34" t="n">
        <f aca="false">(L950/$B$950)/(1+$W$25)^L$43</f>
        <v>0.340402241852046</v>
      </c>
    </row>
    <row r="975" customFormat="false" ht="15" hidden="false" customHeight="false" outlineLevel="0" collapsed="false">
      <c r="A975" s="9" t="s">
        <v>303</v>
      </c>
      <c r="B975" s="36" t="n">
        <f aca="false">B970*B974</f>
        <v>-696.817069265568</v>
      </c>
      <c r="C975" s="36" t="n">
        <f aca="false">C970*C974</f>
        <v>-529.526843517272</v>
      </c>
      <c r="D975" s="36" t="n">
        <f aca="false">D970*D974</f>
        <v>278.050209723371</v>
      </c>
      <c r="E975" s="36" t="n">
        <f aca="false">E970*E974</f>
        <v>182.882713230317</v>
      </c>
      <c r="F975" s="36" t="n">
        <f aca="false">F970*F974</f>
        <v>164.784418470401</v>
      </c>
      <c r="G975" s="36" t="n">
        <f aca="false">G970*G974</f>
        <v>128.352371980297</v>
      </c>
      <c r="H975" s="36" t="n">
        <f aca="false">H970*H974</f>
        <v>112.578213654706</v>
      </c>
      <c r="I975" s="36" t="n">
        <f aca="false">I970*I974</f>
        <v>122.188388423876</v>
      </c>
      <c r="J975" s="36" t="n">
        <f aca="false">J970*J974</f>
        <v>106.334247052579</v>
      </c>
      <c r="K975" s="36" t="n">
        <f aca="false">K970*K974</f>
        <v>94.9236195949679</v>
      </c>
      <c r="L975" s="36" t="n">
        <f aca="false">L970*L974</f>
        <v>108.915612944475</v>
      </c>
    </row>
    <row r="976" customFormat="false" ht="15" hidden="false" customHeight="false" outlineLevel="0" collapsed="false">
      <c r="A976" s="9" t="s">
        <v>304</v>
      </c>
      <c r="B976" s="36" t="n">
        <f aca="false">B975</f>
        <v>-696.817069265568</v>
      </c>
      <c r="C976" s="36" t="n">
        <f aca="false">B976+C975</f>
        <v>-1226.34391278284</v>
      </c>
      <c r="D976" s="36" t="n">
        <f aca="false">C976+D975</f>
        <v>-948.293703059468</v>
      </c>
      <c r="E976" s="36" t="n">
        <f aca="false">D976+E975</f>
        <v>-765.410989829151</v>
      </c>
      <c r="F976" s="36" t="n">
        <f aca="false">E976+F975</f>
        <v>-600.62657135875</v>
      </c>
      <c r="G976" s="36" t="n">
        <f aca="false">F976+G975</f>
        <v>-472.274199378453</v>
      </c>
      <c r="H976" s="36" t="n">
        <f aca="false">G976+H975</f>
        <v>-359.695985723747</v>
      </c>
      <c r="I976" s="36" t="n">
        <f aca="false">H976+I975</f>
        <v>-237.507597299871</v>
      </c>
      <c r="J976" s="36" t="n">
        <f aca="false">I976+J975</f>
        <v>-131.173350247291</v>
      </c>
      <c r="K976" s="36" t="n">
        <f aca="false">J976+K975</f>
        <v>-36.2497306523235</v>
      </c>
      <c r="L976" s="36" t="n">
        <f aca="false">K976+L975</f>
        <v>72.6658822921514</v>
      </c>
    </row>
    <row r="977" customFormat="false" ht="15" hidden="false" customHeight="false" outlineLevel="0" collapsed="false">
      <c r="A977" s="9" t="s">
        <v>305</v>
      </c>
      <c r="B977" s="38" t="n">
        <v>0</v>
      </c>
      <c r="C977" s="38" t="n">
        <f aca="false">IF(AND(B976&lt;0,C976&gt;=0),B$43+(-B976)/C975,0)</f>
        <v>0</v>
      </c>
      <c r="D977" s="38" t="n">
        <f aca="false">IF(AND(C976&lt;0,D976&gt;=0),C$43+(-C976)/D975,0)</f>
        <v>0</v>
      </c>
      <c r="E977" s="38" t="n">
        <f aca="false">IF(AND(D976&lt;0,E976&gt;=0),D$43+(-D976)/E975,0)</f>
        <v>0</v>
      </c>
      <c r="F977" s="38" t="n">
        <f aca="false">IF(AND(E976&lt;0,F976&gt;=0),E$43+(-E976)/F975,0)</f>
        <v>0</v>
      </c>
      <c r="G977" s="38" t="n">
        <f aca="false">IF(AND(F976&lt;0,G976&gt;=0),F$43+(-F976)/G975,0)</f>
        <v>0</v>
      </c>
      <c r="H977" s="38" t="n">
        <f aca="false">IF(AND(G976&lt;0,H976&gt;=0),G$43+(-G976)/H975,0)</f>
        <v>0</v>
      </c>
      <c r="I977" s="38" t="n">
        <f aca="false">IF(AND(H976&lt;0,I976&gt;=0),H$43+(-H976)/I975,0)</f>
        <v>0</v>
      </c>
      <c r="J977" s="38" t="n">
        <f aca="false">IF(AND(I976&lt;0,J976&gt;=0),I$43+(-I976)/J975,0)</f>
        <v>0</v>
      </c>
      <c r="K977" s="38" t="n">
        <f aca="false">IF(AND(J976&lt;0,K976&gt;=0),J$43+(-J976)/K975,0)</f>
        <v>0</v>
      </c>
      <c r="L977" s="38" t="n">
        <f aca="false">IF(AND(K976&lt;0,L976&gt;=0),K$43+(-K976)/L975,0)</f>
        <v>9.33282400633235</v>
      </c>
    </row>
    <row r="978" customFormat="false" ht="15" hidden="false" customHeight="false" outlineLevel="0" collapsed="false">
      <c r="A978" s="9" t="s">
        <v>306</v>
      </c>
      <c r="B978" s="36" t="n">
        <f aca="false">IF(B$43&lt;0,0,(Quesería!$B$40*$B$953*$B$950)*(1-MAX(0,MIN(B$43-0-Quesería!$B$43,(Quesería!$B$42-Quesería!$B$43)))/(Quesería!$B$42-Quesería!$B$43)))+IF(B$43&lt;1,0,(Quesería!$B$40*$C$953*$C$950)*(1-MAX(0,MIN(B$43-1-Quesería!$B$43,(Quesería!$B$42-Quesería!$B$43)))/(Quesería!$B$42-Quesería!$B$43)))</f>
        <v>461.704769247221</v>
      </c>
      <c r="C978" s="36" t="n">
        <f aca="false">IF(C$43&lt;0,0,(Quesería!$B$40*$B$953*$B$950)*(1-MAX(0,MIN(C$43-0-Quesería!$B$43,(Quesería!$B$42-Quesería!$B$43)))/(Quesería!$B$42-Quesería!$B$43)))+IF(C$43&lt;1,0,(Quesería!$B$40*$C$953*$C$950)*(1-MAX(0,MIN(C$43-1-Quesería!$B$43,(Quesería!$B$42-Quesería!$B$43)))/(Quesería!$B$42-Quesería!$B$43)))</f>
        <v>964.434695258825</v>
      </c>
      <c r="D978" s="36" t="n">
        <f aca="false">IF(D$43&lt;0,0,(Quesería!$B$40*$B$953*$B$950)*(1-MAX(0,MIN(D$43-0-Quesería!$B$43,(Quesería!$B$42-Quesería!$B$43)))/(Quesería!$B$42-Quesería!$B$43)))+IF(D$43&lt;1,0,(Quesería!$B$40*$C$953*$C$950)*(1-MAX(0,MIN(D$43-1-Quesería!$B$43,(Quesería!$B$42-Quesería!$B$43)))/(Quesería!$B$42-Quesería!$B$43)))</f>
        <v>887.483900384289</v>
      </c>
      <c r="E978" s="36" t="n">
        <f aca="false">IF(E$43&lt;0,0,(Quesería!$B$40*$B$953*$B$950)*(1-MAX(0,MIN(E$43-0-Quesería!$B$43,(Quesería!$B$42-Quesería!$B$43)))/(Quesería!$B$42-Quesería!$B$43)))+IF(E$43&lt;1,0,(Quesería!$B$40*$C$953*$C$950)*(1-MAX(0,MIN(E$43-1-Quesería!$B$43,(Quesería!$B$42-Quesería!$B$43)))/(Quesería!$B$42-Quesería!$B$43)))</f>
        <v>726.744784507818</v>
      </c>
      <c r="F978" s="36" t="n">
        <f aca="false">IF(F$43&lt;0,0,(Quesería!$B$40*$B$953*$B$950)*(1-MAX(0,MIN(F$43-0-Quesería!$B$43,(Quesería!$B$42-Quesería!$B$43)))/(Quesería!$B$42-Quesería!$B$43)))+IF(F$43&lt;1,0,(Quesería!$B$40*$C$953*$C$950)*(1-MAX(0,MIN(F$43-1-Quesería!$B$43,(Quesería!$B$42-Quesería!$B$43)))/(Quesería!$B$42-Quesería!$B$43)))</f>
        <v>566.005668631347</v>
      </c>
      <c r="G978" s="36" t="n">
        <f aca="false">IF(G$43&lt;0,0,(Quesería!$B$40*$B$953*$B$950)*(1-MAX(0,MIN(G$43-0-Quesería!$B$43,(Quesería!$B$42-Quesería!$B$43)))/(Quesería!$B$42-Quesería!$B$43)))+IF(G$43&lt;1,0,(Quesería!$B$40*$C$953*$C$950)*(1-MAX(0,MIN(G$43-1-Quesería!$B$43,(Quesería!$B$42-Quesería!$B$43)))/(Quesería!$B$42-Quesería!$B$43)))</f>
        <v>405.266552754876</v>
      </c>
      <c r="H978" s="36" t="n">
        <f aca="false">IF(H$43&lt;0,0,(Quesería!$B$40*$B$953*$B$950)*(1-MAX(0,MIN(H$43-0-Quesería!$B$43,(Quesería!$B$42-Quesería!$B$43)))/(Quesería!$B$42-Quesería!$B$43)))+IF(H$43&lt;1,0,(Quesería!$B$40*$C$953*$C$950)*(1-MAX(0,MIN(H$43-1-Quesería!$B$43,(Quesería!$B$42-Quesería!$B$43)))/(Quesería!$B$42-Quesería!$B$43)))</f>
        <v>244.527436878405</v>
      </c>
      <c r="I978" s="36" t="n">
        <f aca="false">IF(I$43&lt;0,0,(Quesería!$B$40*$B$953*$B$950)*(1-MAX(0,MIN(I$43-0-Quesería!$B$43,(Quesería!$B$42-Quesería!$B$43)))/(Quesería!$B$42-Quesería!$B$43)))+IF(I$43&lt;1,0,(Quesería!$B$40*$C$953*$C$950)*(1-MAX(0,MIN(I$43-1-Quesería!$B$43,(Quesería!$B$42-Quesería!$B$43)))/(Quesería!$B$42-Quesería!$B$43)))</f>
        <v>83.788321001934</v>
      </c>
      <c r="J978" s="36" t="n">
        <f aca="false">IF(J$43&lt;0,0,(Quesería!$B$40*$B$953*$B$950)*(1-MAX(0,MIN(J$43-0-Quesería!$B$43,(Quesería!$B$42-Quesería!$B$43)))/(Quesería!$B$42-Quesería!$B$43)))+IF(J$43&lt;1,0,(Quesería!$B$40*$C$953*$C$950)*(1-MAX(0,MIN(J$43-1-Quesería!$B$43,(Quesería!$B$42-Quesería!$B$43)))/(Quesería!$B$42-Quesería!$B$43)))</f>
        <v>0</v>
      </c>
      <c r="K978" s="36" t="n">
        <f aca="false">IF(K$43&lt;0,0,(Quesería!$B$40*$B$953*$B$950)*(1-MAX(0,MIN(K$43-0-Quesería!$B$43,(Quesería!$B$42-Quesería!$B$43)))/(Quesería!$B$42-Quesería!$B$43)))+IF(K$43&lt;1,0,(Quesería!$B$40*$C$953*$C$950)*(1-MAX(0,MIN(K$43-1-Quesería!$B$43,(Quesería!$B$42-Quesería!$B$43)))/(Quesería!$B$42-Quesería!$B$43)))</f>
        <v>0</v>
      </c>
      <c r="L978" s="36" t="n">
        <f aca="false">IF(L$43&lt;0,0,(Quesería!$B$40*$B$953*$B$950)*(1-MAX(0,MIN(L$43-0-Quesería!$B$43,(Quesería!$B$42-Quesería!$B$43)))/(Quesería!$B$42-Quesería!$B$43)))+IF(L$43&lt;1,0,(Quesería!$B$40*$C$953*$C$950)*(1-MAX(0,MIN(L$43-1-Quesería!$B$43,(Quesería!$B$42-Quesería!$B$43)))/(Quesería!$B$42-Quesería!$B$43)))</f>
        <v>0</v>
      </c>
    </row>
    <row r="979" customFormat="false" ht="15" hidden="false" customHeight="false" outlineLevel="0" collapsed="false">
      <c r="A979" s="6" t="s">
        <v>307</v>
      </c>
      <c r="B979" s="35" t="n">
        <f aca="false">Quesería!$B$40*B953</f>
        <v>435.57053702568</v>
      </c>
      <c r="C979" s="35" t="n">
        <f aca="false">Quesería!$B$40*C953</f>
        <v>451.689062005035</v>
      </c>
      <c r="D979" s="35" t="n">
        <f aca="false">Quesería!$B$40*D953</f>
        <v>0</v>
      </c>
      <c r="E979" s="35" t="n">
        <f aca="false">Quesería!$B$40*E953</f>
        <v>0</v>
      </c>
      <c r="F979" s="35" t="n">
        <f aca="false">Quesería!$B$40*F953</f>
        <v>0</v>
      </c>
      <c r="G979" s="35" t="n">
        <f aca="false">Quesería!$B$40*G953</f>
        <v>0</v>
      </c>
      <c r="H979" s="35" t="n">
        <f aca="false">Quesería!$B$40*H953</f>
        <v>0</v>
      </c>
      <c r="I979" s="35" t="n">
        <f aca="false">Quesería!$B$40*I953</f>
        <v>0</v>
      </c>
      <c r="J979" s="35" t="n">
        <f aca="false">Quesería!$B$40*J953</f>
        <v>0</v>
      </c>
      <c r="K979" s="35" t="n">
        <f aca="false">Quesería!$B$40*K953</f>
        <v>0</v>
      </c>
      <c r="L979" s="35" t="n">
        <f aca="false">Quesería!$B$40*L953</f>
        <v>0</v>
      </c>
    </row>
    <row r="980" customFormat="false" ht="15" hidden="false" customHeight="false" outlineLevel="0" collapsed="false">
      <c r="A980" s="6" t="s">
        <v>308</v>
      </c>
      <c r="B980" s="35" t="n">
        <f aca="false">(IF(AND(B$43&gt;0,B$43&lt;=0+Quesería!$B$42),($W$14+$W$24)*((Quesería!$B$40*$B$953*$B$950)-(Quesería!$B$40*$B$953*$B$950)/(Quesería!$B$42-Quesería!$B$43)*MAX(0,MIN(B$43-1-0-Quesería!$B$43,(Quesería!$B$42-Quesería!$B$43)))),0)+IF(AND(B$43&gt;1,B$43&lt;=1+Quesería!$B$42),($W$14+$W$24)*((Quesería!$B$40*$C$953*$C$950)-(Quesería!$B$40*$C$953*$C$950)/(Quesería!$B$42-Quesería!$B$43)*MAX(0,MIN(B$43-1-1-Quesería!$B$43,(Quesería!$B$42-Quesería!$B$43)))),0))*B952</f>
        <v>0</v>
      </c>
      <c r="C980" s="35" t="n">
        <f aca="false">(IF(AND(C$43&gt;0,C$43&lt;=0+Quesería!$B$42),($W$14+$W$24)*((Quesería!$B$40*$B$953*$B$950)-(Quesería!$B$40*$B$953*$B$950)/(Quesería!$B$42-Quesería!$B$43)*MAX(0,MIN(C$43-1-0-Quesería!$B$43,(Quesería!$B$42-Quesería!$B$43)))),0)+IF(AND(C$43&gt;1,C$43&lt;=1+Quesería!$B$42),($W$14+$W$24)*((Quesería!$B$40*$C$953*$C$950)-(Quesería!$B$40*$C$953*$C$950)/(Quesería!$B$42-Quesería!$B$43)*MAX(0,MIN(C$43-1-1-Quesería!$B$43,(Quesería!$B$42-Quesería!$B$43)))),0))*C952</f>
        <v>58.4909006863056</v>
      </c>
      <c r="D980" s="35" t="n">
        <f aca="false">(IF(AND(D$43&gt;0,D$43&lt;=0+Quesería!$B$42),($W$14+$W$24)*((Quesería!$B$40*$B$953*$B$950)-(Quesería!$B$40*$B$953*$B$950)/(Quesería!$B$42-Quesería!$B$43)*MAX(0,MIN(D$43-1-0-Quesería!$B$43,(Quesería!$B$42-Quesería!$B$43)))),0)+IF(AND(D$43&gt;1,D$43&lt;=1+Quesería!$B$42),($W$14+$W$24)*((Quesería!$B$40*$C$953*$C$950)-(Quesería!$B$40*$C$953*$C$950)/(Quesería!$B$42-Quesería!$B$43)*MAX(0,MIN(D$43-1-1-Quesería!$B$43,(Quesería!$B$42-Quesería!$B$43)))),0))*D952</f>
        <v>116.917759262216</v>
      </c>
      <c r="E980" s="35" t="n">
        <f aca="false">(IF(AND(E$43&gt;0,E$43&lt;=0+Quesería!$B$42),($W$14+$W$24)*((Quesería!$B$40*$B$953*$B$950)-(Quesería!$B$40*$B$953*$B$950)/(Quesería!$B$42-Quesería!$B$43)*MAX(0,MIN(E$43-1-0-Quesería!$B$43,(Quesería!$B$42-Quesería!$B$43)))),0)+IF(AND(E$43&gt;1,E$43&lt;=1+Quesería!$B$42),($W$14+$W$24)*((Quesería!$B$40*$C$953*$C$950)-(Quesería!$B$40*$C$953*$C$950)/(Quesería!$B$42-Quesería!$B$43)*MAX(0,MIN(E$43-1-1-Quesería!$B$43,(Quesería!$B$42-Quesería!$B$43)))),0))*E952</f>
        <v>103.451025930528</v>
      </c>
      <c r="F980" s="35" t="n">
        <f aca="false">(IF(AND(F$43&gt;0,F$43&lt;=0+Quesería!$B$42),($W$14+$W$24)*((Quesería!$B$40*$B$953*$B$950)-(Quesería!$B$40*$B$953*$B$950)/(Quesería!$B$42-Quesería!$B$43)*MAX(0,MIN(F$43-1-0-Quesería!$B$43,(Quesería!$B$42-Quesería!$B$43)))),0)+IF(AND(F$43&gt;1,F$43&lt;=1+Quesería!$B$42),($W$14+$W$24)*((Quesería!$B$40*$C$953*$C$950)-(Quesería!$B$40*$C$953*$C$950)/(Quesería!$B$42-Quesería!$B$43)*MAX(0,MIN(F$43-1-1-Quesería!$B$43,(Quesería!$B$42-Quesería!$B$43)))),0))*F952</f>
        <v>81.455966861483</v>
      </c>
      <c r="G980" s="35" t="n">
        <f aca="false">(IF(AND(G$43&gt;0,G$43&lt;=0+Quesería!$B$42),($W$14+$W$24)*((Quesería!$B$40*$B$953*$B$950)-(Quesería!$B$40*$B$953*$B$950)/(Quesería!$B$42-Quesería!$B$43)*MAX(0,MIN(G$43-1-0-Quesería!$B$43,(Quesería!$B$42-Quesería!$B$43)))),0)+IF(AND(G$43&gt;1,G$43&lt;=1+Quesería!$B$42),($W$14+$W$24)*((Quesería!$B$40*$C$953*$C$950)-(Quesería!$B$40*$C$953*$C$950)/(Quesería!$B$42-Quesería!$B$43)*MAX(0,MIN(G$43-1-1-Quesería!$B$43,(Quesería!$B$42-Quesería!$B$43)))),0))*G952</f>
        <v>60.9998013511061</v>
      </c>
      <c r="H980" s="35" t="n">
        <f aca="false">(IF(AND(H$43&gt;0,H$43&lt;=0+Quesería!$B$42),($W$14+$W$24)*((Quesería!$B$40*$B$953*$B$950)-(Quesería!$B$40*$B$953*$B$950)/(Quesería!$B$42-Quesería!$B$43)*MAX(0,MIN(H$43-1-0-Quesería!$B$43,(Quesería!$B$42-Quesería!$B$43)))),0)+IF(AND(H$43&gt;1,H$43&lt;=1+Quesería!$B$42),($W$14+$W$24)*((Quesería!$B$40*$C$953*$C$950)-(Quesería!$B$40*$C$953*$C$950)/(Quesería!$B$42-Quesería!$B$43)*MAX(0,MIN(H$43-1-1-Quesería!$B$43,(Quesería!$B$42-Quesería!$B$43)))),0))*H952</f>
        <v>41.9966900414366</v>
      </c>
      <c r="I980" s="35" t="n">
        <f aca="false">(IF(AND(I$43&gt;0,I$43&lt;=0+Quesería!$B$42),($W$14+$W$24)*((Quesería!$B$40*$B$953*$B$950)-(Quesería!$B$40*$B$953*$B$950)/(Quesería!$B$42-Quesería!$B$43)*MAX(0,MIN(I$43-1-0-Quesería!$B$43,(Quesería!$B$42-Quesería!$B$43)))),0)+IF(AND(I$43&gt;1,I$43&lt;=1+Quesería!$B$42),($W$14+$W$24)*((Quesería!$B$40*$C$953*$C$950)-(Quesería!$B$40*$C$953*$C$950)/(Quesería!$B$42-Quesería!$B$43)*MAX(0,MIN(I$43-1-1-Quesería!$B$43,(Quesería!$B$42-Quesería!$B$43)))),0))*I952</f>
        <v>24.3651201322873</v>
      </c>
      <c r="J980" s="35" t="n">
        <f aca="false">(IF(AND(J$43&gt;0,J$43&lt;=0+Quesería!$B$42),($W$14+$W$24)*((Quesería!$B$40*$B$953*$B$950)-(Quesería!$B$40*$B$953*$B$950)/(Quesería!$B$42-Quesería!$B$43)*MAX(0,MIN(J$43-1-0-Quesería!$B$43,(Quesería!$B$42-Quesería!$B$43)))),0)+IF(AND(J$43&gt;1,J$43&lt;=1+Quesería!$B$42),($W$14+$W$24)*((Quesería!$B$40*$C$953*$C$950)-(Quesería!$B$40*$C$953*$C$950)/(Quesería!$B$42-Quesería!$B$43)*MAX(0,MIN(J$43-1-1-Quesería!$B$43,(Quesería!$B$42-Quesería!$B$43)))),0))*J952</f>
        <v>8.02769955040774</v>
      </c>
      <c r="K980" s="35" t="n">
        <f aca="false">(IF(AND(K$43&gt;0,K$43&lt;=0+Quesería!$B$42),($W$14+$W$24)*((Quesería!$B$40*$B$953*$B$950)-(Quesería!$B$40*$B$953*$B$950)/(Quesería!$B$42-Quesería!$B$43)*MAX(0,MIN(K$43-1-0-Quesería!$B$43,(Quesería!$B$42-Quesería!$B$43)))),0)+IF(AND(K$43&gt;1,K$43&lt;=1+Quesería!$B$42),($W$14+$W$24)*((Quesería!$B$40*$C$953*$C$950)-(Quesería!$B$40*$C$953*$C$950)/(Quesería!$B$42-Quesería!$B$43)*MAX(0,MIN(K$43-1-1-Quesería!$B$43,(Quesería!$B$42-Quesería!$B$43)))),0))*K952</f>
        <v>0</v>
      </c>
      <c r="L980" s="35" t="n">
        <f aca="false">(IF(AND(L$43&gt;0,L$43&lt;=0+Quesería!$B$42),($W$14+$W$24)*((Quesería!$B$40*$B$953*$B$950)-(Quesería!$B$40*$B$953*$B$950)/(Quesería!$B$42-Quesería!$B$43)*MAX(0,MIN(L$43-1-0-Quesería!$B$43,(Quesería!$B$42-Quesería!$B$43)))),0)+IF(AND(L$43&gt;1,L$43&lt;=1+Quesería!$B$42),($W$14+$W$24)*((Quesería!$B$40*$C$953*$C$950)-(Quesería!$B$40*$C$953*$C$950)/(Quesería!$B$42-Quesería!$B$43)*MAX(0,MIN(L$43-1-1-Quesería!$B$43,(Quesería!$B$42-Quesería!$B$43)))),0))*L952</f>
        <v>0</v>
      </c>
    </row>
    <row r="981" customFormat="false" ht="15" hidden="false" customHeight="false" outlineLevel="0" collapsed="false">
      <c r="A981" s="6" t="s">
        <v>309</v>
      </c>
      <c r="B981" s="35" t="n">
        <f aca="false">(IF(AND(B$43&gt;0+Quesería!$B$43,B$43&lt;=0+Quesería!$B$42),(Quesería!$B$40*$B$953*$B$950)/(Quesería!$B$42-Quesería!$B$43),0)+IF(AND(B$43&gt;1+Quesería!$B$43,B$43&lt;=1+Quesería!$B$42),(Quesería!$B$40*$C$953*$C$950)/(Quesería!$B$42-Quesería!$B$43),0))*B952</f>
        <v>0</v>
      </c>
      <c r="C981" s="35" t="n">
        <f aca="false">(IF(AND(C$43&gt;0+Quesería!$B$43,C$43&lt;=0+Quesería!$B$42),(Quesería!$B$40*$B$953*$B$950)/(Quesería!$B$42-Quesería!$B$43),0)+IF(AND(C$43&gt;1+Quesería!$B$43,C$43&lt;=1+Quesería!$B$42),(Quesería!$B$40*$C$953*$C$950)/(Quesería!$B$42-Quesería!$B$43),0))*C952</f>
        <v>0</v>
      </c>
      <c r="D981" s="35" t="n">
        <f aca="false">(IF(AND(D$43&gt;0+Quesería!$B$43,D$43&lt;=0+Quesería!$B$42),(Quesería!$B$40*$B$953*$B$950)/(Quesería!$B$42-Quesería!$B$43),0)+IF(AND(D$43&gt;1+Quesería!$B$43,D$43&lt;=1+Quesería!$B$42),(Quesería!$B$40*$C$953*$C$950)/(Quesería!$B$42-Quesería!$B$43),0))*D952</f>
        <v>66.1609382586284</v>
      </c>
      <c r="E981" s="35" t="n">
        <f aca="false">(IF(AND(E$43&gt;0+Quesería!$B$43,E$43&lt;=0+Quesería!$B$42),(Quesería!$B$40*$B$953*$B$950)/(Quesería!$B$42-Quesería!$B$43),0)+IF(AND(E$43&gt;1+Quesería!$B$43,E$43&lt;=1+Quesería!$B$42),(Quesería!$B$40*$C$953*$C$950)/(Quesería!$B$42-Quesería!$B$43),0))*E952</f>
        <v>132.885251025432</v>
      </c>
      <c r="F981" s="35" t="n">
        <f aca="false">(IF(AND(F$43&gt;0+Quesería!$B$43,F$43&lt;=0+Quesería!$B$42),(Quesería!$B$40*$B$953*$B$950)/(Quesería!$B$42-Quesería!$B$43),0)+IF(AND(F$43&gt;1+Quesería!$B$43,F$43&lt;=1+Quesería!$B$42),(Quesería!$B$40*$C$953*$C$950)/(Quesería!$B$42-Quesería!$B$43),0))*F952</f>
        <v>127.774279832146</v>
      </c>
      <c r="G981" s="35" t="n">
        <f aca="false">(IF(AND(G$43&gt;0+Quesería!$B$43,G$43&lt;=0+Quesería!$B$42),(Quesería!$B$40*$B$953*$B$950)/(Quesería!$B$42-Quesería!$B$43),0)+IF(AND(G$43&gt;1+Quesería!$B$43,G$43&lt;=1+Quesería!$B$42),(Quesería!$B$40*$C$953*$C$950)/(Quesería!$B$42-Quesería!$B$43),0))*G952</f>
        <v>122.859884453986</v>
      </c>
      <c r="H981" s="35" t="n">
        <f aca="false">(IF(AND(H$43&gt;0+Quesería!$B$43,H$43&lt;=0+Quesería!$B$42),(Quesería!$B$40*$B$953*$B$950)/(Quesería!$B$42-Quesería!$B$43),0)+IF(AND(H$43&gt;1+Quesería!$B$43,H$43&lt;=1+Quesería!$B$42),(Quesería!$B$40*$C$953*$C$950)/(Quesería!$B$42-Quesería!$B$43),0))*H952</f>
        <v>118.134504282679</v>
      </c>
      <c r="I981" s="35" t="n">
        <f aca="false">(IF(AND(I$43&gt;0+Quesería!$B$43,I$43&lt;=0+Quesería!$B$42),(Quesería!$B$40*$B$953*$B$950)/(Quesería!$B$42-Quesería!$B$43),0)+IF(AND(I$43&gt;1+Quesería!$B$43,I$43&lt;=1+Quesería!$B$42),(Quesería!$B$40*$C$953*$C$950)/(Quesería!$B$42-Quesería!$B$43),0))*I952</f>
        <v>113.590869502576</v>
      </c>
      <c r="J981" s="35" t="n">
        <f aca="false">(IF(AND(J$43&gt;0+Quesería!$B$43,J$43&lt;=0+Quesería!$B$42),(Quesería!$B$40*$B$953*$B$950)/(Quesería!$B$42-Quesería!$B$43),0)+IF(AND(J$43&gt;1+Quesería!$B$43,J$43&lt;=1+Quesería!$B$42),(Quesería!$B$40*$C$953*$C$950)/(Quesería!$B$42-Quesería!$B$43),0))*J952</f>
        <v>56.9340393645939</v>
      </c>
      <c r="K981" s="35" t="n">
        <f aca="false">(IF(AND(K$43&gt;0+Quesería!$B$43,K$43&lt;=0+Quesería!$B$42),(Quesería!$B$40*$B$953*$B$950)/(Quesería!$B$42-Quesería!$B$43),0)+IF(AND(K$43&gt;1+Quesería!$B$43,K$43&lt;=1+Quesería!$B$42),(Quesería!$B$40*$C$953*$C$950)/(Quesería!$B$42-Quesería!$B$43),0))*K952</f>
        <v>0</v>
      </c>
      <c r="L981" s="35" t="n">
        <f aca="false">(IF(AND(L$43&gt;0+Quesería!$B$43,L$43&lt;=0+Quesería!$B$42),(Quesería!$B$40*$B$953*$B$950)/(Quesería!$B$42-Quesería!$B$43),0)+IF(AND(L$43&gt;1+Quesería!$B$43,L$43&lt;=1+Quesería!$B$42),(Quesería!$B$40*$C$953*$C$950)/(Quesería!$B$42-Quesería!$B$43),0))*L952</f>
        <v>0</v>
      </c>
    </row>
    <row r="982" customFormat="false" ht="15" hidden="false" customHeight="false" outlineLevel="0" collapsed="false">
      <c r="A982" s="6" t="s">
        <v>310</v>
      </c>
      <c r="B982" s="35" t="n">
        <f aca="false">$W$13*Quesería!$B$44*(1+0.19)*B978*B952+(1-$W$13)*IF(B$43=0,Quesería!$B$53,0)</f>
        <v>10.3147458873051</v>
      </c>
      <c r="C982" s="35" t="n">
        <f aca="false">$W$13*Quesería!$B$44*(1+0.19)*C978*C952+(1-$W$13)*IF(C$43=0,Quesería!$B$53,0)</f>
        <v>20.5200161890604</v>
      </c>
      <c r="D982" s="35" t="n">
        <f aca="false">$W$13*Quesería!$B$44*(1+0.19)*D978*D952+(1-$W$13)*IF(D$43=0,Quesería!$B$53,0)</f>
        <v>18.0696219493849</v>
      </c>
      <c r="E982" s="35" t="n">
        <f aca="false">$W$13*Quesería!$B$44*(1+0.19)*E978*E952+(1-$W$13)*IF(E$43=0,Quesería!$B$53,0)</f>
        <v>14.2277808602599</v>
      </c>
      <c r="F982" s="35" t="n">
        <f aca="false">$W$13*Quesería!$B$44*(1+0.19)*F978*F952+(1-$W$13)*IF(F$43=0,Quesería!$B$53,0)</f>
        <v>10.6547357987756</v>
      </c>
      <c r="G982" s="35" t="n">
        <f aca="false">$W$13*Quesería!$B$44*(1+0.19)*G978*G952+(1-$W$13)*IF(G$43=0,Quesería!$B$53,0)</f>
        <v>7.33549334429865</v>
      </c>
      <c r="H982" s="35" t="n">
        <f aca="false">$W$13*Quesería!$B$44*(1+0.19)*H978*H952+(1-$W$13)*IF(H$43=0,Quesería!$B$53,0)</f>
        <v>4.25581578898442</v>
      </c>
      <c r="I982" s="35" t="n">
        <f aca="false">$W$13*Quesería!$B$44*(1+0.19)*I978*I952+(1-$W$13)*IF(I$43=0,Quesería!$B$53,0)</f>
        <v>1.40218518564067</v>
      </c>
      <c r="J982" s="35" t="n">
        <f aca="false">$W$13*Quesería!$B$44*(1+0.19)*J978*J952+(1-$W$13)*IF(J$43=0,Quesería!$B$53,0)</f>
        <v>0</v>
      </c>
      <c r="K982" s="35" t="n">
        <f aca="false">$W$13*Quesería!$B$44*(1+0.19)*K978*K952+(1-$W$13)*IF(K$43=0,Quesería!$B$53,0)</f>
        <v>0</v>
      </c>
      <c r="L982" s="35" t="n">
        <f aca="false">$W$13*Quesería!$B$44*(1+0.19)*L978*L952+(1-$W$13)*IF(L$43=0,Quesería!$B$53,0)</f>
        <v>0</v>
      </c>
    </row>
    <row r="983" customFormat="false" ht="15" hidden="false" customHeight="false" outlineLevel="0" collapsed="false">
      <c r="A983" s="6" t="s">
        <v>311</v>
      </c>
      <c r="B983" s="35" t="n">
        <f aca="false">Quesería!$B$45*(B980+B981+B982)</f>
        <v>0.0412589835492206</v>
      </c>
      <c r="C983" s="35" t="n">
        <f aca="false">Quesería!$B$45*(C980+C981+C982)</f>
        <v>0.316043667501464</v>
      </c>
      <c r="D983" s="35" t="n">
        <f aca="false">Quesería!$B$45*(D980+D981+D982)</f>
        <v>0.804593277880917</v>
      </c>
      <c r="E983" s="35" t="n">
        <f aca="false">Quesería!$B$45*(E980+E981+E982)</f>
        <v>1.00225623126488</v>
      </c>
      <c r="F983" s="35" t="n">
        <f aca="false">Quesería!$B$45*(F980+F981+F982)</f>
        <v>0.879539929969618</v>
      </c>
      <c r="G983" s="35" t="n">
        <f aca="false">Quesería!$B$45*(G980+G981+G982)</f>
        <v>0.764780716597565</v>
      </c>
      <c r="H983" s="35" t="n">
        <f aca="false">Quesería!$B$45*(H980+H981+H982)</f>
        <v>0.657548040452401</v>
      </c>
      <c r="I983" s="35" t="n">
        <f aca="false">Quesería!$B$45*(I980+I981+I982)</f>
        <v>0.557432699282017</v>
      </c>
      <c r="J983" s="35" t="n">
        <f aca="false">Quesería!$B$45*(J980+J981+J982)</f>
        <v>0.259846955660007</v>
      </c>
      <c r="K983" s="35" t="n">
        <f aca="false">Quesería!$B$45*(K980+K981+K982)</f>
        <v>0</v>
      </c>
      <c r="L983" s="35" t="n">
        <f aca="false">Quesería!$B$45*(L980+L981+L982)</f>
        <v>0</v>
      </c>
    </row>
    <row r="984" customFormat="false" ht="15" hidden="false" customHeight="false" outlineLevel="0" collapsed="false">
      <c r="A984" s="6" t="s">
        <v>312</v>
      </c>
      <c r="B984" s="35" t="n">
        <f aca="false">$W$17*(B980+B982+0.5*B983)</f>
        <v>3.61738138267791</v>
      </c>
      <c r="C984" s="35" t="n">
        <f aca="false">$W$17*(C980+C982+0.5*C983)</f>
        <v>27.7091285481909</v>
      </c>
      <c r="D984" s="35" t="n">
        <f aca="false">$W$17*(D980+D982+0.5*D983)</f>
        <v>47.3863872476894</v>
      </c>
      <c r="E984" s="35" t="n">
        <f aca="false">$W$17*(E980+E982+0.5*E983)</f>
        <v>41.3629772172472</v>
      </c>
      <c r="F984" s="35" t="n">
        <f aca="false">$W$17*(F980+F982+0.5*F983)</f>
        <v>32.3926654188352</v>
      </c>
      <c r="G984" s="35" t="n">
        <f aca="false">$W$17*(G980+G982+0.5*G983)</f>
        <v>24.0511897687962</v>
      </c>
      <c r="H984" s="35" t="n">
        <f aca="false">$W$17*(H980+H982+0.5*H983)</f>
        <v>16.3034479477265</v>
      </c>
      <c r="I984" s="35" t="n">
        <f aca="false">$W$17*(I980+I982+0.5*I983)</f>
        <v>9.11610758364914</v>
      </c>
      <c r="J984" s="35" t="n">
        <f aca="false">$W$17*(J980+J982+0.5*J983)</f>
        <v>2.85516805988321</v>
      </c>
      <c r="K984" s="35" t="n">
        <f aca="false">$W$17*(K980+K982+0.5*K983)</f>
        <v>0</v>
      </c>
      <c r="L984" s="35" t="n">
        <f aca="false">$W$17*(L980+L982+0.5*L983)</f>
        <v>0</v>
      </c>
    </row>
    <row r="985" customFormat="false" ht="15" hidden="false" customHeight="false" outlineLevel="0" collapsed="false">
      <c r="A985" s="5" t="s">
        <v>313</v>
      </c>
      <c r="B985" s="37" t="n">
        <f aca="false">B970+B979-B980-B981-B982-B983+B984</f>
        <v>-267.985155728064</v>
      </c>
      <c r="C985" s="37" t="n">
        <f aca="false">C970+C979-C980-C981-C982-C983+C984</f>
        <v>-184.929854256342</v>
      </c>
      <c r="D985" s="37" t="n">
        <f aca="false">D970+D979-D980-D981-D982-D983+D984</f>
        <v>186.417172110669</v>
      </c>
      <c r="E985" s="37" t="n">
        <f aca="false">E970+E979-E980-E981-E982-E983+E984</f>
        <v>39.9508033719721</v>
      </c>
      <c r="F985" s="37" t="n">
        <f aca="false">F970+F979-F980-F981-F982-F983+F984</f>
        <v>63.034255437679</v>
      </c>
      <c r="G985" s="37" t="n">
        <f aca="false">G970+G979-G980-G981-G982-G983+G984</f>
        <v>50.5091351526537</v>
      </c>
      <c r="H985" s="37" t="n">
        <f aca="false">H970+H979-H980-H981-H982-H983+H984</f>
        <v>64.9386274545279</v>
      </c>
      <c r="I985" s="37" t="n">
        <f aca="false">I970+I979-I980-I981-I982-I983+I984</f>
        <v>127.880930776355</v>
      </c>
      <c r="J985" s="37" t="n">
        <f aca="false">J970+J979-J980-J981-J982-J983+J984</f>
        <v>188.724757014854</v>
      </c>
      <c r="K985" s="37" t="n">
        <f aca="false">K970+K979-K980-K981-K982-K983+K984</f>
        <v>250.00991282035</v>
      </c>
      <c r="L985" s="37" t="n">
        <f aca="false">L970+L979-L980-L981-L982-L983+L984</f>
        <v>319.96150304972</v>
      </c>
    </row>
    <row r="986" customFormat="false" ht="15" hidden="false" customHeight="false" outlineLevel="0" collapsed="false">
      <c r="A986" s="9" t="s">
        <v>314</v>
      </c>
      <c r="B986" s="36" t="n">
        <f aca="false">B985*B950</f>
        <v>-284.064265071747</v>
      </c>
      <c r="C986" s="36" t="n">
        <f aca="false">C985*C950</f>
        <v>-205.826927787309</v>
      </c>
      <c r="D986" s="36" t="n">
        <f aca="false">D985*D950</f>
        <v>216.819016624338</v>
      </c>
      <c r="E986" s="36" t="n">
        <f aca="false">E985*E950</f>
        <v>48.3248273454858</v>
      </c>
      <c r="F986" s="36" t="n">
        <f aca="false">F985*F950</f>
        <v>79.2966354597686</v>
      </c>
      <c r="G986" s="36" t="n">
        <f aca="false">G985*G950</f>
        <v>66.0817301286279</v>
      </c>
      <c r="H986" s="36" t="n">
        <f aca="false">H985*H950</f>
        <v>88.3584150680925</v>
      </c>
      <c r="I986" s="36" t="n">
        <f aca="false">I985*I950</f>
        <v>180.96056347192</v>
      </c>
      <c r="J986" s="36" t="n">
        <f aca="false">J985*J950</f>
        <v>277.741237021842</v>
      </c>
      <c r="K986" s="36" t="n">
        <f aca="false">K985*K950</f>
        <v>382.650300336277</v>
      </c>
      <c r="L986" s="36" t="n">
        <f aca="false">L985*L950</f>
        <v>509.302604889268</v>
      </c>
    </row>
    <row r="987" customFormat="false" ht="15" hidden="false" customHeight="false" outlineLevel="0" collapsed="false">
      <c r="A987" s="9" t="s">
        <v>315</v>
      </c>
      <c r="B987" s="34" t="n">
        <f aca="false">(B950/$B$950)/(1+Quesería!$B$46+$W$24)^B$43</f>
        <v>1</v>
      </c>
      <c r="C987" s="34" t="n">
        <f aca="false">(C950/$B$950)/(1+Quesería!$B$46+$W$24)^C$43</f>
        <v>0.84</v>
      </c>
      <c r="D987" s="34" t="n">
        <f aca="false">(D950/$B$950)/(1+Quesería!$B$46+$W$24)^D$43</f>
        <v>0.70224</v>
      </c>
      <c r="E987" s="34" t="n">
        <f aca="false">(E950/$B$950)/(1+Quesería!$B$46+$W$24)^E$43</f>
        <v>0.58426368</v>
      </c>
      <c r="F987" s="34" t="n">
        <f aca="false">(F950/$B$950)/(1+Quesería!$B$46+$W$24)^F$43</f>
        <v>0.48610738176</v>
      </c>
      <c r="G987" s="34" t="n">
        <f aca="false">(G950/$B$950)/(1+Quesería!$B$46+$W$24)^G$43</f>
        <v>0.40444134162432</v>
      </c>
      <c r="H987" s="34" t="n">
        <f aca="false">(H950/$B$950)/(1+Quesería!$B$46+$W$24)^H$43</f>
        <v>0.336495196231434</v>
      </c>
      <c r="I987" s="34" t="n">
        <f aca="false">(I950/$B$950)/(1+Quesería!$B$46+$W$24)^I$43</f>
        <v>0.279964003264553</v>
      </c>
      <c r="J987" s="34" t="n">
        <f aca="false">(J950/$B$950)/(1+Quesería!$B$46+$W$24)^J$43</f>
        <v>0.232930050716108</v>
      </c>
      <c r="K987" s="34" t="n">
        <f aca="false">(K950/$B$950)/(1+Quesería!$B$46+$W$24)^K$43</f>
        <v>0.193797802195802</v>
      </c>
      <c r="L987" s="34" t="n">
        <f aca="false">(L950/$B$950)/(1+Quesería!$B$46+$W$24)^L$43</f>
        <v>0.161239771426907</v>
      </c>
    </row>
    <row r="988" customFormat="false" ht="15" hidden="false" customHeight="false" outlineLevel="0" collapsed="false">
      <c r="A988" s="9" t="s">
        <v>316</v>
      </c>
      <c r="B988" s="36" t="n">
        <f aca="false">B970+B953+B955+B984</f>
        <v>28.391811927604</v>
      </c>
      <c r="C988" s="36" t="n">
        <f aca="false">C970+C953+C955+C984</f>
        <v>210.57944969005</v>
      </c>
      <c r="D988" s="36" t="n">
        <f aca="false">D970+D953+D955+D984</f>
        <v>388.37008485878</v>
      </c>
      <c r="E988" s="36" t="n">
        <f aca="false">E970+E953+E955+E984</f>
        <v>291.517117419457</v>
      </c>
      <c r="F988" s="36" t="n">
        <f aca="false">F970+F953+F955+F984</f>
        <v>283.798777860053</v>
      </c>
      <c r="G988" s="36" t="n">
        <f aca="false">G970+G953+G955+G984</f>
        <v>247.535761685309</v>
      </c>
      <c r="H988" s="36" t="n">
        <f aca="false">H970+H953+H955+H984</f>
        <v>236.691050688847</v>
      </c>
      <c r="I988" s="36" t="n">
        <f aca="false">I970+I953+I955+I984</f>
        <v>267.796538296142</v>
      </c>
      <c r="J988" s="36" t="n">
        <f aca="false">J970+J953+J955+J984</f>
        <v>253.946342885515</v>
      </c>
      <c r="K988" s="36" t="n">
        <f aca="false">K970+K953+K955+K984</f>
        <v>250.00991282035</v>
      </c>
      <c r="L988" s="36" t="n">
        <f aca="false">L970+L953+L955+L984</f>
        <v>319.96150304972</v>
      </c>
    </row>
    <row r="989" customFormat="false" ht="15" hidden="false" customHeight="false" outlineLevel="0" collapsed="false">
      <c r="A989" s="5" t="s">
        <v>317</v>
      </c>
      <c r="B989" s="12" t="str">
        <f aca="false">IF(AND(B$43&gt;=1,(B980+B981+B982)&gt;0.001),B988/(B980+B981+B982),"")</f>
        <v/>
      </c>
      <c r="C989" s="12" t="n">
        <f aca="false">IF(AND(C$43&gt;=1,(C980+C981+C982)&gt;0.001),C988/(C980+C981+C982),"")</f>
        <v>2.66519435563852</v>
      </c>
      <c r="D989" s="12" t="n">
        <f aca="false">IF(AND(D$43&gt;=1,(D980+D981+D982)&gt;0.001),D988/(D980+D981+D982),"")</f>
        <v>1.93076475051665</v>
      </c>
      <c r="E989" s="12" t="n">
        <f aca="false">IF(AND(E$43&gt;=1,(E980+E981+E982)&gt;0.001),E988/(E980+E981+E982),"")</f>
        <v>1.16344347214106</v>
      </c>
      <c r="F989" s="12" t="n">
        <f aca="false">IF(AND(F$43&gt;=1,(F980+F981+F982)&gt;0.001),F988/(F980+F981+F982),"")</f>
        <v>1.29066921552888</v>
      </c>
      <c r="G989" s="12" t="n">
        <f aca="false">IF(AND(G$43&gt;=1,(G980+G981+G982)&gt;0.001),G988/(G980+G981+G982),"")</f>
        <v>1.29467574855481</v>
      </c>
      <c r="H989" s="12" t="n">
        <f aca="false">IF(AND(H$43&gt;=1,(H980+H981+H982)&gt;0.001),H988/(H980+H981+H982),"")</f>
        <v>1.4398403531155</v>
      </c>
      <c r="I989" s="12" t="n">
        <f aca="false">IF(AND(I$43&gt;=1,(I980+I981+I982)&gt;0.001),I988/(I980+I981+I982),"")</f>
        <v>1.92164211852708</v>
      </c>
      <c r="J989" s="12" t="n">
        <f aca="false">IF(AND(J$43&gt;=1,(J980+J981+J982)&gt;0.001),J988/(J980+J981+J982),"")</f>
        <v>3.90916787522865</v>
      </c>
      <c r="K989" s="12" t="str">
        <f aca="false">IF(AND(K$43&gt;=1,(K980+K981+K982)&gt;0.001),K988/(K980+K981+K982),"")</f>
        <v/>
      </c>
      <c r="L989" s="12" t="str">
        <f aca="false">IF(AND(L$43&gt;=1,(L980+L981+L982)&gt;0.001),L988/(L980+L981+L982),"")</f>
        <v/>
      </c>
    </row>
    <row r="991" customFormat="false" ht="15" hidden="false" customHeight="false" outlineLevel="0" collapsed="false">
      <c r="A991" s="66" t="s">
        <v>648</v>
      </c>
      <c r="B991" s="67"/>
      <c r="C991" s="67"/>
      <c r="D991" s="67"/>
      <c r="E991" s="67"/>
      <c r="F991" s="67"/>
      <c r="G991" s="67"/>
      <c r="H991" s="67"/>
      <c r="I991" s="67"/>
      <c r="J991" s="67"/>
      <c r="K991" s="67"/>
      <c r="L991" s="67"/>
    </row>
    <row r="992" customFormat="false" ht="15" hidden="false" customHeight="false" outlineLevel="0" collapsed="false">
      <c r="A992" s="9" t="s">
        <v>281</v>
      </c>
      <c r="B992" s="33" t="n">
        <f aca="false">CHOOSE($X$15,Entorno!B$7,Entorno!B$8,Entorno!B$9)</f>
        <v>0.06</v>
      </c>
      <c r="C992" s="33" t="n">
        <f aca="false">CHOOSE($X$15,Entorno!C$7,Entorno!C$8,Entorno!C$9)</f>
        <v>0.05</v>
      </c>
      <c r="D992" s="33" t="n">
        <f aca="false">CHOOSE($X$15,Entorno!D$7,Entorno!D$8,Entorno!D$9)</f>
        <v>0.045</v>
      </c>
      <c r="E992" s="33" t="n">
        <f aca="false">CHOOSE($X$15,Entorno!E$7,Entorno!E$8,Entorno!E$9)</f>
        <v>0.04</v>
      </c>
      <c r="F992" s="33" t="n">
        <f aca="false">CHOOSE($X$15,Entorno!F$7,Entorno!F$8,Entorno!F$9)</f>
        <v>0.04</v>
      </c>
      <c r="G992" s="33" t="n">
        <f aca="false">CHOOSE($X$15,Entorno!G$7,Entorno!G$8,Entorno!G$9)</f>
        <v>0.04</v>
      </c>
      <c r="H992" s="33" t="n">
        <f aca="false">CHOOSE($X$15,Entorno!H$7,Entorno!H$8,Entorno!H$9)</f>
        <v>0.04</v>
      </c>
      <c r="I992" s="33" t="n">
        <f aca="false">CHOOSE($X$15,Entorno!I$7,Entorno!I$8,Entorno!I$9)</f>
        <v>0.04</v>
      </c>
      <c r="J992" s="33" t="n">
        <f aca="false">CHOOSE($X$15,Entorno!J$7,Entorno!J$8,Entorno!J$9)</f>
        <v>0.04</v>
      </c>
      <c r="K992" s="33" t="n">
        <f aca="false">CHOOSE($X$15,Entorno!K$7,Entorno!K$8,Entorno!K$9)</f>
        <v>0.04</v>
      </c>
      <c r="L992" s="33" t="n">
        <f aca="false">CHOOSE($X$15,Entorno!L$7,Entorno!L$8,Entorno!L$9)</f>
        <v>0.04</v>
      </c>
    </row>
    <row r="993" customFormat="false" ht="15" hidden="false" customHeight="false" outlineLevel="0" collapsed="false">
      <c r="A993" s="9" t="s">
        <v>282</v>
      </c>
      <c r="B993" s="34" t="n">
        <f aca="false">1+B992</f>
        <v>1.06</v>
      </c>
      <c r="C993" s="34" t="n">
        <f aca="false">B993*(1+C992)</f>
        <v>1.113</v>
      </c>
      <c r="D993" s="34" t="n">
        <f aca="false">C993*(1+D992)</f>
        <v>1.163085</v>
      </c>
      <c r="E993" s="34" t="n">
        <f aca="false">D993*(1+E992)</f>
        <v>1.2096084</v>
      </c>
      <c r="F993" s="34" t="n">
        <f aca="false">E993*(1+F992)</f>
        <v>1.257992736</v>
      </c>
      <c r="G993" s="34" t="n">
        <f aca="false">F993*(1+G992)</f>
        <v>1.30831244544</v>
      </c>
      <c r="H993" s="34" t="n">
        <f aca="false">G993*(1+H992)</f>
        <v>1.3606449432576</v>
      </c>
      <c r="I993" s="34" t="n">
        <f aca="false">H993*(1+I992)</f>
        <v>1.4150707409879</v>
      </c>
      <c r="J993" s="34" t="n">
        <f aca="false">I993*(1+J992)</f>
        <v>1.47167357062742</v>
      </c>
      <c r="K993" s="34" t="n">
        <f aca="false">J993*(1+K992)</f>
        <v>1.53054051345252</v>
      </c>
      <c r="L993" s="34" t="n">
        <f aca="false">K993*(1+L992)</f>
        <v>1.59176213399062</v>
      </c>
    </row>
    <row r="994" customFormat="false" ht="15" hidden="false" customHeight="false" outlineLevel="0" collapsed="false">
      <c r="A994" s="9" t="s">
        <v>283</v>
      </c>
      <c r="B994" s="34" t="n">
        <f aca="false">(1+$X$16)/(1+B992)</f>
        <v>1.02358490566038</v>
      </c>
      <c r="C994" s="34" t="n">
        <f aca="false">B994*(1+Entorno!$B$13)</f>
        <v>1.02870283018868</v>
      </c>
      <c r="D994" s="34" t="n">
        <f aca="false">C994*(1+Entorno!$B$13)</f>
        <v>1.03384634433962</v>
      </c>
      <c r="E994" s="34" t="n">
        <f aca="false">D994*(1+Entorno!$B$13)</f>
        <v>1.03901557606132</v>
      </c>
      <c r="F994" s="34" t="n">
        <f aca="false">E994*(1+Entorno!$B$13)</f>
        <v>1.04421065394163</v>
      </c>
      <c r="G994" s="34" t="n">
        <f aca="false">F994*(1+Entorno!$B$13)</f>
        <v>1.04943170721133</v>
      </c>
      <c r="H994" s="34" t="n">
        <f aca="false">G994*(1+Entorno!$B$13)</f>
        <v>1.05467886574739</v>
      </c>
      <c r="I994" s="34" t="n">
        <f aca="false">H994*(1+Entorno!$B$13)</f>
        <v>1.05995226007613</v>
      </c>
      <c r="J994" s="34" t="n">
        <f aca="false">I994*(1+Entorno!$B$13)</f>
        <v>1.06525202137651</v>
      </c>
      <c r="K994" s="34" t="n">
        <f aca="false">J994*(1+Entorno!$B$13)</f>
        <v>1.07057828148339</v>
      </c>
      <c r="L994" s="34" t="n">
        <f aca="false">K994*(1+Entorno!$B$13)</f>
        <v>1.07593117289081</v>
      </c>
    </row>
    <row r="995" customFormat="false" ht="15" hidden="false" customHeight="false" outlineLevel="0" collapsed="false">
      <c r="A995" s="9" t="s">
        <v>284</v>
      </c>
      <c r="B995" s="34" t="n">
        <f aca="false">1/B993</f>
        <v>0.943396226415094</v>
      </c>
      <c r="C995" s="34" t="n">
        <f aca="false">1/C993</f>
        <v>0.898472596585804</v>
      </c>
      <c r="D995" s="34" t="n">
        <f aca="false">1/D993</f>
        <v>0.859782389077324</v>
      </c>
      <c r="E995" s="34" t="n">
        <f aca="false">1/E993</f>
        <v>0.826713835651273</v>
      </c>
      <c r="F995" s="34" t="n">
        <f aca="false">1/F993</f>
        <v>0.794917149664686</v>
      </c>
      <c r="G995" s="34" t="n">
        <f aca="false">1/G993</f>
        <v>0.764343413139121</v>
      </c>
      <c r="H995" s="34" t="n">
        <f aca="false">1/H993</f>
        <v>0.734945589556847</v>
      </c>
      <c r="I995" s="34" t="n">
        <f aca="false">1/I993</f>
        <v>0.706678451496968</v>
      </c>
      <c r="J995" s="34" t="n">
        <f aca="false">1/J993</f>
        <v>0.679498511054777</v>
      </c>
      <c r="K995" s="34" t="n">
        <f aca="false">1/K993</f>
        <v>0.653363952937286</v>
      </c>
      <c r="L995" s="34" t="n">
        <f aca="false">1/L993</f>
        <v>0.628234570132006</v>
      </c>
    </row>
    <row r="996" customFormat="false" ht="15" hidden="false" customHeight="false" outlineLevel="0" collapsed="false">
      <c r="A996" s="6" t="s">
        <v>202</v>
      </c>
      <c r="B996" s="35" t="n">
        <f aca="false">IF(B$43=0,Quesería!$F$80,IF(B$43=1,Quesería!$F$81*$X$21,0))*$X$11</f>
        <v>622.243624322401</v>
      </c>
      <c r="C996" s="35" t="n">
        <f aca="false">IF(C$43=0,Quesería!$F$80,IF(C$43=1,Quesería!$F$81*$X$21,0))*$X$11</f>
        <v>645.270088578622</v>
      </c>
      <c r="D996" s="35" t="n">
        <f aca="false">IF(D$43=0,Quesería!$F$80,IF(D$43=1,Quesería!$F$81*$X$21,0))*$X$11</f>
        <v>0</v>
      </c>
      <c r="E996" s="35" t="n">
        <f aca="false">IF(E$43=0,Quesería!$F$80,IF(E$43=1,Quesería!$F$81*$X$21,0))*$X$11</f>
        <v>0</v>
      </c>
      <c r="F996" s="35" t="n">
        <f aca="false">IF(F$43=0,Quesería!$F$80,IF(F$43=1,Quesería!$F$81*$X$21,0))*$X$11</f>
        <v>0</v>
      </c>
      <c r="G996" s="35" t="n">
        <f aca="false">IF(G$43=0,Quesería!$F$80,IF(G$43=1,Quesería!$F$81*$X$21,0))*$X$11</f>
        <v>0</v>
      </c>
      <c r="H996" s="35" t="n">
        <f aca="false">IF(H$43=0,Quesería!$F$80,IF(H$43=1,Quesería!$F$81*$X$21,0))*$X$11</f>
        <v>0</v>
      </c>
      <c r="I996" s="35" t="n">
        <f aca="false">IF(I$43=0,Quesería!$F$80,IF(I$43=1,Quesería!$F$81*$X$21,0))*$X$11</f>
        <v>0</v>
      </c>
      <c r="J996" s="35" t="n">
        <f aca="false">IF(J$43=0,Quesería!$F$80,IF(J$43=1,Quesería!$F$81*$X$21,0))*$X$11</f>
        <v>0</v>
      </c>
      <c r="K996" s="35" t="n">
        <f aca="false">IF(K$43=0,Quesería!$F$80,IF(K$43=1,Quesería!$F$81*$X$21,0))*$X$11</f>
        <v>0</v>
      </c>
      <c r="L996" s="35" t="n">
        <f aca="false">IF(L$43=0,Quesería!$F$80,IF(L$43=1,Quesería!$F$81*$X$21,0))*$X$11</f>
        <v>0</v>
      </c>
    </row>
    <row r="997" customFormat="false" ht="15" hidden="false" customHeight="false" outlineLevel="0" collapsed="false">
      <c r="A997" s="6" t="s">
        <v>285</v>
      </c>
      <c r="B997" s="35" t="n">
        <f aca="false">IF(B$43=5,Quesería!$F$87,IF(B$43=6,Quesería!$F$88,0))*$X$11</f>
        <v>0</v>
      </c>
      <c r="C997" s="35" t="n">
        <f aca="false">IF(C$43=5,Quesería!$F$87,IF(C$43=6,Quesería!$F$88,0))*$X$11</f>
        <v>0</v>
      </c>
      <c r="D997" s="35" t="n">
        <f aca="false">IF(D$43=5,Quesería!$F$87,IF(D$43=6,Quesería!$F$88,0))*$X$11</f>
        <v>0</v>
      </c>
      <c r="E997" s="35" t="n">
        <f aca="false">IF(E$43=5,Quesería!$F$87,IF(E$43=6,Quesería!$F$88,0))*$X$11</f>
        <v>0</v>
      </c>
      <c r="F997" s="35" t="n">
        <f aca="false">IF(F$43=5,Quesería!$F$87,IF(F$43=6,Quesería!$F$88,0))*$X$11</f>
        <v>0</v>
      </c>
      <c r="G997" s="35" t="n">
        <f aca="false">IF(G$43=5,Quesería!$F$87,IF(G$43=6,Quesería!$F$88,0))*$X$11</f>
        <v>26.6666666666667</v>
      </c>
      <c r="H997" s="35" t="n">
        <f aca="false">IF(H$43=5,Quesería!$F$87,IF(H$43=6,Quesería!$F$88,0))*$X$11</f>
        <v>35.3045530566667</v>
      </c>
      <c r="I997" s="35" t="n">
        <f aca="false">IF(I$43=5,Quesería!$F$87,IF(I$43=6,Quesería!$F$88,0))*$X$11</f>
        <v>0</v>
      </c>
      <c r="J997" s="35" t="n">
        <f aca="false">IF(J$43=5,Quesería!$F$87,IF(J$43=6,Quesería!$F$88,0))*$X$11</f>
        <v>0</v>
      </c>
      <c r="K997" s="35" t="n">
        <f aca="false">IF(K$43=5,Quesería!$F$87,IF(K$43=6,Quesería!$F$88,0))*$X$11</f>
        <v>0</v>
      </c>
      <c r="L997" s="35" t="n">
        <f aca="false">IF(L$43=5,Quesería!$F$87,IF(L$43=6,Quesería!$F$88,0))*$X$11</f>
        <v>0</v>
      </c>
    </row>
    <row r="998" customFormat="false" ht="15" hidden="false" customHeight="false" outlineLevel="0" collapsed="false">
      <c r="A998" s="6" t="s">
        <v>286</v>
      </c>
      <c r="B998" s="35" t="n">
        <f aca="false">Quesería!$B$36*(IF(B$43=0,SUMPRODUCT((Quesería!$C$62:$C$77=0)*(Quesería!$H$62:$H$77&gt;0)*(Quesería!$J$62:$J$77&gt;0)*Quesería!$F$62:$F$77*(1+Quesería!$I$62:$I$77)),IF(B$43=1,SUMPRODUCT((Quesería!$C$62:$C$77=1)*(Quesería!$H$62:$H$77&gt;0)*(Quesería!$J$62:$J$77&gt;0)*Quesería!$F$62:$F$77*(1+Quesería!$I$62:$I$77))*$X$21,0))*$X$11+B997)</f>
        <v>99.347875488093</v>
      </c>
      <c r="C998" s="35" t="n">
        <f aca="false">Quesería!$B$36*(IF(C$43=0,SUMPRODUCT((Quesería!$C$62:$C$77=0)*(Quesería!$H$62:$H$77&gt;0)*(Quesería!$J$62:$J$77&gt;0)*Quesería!$F$62:$F$77*(1+Quesería!$I$62:$I$77)),IF(C$43=1,SUMPRODUCT((Quesería!$C$62:$C$77=1)*(Quesería!$H$62:$H$77&gt;0)*(Quesería!$J$62:$J$77&gt;0)*Quesería!$F$62:$F$77*(1+Quesería!$I$62:$I$77))*$X$21,0))*$X$11+C997)</f>
        <v>122.601316829938</v>
      </c>
      <c r="D998" s="35" t="n">
        <f aca="false">Quesería!$B$36*(IF(D$43=0,SUMPRODUCT((Quesería!$C$62:$C$77=0)*(Quesería!$H$62:$H$77&gt;0)*(Quesería!$J$62:$J$77&gt;0)*Quesería!$F$62:$F$77*(1+Quesería!$I$62:$I$77)),IF(D$43=1,SUMPRODUCT((Quesería!$C$62:$C$77=1)*(Quesería!$H$62:$H$77&gt;0)*(Quesería!$J$62:$J$77&gt;0)*Quesería!$F$62:$F$77*(1+Quesería!$I$62:$I$77))*$X$21,0))*$X$11+D997)</f>
        <v>0</v>
      </c>
      <c r="E998" s="35" t="n">
        <f aca="false">Quesería!$B$36*(IF(E$43=0,SUMPRODUCT((Quesería!$C$62:$C$77=0)*(Quesería!$H$62:$H$77&gt;0)*(Quesería!$J$62:$J$77&gt;0)*Quesería!$F$62:$F$77*(1+Quesería!$I$62:$I$77)),IF(E$43=1,SUMPRODUCT((Quesería!$C$62:$C$77=1)*(Quesería!$H$62:$H$77&gt;0)*(Quesería!$J$62:$J$77&gt;0)*Quesería!$F$62:$F$77*(1+Quesería!$I$62:$I$77))*$X$21,0))*$X$11+E997)</f>
        <v>0</v>
      </c>
      <c r="F998" s="35" t="n">
        <f aca="false">Quesería!$B$36*(IF(F$43=0,SUMPRODUCT((Quesería!$C$62:$C$77=0)*(Quesería!$H$62:$H$77&gt;0)*(Quesería!$J$62:$J$77&gt;0)*Quesería!$F$62:$F$77*(1+Quesería!$I$62:$I$77)),IF(F$43=1,SUMPRODUCT((Quesería!$C$62:$C$77=1)*(Quesería!$H$62:$H$77&gt;0)*(Quesería!$J$62:$J$77&gt;0)*Quesería!$F$62:$F$77*(1+Quesería!$I$62:$I$77))*$X$21,0))*$X$11+F997)</f>
        <v>0</v>
      </c>
      <c r="G998" s="35" t="n">
        <f aca="false">Quesería!$B$36*(IF(G$43=0,SUMPRODUCT((Quesería!$C$62:$C$77=0)*(Quesería!$H$62:$H$77&gt;0)*(Quesería!$J$62:$J$77&gt;0)*Quesería!$F$62:$F$77*(1+Quesería!$I$62:$I$77)),IF(G$43=1,SUMPRODUCT((Quesería!$C$62:$C$77=1)*(Quesería!$H$62:$H$77&gt;0)*(Quesería!$J$62:$J$77&gt;0)*Quesería!$F$62:$F$77*(1+Quesería!$I$62:$I$77))*$X$21,0))*$X$11+G997)</f>
        <v>5.06666666666667</v>
      </c>
      <c r="H998" s="35" t="n">
        <f aca="false">Quesería!$B$36*(IF(H$43=0,SUMPRODUCT((Quesería!$C$62:$C$77=0)*(Quesería!$H$62:$H$77&gt;0)*(Quesería!$J$62:$J$77&gt;0)*Quesería!$F$62:$F$77*(1+Quesería!$I$62:$I$77)),IF(H$43=1,SUMPRODUCT((Quesería!$C$62:$C$77=1)*(Quesería!$H$62:$H$77&gt;0)*(Quesería!$J$62:$J$77&gt;0)*Quesería!$F$62:$F$77*(1+Quesería!$I$62:$I$77))*$X$21,0))*$X$11+H997)</f>
        <v>6.70786508076667</v>
      </c>
      <c r="I998" s="35" t="n">
        <f aca="false">Quesería!$B$36*(IF(I$43=0,SUMPRODUCT((Quesería!$C$62:$C$77=0)*(Quesería!$H$62:$H$77&gt;0)*(Quesería!$J$62:$J$77&gt;0)*Quesería!$F$62:$F$77*(1+Quesería!$I$62:$I$77)),IF(I$43=1,SUMPRODUCT((Quesería!$C$62:$C$77=1)*(Quesería!$H$62:$H$77&gt;0)*(Quesería!$J$62:$J$77&gt;0)*Quesería!$F$62:$F$77*(1+Quesería!$I$62:$I$77))*$X$21,0))*$X$11+I997)</f>
        <v>0</v>
      </c>
      <c r="J998" s="35" t="n">
        <f aca="false">Quesería!$B$36*(IF(J$43=0,SUMPRODUCT((Quesería!$C$62:$C$77=0)*(Quesería!$H$62:$H$77&gt;0)*(Quesería!$J$62:$J$77&gt;0)*Quesería!$F$62:$F$77*(1+Quesería!$I$62:$I$77)),IF(J$43=1,SUMPRODUCT((Quesería!$C$62:$C$77=1)*(Quesería!$H$62:$H$77&gt;0)*(Quesería!$J$62:$J$77&gt;0)*Quesería!$F$62:$F$77*(1+Quesería!$I$62:$I$77))*$X$21,0))*$X$11+J997)</f>
        <v>0</v>
      </c>
      <c r="K998" s="35" t="n">
        <f aca="false">Quesería!$B$36*(IF(K$43=0,SUMPRODUCT((Quesería!$C$62:$C$77=0)*(Quesería!$H$62:$H$77&gt;0)*(Quesería!$J$62:$J$77&gt;0)*Quesería!$F$62:$F$77*(1+Quesería!$I$62:$I$77)),IF(K$43=1,SUMPRODUCT((Quesería!$C$62:$C$77=1)*(Quesería!$H$62:$H$77&gt;0)*(Quesería!$J$62:$J$77&gt;0)*Quesería!$F$62:$F$77*(1+Quesería!$I$62:$I$77))*$X$21,0))*$X$11+K997)</f>
        <v>0</v>
      </c>
      <c r="L998" s="35" t="n">
        <f aca="false">Quesería!$B$36*(IF(L$43=0,SUMPRODUCT((Quesería!$C$62:$C$77=0)*(Quesería!$H$62:$H$77&gt;0)*(Quesería!$J$62:$J$77&gt;0)*Quesería!$F$62:$F$77*(1+Quesería!$I$62:$I$77)),IF(L$43=1,SUMPRODUCT((Quesería!$C$62:$C$77=1)*(Quesería!$H$62:$H$77&gt;0)*(Quesería!$J$62:$J$77&gt;0)*Quesería!$F$62:$F$77*(1+Quesería!$I$62:$I$77))*$X$21,0))*$X$11+L997)</f>
        <v>0</v>
      </c>
    </row>
    <row r="999" customFormat="false" ht="15" hidden="false" customHeight="false" outlineLevel="0" collapsed="false">
      <c r="A999" s="6" t="s">
        <v>260</v>
      </c>
      <c r="B999" s="35" t="n">
        <f aca="false">IF(B$43=0,($X$22*Quesería!$J$109+(1-$X$22)*Quesería!$E$105)*Quesería!$B$12*Quesería!$B$13/12*$X$23,(($X$22*Quesería!$J$109+(1-$X$22)*Quesería!$E$105)+($X$22*Quesería!$J$92+(1-$X$22)*Quesería!$E$92)*(B994-1))*IF(B$43=1,Quesería!$B$12,1))*$X$10</f>
        <v>45.6373732102639</v>
      </c>
      <c r="C999" s="35" t="n">
        <f aca="false">IF(C$43=0,($X$22*Quesería!$J$109+(1-$X$22)*Quesería!$E$105)*Quesería!$B$12*Quesería!$B$13/12*$X$23,(($X$22*Quesería!$J$109+(1-$X$22)*Quesería!$E$105)+($X$22*Quesería!$J$92+(1-$X$22)*Quesería!$E$92)*(C994-1))*IF(C$43=1,Quesería!$B$12,1))*$X$10</f>
        <v>137.165278593056</v>
      </c>
      <c r="D999" s="35" t="n">
        <f aca="false">IF(D$43=0,($X$22*Quesería!$J$109+(1-$X$22)*Quesería!$E$105)*Quesería!$B$12*Quesería!$B$13/12*$X$23,(($X$22*Quesería!$J$109+(1-$X$22)*Quesería!$E$105)+($X$22*Quesería!$J$92+(1-$X$22)*Quesería!$E$92)*(D994-1))*IF(D$43=1,Quesería!$B$12,1))*$X$10</f>
        <v>182.947525850489</v>
      </c>
      <c r="E999" s="35" t="n">
        <f aca="false">IF(E$43=0,($X$22*Quesería!$J$109+(1-$X$22)*Quesería!$E$105)*Quesería!$B$12*Quesería!$B$13/12*$X$23,(($X$22*Quesería!$J$109+(1-$X$22)*Quesería!$E$105)+($X$22*Quesería!$J$92+(1-$X$22)*Quesería!$E$92)*(E994-1))*IF(E$43=1,Quesería!$B$12,1))*$X$10</f>
        <v>183.008316015537</v>
      </c>
      <c r="F999" s="35" t="n">
        <f aca="false">IF(F$43=0,($X$22*Quesería!$J$109+(1-$X$22)*Quesería!$E$105)*Quesería!$B$12*Quesería!$B$13/12*$X$23,(($X$22*Quesería!$J$109+(1-$X$22)*Quesería!$E$105)+($X$22*Quesería!$J$92+(1-$X$22)*Quesería!$E$92)*(F994-1))*IF(F$43=1,Quesería!$B$12,1))*$X$10</f>
        <v>183.069410131409</v>
      </c>
      <c r="G999" s="35" t="n">
        <f aca="false">IF(G$43=0,($X$22*Quesería!$J$109+(1-$X$22)*Quesería!$E$105)*Quesería!$B$12*Quesería!$B$13/12*$X$23,(($X$22*Quesería!$J$109+(1-$X$22)*Quesería!$E$105)+($X$22*Quesería!$J$92+(1-$X$22)*Quesería!$E$92)*(G994-1))*IF(G$43=1,Quesería!$B$12,1))*$X$10</f>
        <v>183.130809717861</v>
      </c>
      <c r="H999" s="35" t="n">
        <f aca="false">IF(H$43=0,($X$22*Quesería!$J$109+(1-$X$22)*Quesería!$E$105)*Quesería!$B$12*Quesería!$B$13/12*$X$23,(($X$22*Quesería!$J$109+(1-$X$22)*Quesería!$E$105)+($X$22*Quesería!$J$92+(1-$X$22)*Quesería!$E$92)*(H994-1))*IF(H$43=1,Quesería!$B$12,1))*$X$10</f>
        <v>183.192516302245</v>
      </c>
      <c r="I999" s="35" t="n">
        <f aca="false">IF(I$43=0,($X$22*Quesería!$J$109+(1-$X$22)*Quesería!$E$105)*Quesería!$B$12*Quesería!$B$13/12*$X$23,(($X$22*Quesería!$J$109+(1-$X$22)*Quesería!$E$105)+($X$22*Quesería!$J$92+(1-$X$22)*Quesería!$E$92)*(I994-1))*IF(I$43=1,Quesería!$B$12,1))*$X$10</f>
        <v>183.254531419551</v>
      </c>
      <c r="J999" s="35" t="n">
        <f aca="false">IF(J$43=0,($X$22*Quesería!$J$109+(1-$X$22)*Quesería!$E$105)*Quesería!$B$12*Quesería!$B$13/12*$X$23,(($X$22*Quesería!$J$109+(1-$X$22)*Quesería!$E$105)+($X$22*Quesería!$J$92+(1-$X$22)*Quesería!$E$92)*(J994-1))*IF(J$43=1,Quesería!$B$12,1))*$X$10</f>
        <v>183.316856612443</v>
      </c>
      <c r="K999" s="35" t="n">
        <f aca="false">IF(K$43=0,($X$22*Quesería!$J$109+(1-$X$22)*Quesería!$E$105)*Quesería!$B$12*Quesería!$B$13/12*$X$23,(($X$22*Quesería!$J$109+(1-$X$22)*Quesería!$E$105)+($X$22*Quesería!$J$92+(1-$X$22)*Quesería!$E$92)*(K994-1))*IF(K$43=1,Quesería!$B$12,1))*$X$10</f>
        <v>183.3794934313</v>
      </c>
      <c r="L999" s="35" t="n">
        <f aca="false">IF(L$43=0,($X$22*Quesería!$J$109+(1-$X$22)*Quesería!$E$105)*Quesería!$B$12*Quesería!$B$13/12*$X$23,(($X$22*Quesería!$J$109+(1-$X$22)*Quesería!$E$105)+($X$22*Quesería!$J$92+(1-$X$22)*Quesería!$E$92)*(L994-1))*IF(L$43=1,Quesería!$B$12,1))*$X$10</f>
        <v>183.442443434251</v>
      </c>
    </row>
    <row r="1000" customFormat="false" ht="15" hidden="false" customHeight="false" outlineLevel="0" collapsed="false">
      <c r="A1000" s="6" t="s">
        <v>261</v>
      </c>
      <c r="B1000" s="35" t="n">
        <f aca="false">IF(B$43&lt;=1,0,((($X$22*Quesería!$J$110+(1-$X$22)*Quesería!$E$106)-($X$22*Quesería!$J$99+(1-$X$22)*Quesería!$E$99)+$X$6*($X$22*Quesería!$J$99+(1-$X$22)*Quesería!$E$99)-(1-$X$9)*($X$22*Quesería!$J$102+(1-$X$22)*Quesería!$E$102))+($X$6*($X$22*Quesería!$J$99+(1-$X$22)*Quesería!$E$99)+$X$9*($X$22*Quesería!$J$102+(1-$X$22)*Quesería!$E$102))*(B994-1))*IF(B$43=2,Quesería!$B$12,1)+IF(B$43=2,Quesería!$B$14*$X$9*($X$22*Quesería!$J$102+(1-$X$22)*Quesería!$E$102)*B994,0))*$X$10*$X$21</f>
        <v>0</v>
      </c>
      <c r="C1000" s="35" t="n">
        <f aca="false">IF(C$43&lt;=1,0,((($X$22*Quesería!$J$110+(1-$X$22)*Quesería!$E$106)-($X$22*Quesería!$J$99+(1-$X$22)*Quesería!$E$99)+$X$6*($X$22*Quesería!$J$99+(1-$X$22)*Quesería!$E$99)-(1-$X$9)*($X$22*Quesería!$J$102+(1-$X$22)*Quesería!$E$102))+($X$6*($X$22*Quesería!$J$99+(1-$X$22)*Quesería!$E$99)+$X$9*($X$22*Quesería!$J$102+(1-$X$22)*Quesería!$E$102))*(C994-1))*IF(C$43=2,Quesería!$B$12,1)+IF(C$43=2,Quesería!$B$14*$X$9*($X$22*Quesería!$J$102+(1-$X$22)*Quesería!$E$102)*C994,0))*$X$10*$X$21</f>
        <v>0</v>
      </c>
      <c r="D1000" s="35" t="n">
        <f aca="false">IF(D$43&lt;=1,0,((($X$22*Quesería!$J$110+(1-$X$22)*Quesería!$E$106)-($X$22*Quesería!$J$99+(1-$X$22)*Quesería!$E$99)+$X$6*($X$22*Quesería!$J$99+(1-$X$22)*Quesería!$E$99)-(1-$X$9)*($X$22*Quesería!$J$102+(1-$X$22)*Quesería!$E$102))+($X$6*($X$22*Quesería!$J$99+(1-$X$22)*Quesería!$E$99)+$X$9*($X$22*Quesería!$J$102+(1-$X$22)*Quesería!$E$102))*(D994-1))*IF(D$43=2,Quesería!$B$12,1)+IF(D$43=2,Quesería!$B$14*$X$9*($X$22*Quesería!$J$102+(1-$X$22)*Quesería!$E$102)*D994,0))*$X$10*$X$21</f>
        <v>197.837804186257</v>
      </c>
      <c r="E1000" s="35" t="n">
        <f aca="false">IF(E$43&lt;=1,0,((($X$22*Quesería!$J$110+(1-$X$22)*Quesería!$E$106)-($X$22*Quesería!$J$99+(1-$X$22)*Quesería!$E$99)+$X$6*($X$22*Quesería!$J$99+(1-$X$22)*Quesería!$E$99)-(1-$X$9)*($X$22*Quesería!$J$102+(1-$X$22)*Quesería!$E$102))+($X$6*($X$22*Quesería!$J$99+(1-$X$22)*Quesería!$E$99)+$X$9*($X$22*Quesería!$J$102+(1-$X$22)*Quesería!$E$102))*(E994-1))*IF(E$43=2,Quesería!$B$12,1)+IF(E$43=2,Quesería!$B$14*$X$9*($X$22*Quesería!$J$102+(1-$X$22)*Quesería!$E$102)*E994,0))*$X$10*$X$21</f>
        <v>234.441939047038</v>
      </c>
      <c r="F1000" s="35" t="n">
        <f aca="false">IF(F$43&lt;=1,0,((($X$22*Quesería!$J$110+(1-$X$22)*Quesería!$E$106)-($X$22*Quesería!$J$99+(1-$X$22)*Quesería!$E$99)+$X$6*($X$22*Quesería!$J$99+(1-$X$22)*Quesería!$E$99)-(1-$X$9)*($X$22*Quesería!$J$102+(1-$X$22)*Quesería!$E$102))+($X$6*($X$22*Quesería!$J$99+(1-$X$22)*Quesería!$E$99)+$X$9*($X$22*Quesería!$J$102+(1-$X$22)*Quesería!$E$102))*(F994-1))*IF(F$43=2,Quesería!$B$12,1)+IF(F$43=2,Quesería!$B$14*$X$9*($X$22*Quesería!$J$102+(1-$X$22)*Quesería!$E$102)*F994,0))*$X$10*$X$21</f>
        <v>234.877078770292</v>
      </c>
      <c r="G1000" s="35" t="n">
        <f aca="false">IF(G$43&lt;=1,0,((($X$22*Quesería!$J$110+(1-$X$22)*Quesería!$E$106)-($X$22*Quesería!$J$99+(1-$X$22)*Quesería!$E$99)+$X$6*($X$22*Quesería!$J$99+(1-$X$22)*Quesería!$E$99)-(1-$X$9)*($X$22*Quesería!$J$102+(1-$X$22)*Quesería!$E$102))+($X$6*($X$22*Quesería!$J$99+(1-$X$22)*Quesería!$E$99)+$X$9*($X$22*Quesería!$J$102+(1-$X$22)*Quesería!$E$102))*(G994-1))*IF(G$43=2,Quesería!$B$12,1)+IF(G$43=2,Quesería!$B$14*$X$9*($X$22*Quesería!$J$102+(1-$X$22)*Quesería!$E$102)*G994,0))*$X$10*$X$21</f>
        <v>235.314394192163</v>
      </c>
      <c r="H1000" s="35" t="n">
        <f aca="false">IF(H$43&lt;=1,0,((($X$22*Quesería!$J$110+(1-$X$22)*Quesería!$E$106)-($X$22*Quesería!$J$99+(1-$X$22)*Quesería!$E$99)+$X$6*($X$22*Quesería!$J$99+(1-$X$22)*Quesería!$E$99)-(1-$X$9)*($X$22*Quesería!$J$102+(1-$X$22)*Quesería!$E$102))+($X$6*($X$22*Quesería!$J$99+(1-$X$22)*Quesería!$E$99)+$X$9*($X$22*Quesería!$J$102+(1-$X$22)*Quesería!$E$102))*(H994-1))*IF(H$43=2,Quesería!$B$12,1)+IF(H$43=2,Quesería!$B$14*$X$9*($X$22*Quesería!$J$102+(1-$X$22)*Quesería!$E$102)*H994,0))*$X$10*$X$21</f>
        <v>235.753896191143</v>
      </c>
      <c r="I1000" s="35" t="n">
        <f aca="false">IF(I$43&lt;=1,0,((($X$22*Quesería!$J$110+(1-$X$22)*Quesería!$E$106)-($X$22*Quesería!$J$99+(1-$X$22)*Quesería!$E$99)+$X$6*($X$22*Quesería!$J$99+(1-$X$22)*Quesería!$E$99)-(1-$X$9)*($X$22*Quesería!$J$102+(1-$X$22)*Quesería!$E$102))+($X$6*($X$22*Quesería!$J$99+(1-$X$22)*Quesería!$E$99)+$X$9*($X$22*Quesería!$J$102+(1-$X$22)*Quesería!$E$102))*(I994-1))*IF(I$43=2,Quesería!$B$12,1)+IF(I$43=2,Quesería!$B$14*$X$9*($X$22*Quesería!$J$102+(1-$X$22)*Quesería!$E$102)*I994,0))*$X$10*$X$21</f>
        <v>236.195595700118</v>
      </c>
      <c r="J1000" s="35" t="n">
        <f aca="false">IF(J$43&lt;=1,0,((($X$22*Quesería!$J$110+(1-$X$22)*Quesería!$E$106)-($X$22*Quesería!$J$99+(1-$X$22)*Quesería!$E$99)+$X$6*($X$22*Quesería!$J$99+(1-$X$22)*Quesería!$E$99)-(1-$X$9)*($X$22*Quesería!$J$102+(1-$X$22)*Quesería!$E$102))+($X$6*($X$22*Quesería!$J$99+(1-$X$22)*Quesería!$E$99)+$X$9*($X$22*Quesería!$J$102+(1-$X$22)*Quesería!$E$102))*(J994-1))*IF(J$43=2,Quesería!$B$12,1)+IF(J$43=2,Quesería!$B$14*$X$9*($X$22*Quesería!$J$102+(1-$X$22)*Quesería!$E$102)*J994,0))*$X$10*$X$21</f>
        <v>236.639503706638</v>
      </c>
      <c r="K1000" s="35" t="n">
        <f aca="false">IF(K$43&lt;=1,0,((($X$22*Quesería!$J$110+(1-$X$22)*Quesería!$E$106)-($X$22*Quesería!$J$99+(1-$X$22)*Quesería!$E$99)+$X$6*($X$22*Quesería!$J$99+(1-$X$22)*Quesería!$E$99)-(1-$X$9)*($X$22*Quesería!$J$102+(1-$X$22)*Quesería!$E$102))+($X$6*($X$22*Quesería!$J$99+(1-$X$22)*Quesería!$E$99)+$X$9*($X$22*Quesería!$J$102+(1-$X$22)*Quesería!$E$102))*(K994-1))*IF(K$43=2,Quesería!$B$12,1)+IF(K$43=2,Quesería!$B$14*$X$9*($X$22*Quesería!$J$102+(1-$X$22)*Quesería!$E$102)*K994,0))*$X$10*$X$21</f>
        <v>237.08563125319</v>
      </c>
      <c r="L1000" s="35" t="n">
        <f aca="false">IF(L$43&lt;=1,0,((($X$22*Quesería!$J$110+(1-$X$22)*Quesería!$E$106)-($X$22*Quesería!$J$99+(1-$X$22)*Quesería!$E$99)+$X$6*($X$22*Quesería!$J$99+(1-$X$22)*Quesería!$E$99)-(1-$X$9)*($X$22*Quesería!$J$102+(1-$X$22)*Quesería!$E$102))+($X$6*($X$22*Quesería!$J$99+(1-$X$22)*Quesería!$E$99)+$X$9*($X$22*Quesería!$J$102+(1-$X$22)*Quesería!$E$102))*(L994-1))*IF(L$43=2,Quesería!$B$12,1)+IF(L$43=2,Quesería!$B$14*$X$9*($X$22*Quesería!$J$102+(1-$X$22)*Quesería!$E$102)*L994,0))*$X$10*$X$21</f>
        <v>237.533989437476</v>
      </c>
    </row>
    <row r="1001" customFormat="false" ht="15" hidden="false" customHeight="false" outlineLevel="0" collapsed="false">
      <c r="A1001" s="5" t="s">
        <v>287</v>
      </c>
      <c r="B1001" s="10" t="n">
        <f aca="false">B999+B1000</f>
        <v>45.6373732102639</v>
      </c>
      <c r="C1001" s="10" t="n">
        <f aca="false">C999+C1000</f>
        <v>137.165278593056</v>
      </c>
      <c r="D1001" s="10" t="n">
        <f aca="false">D999+D1000</f>
        <v>380.785330036747</v>
      </c>
      <c r="E1001" s="10" t="n">
        <f aca="false">E999+E1000</f>
        <v>417.450255062574</v>
      </c>
      <c r="F1001" s="10" t="n">
        <f aca="false">F999+F1000</f>
        <v>417.946488901701</v>
      </c>
      <c r="G1001" s="10" t="n">
        <f aca="false">G999+G1000</f>
        <v>418.445203910024</v>
      </c>
      <c r="H1001" s="10" t="n">
        <f aca="false">H999+H1000</f>
        <v>418.946412493388</v>
      </c>
      <c r="I1001" s="10" t="n">
        <f aca="false">I999+I1000</f>
        <v>419.450127119669</v>
      </c>
      <c r="J1001" s="10" t="n">
        <f aca="false">J999+J1000</f>
        <v>419.956360319081</v>
      </c>
      <c r="K1001" s="10" t="n">
        <f aca="false">K999+K1000</f>
        <v>420.465124684491</v>
      </c>
      <c r="L1001" s="10" t="n">
        <f aca="false">L999+L1000</f>
        <v>420.976432871727</v>
      </c>
    </row>
    <row r="1002" customFormat="false" ht="15" hidden="false" customHeight="false" outlineLevel="0" collapsed="false">
      <c r="A1002" s="6" t="s">
        <v>288</v>
      </c>
      <c r="B1002" s="35" t="n">
        <f aca="false">(IF(B$43&gt;=1,(Quesería!$B$21+Quesería!$B$54)*Quesería!$F$82*$X$11+Quesería!$B$22+'Beneficios y costos'!$B$118,0)+IF(B$43&gt;=2,((Quesería!$B$21+Quesería!$B$54)*Quesería!$F$83*$X$11+'Beneficios y costos'!$C$118)*$X$21,0))*$X$12</f>
        <v>0</v>
      </c>
      <c r="C1002" s="35" t="n">
        <f aca="false">(IF(C$43&gt;=1,(Quesería!$B$21+Quesería!$B$54)*Quesería!$F$82*$X$11+Quesería!$B$22+'Beneficios y costos'!$B$118,0)+IF(C$43&gt;=2,((Quesería!$B$21+Quesería!$B$54)*Quesería!$F$83*$X$11+'Beneficios y costos'!$C$118)*$X$21,0))*$X$12</f>
        <v>36.8921528634167</v>
      </c>
      <c r="D1002" s="35" t="n">
        <f aca="false">(IF(D$43&gt;=1,(Quesería!$B$21+Quesería!$B$54)*Quesería!$F$82*$X$11+Quesería!$B$22+'Beneficios y costos'!$B$118,0)+IF(D$43&gt;=2,((Quesería!$B$21+Quesería!$B$54)*Quesería!$F$83*$X$11+'Beneficios y costos'!$C$118)*$X$21,0))*$X$12</f>
        <v>88.8065043646377</v>
      </c>
      <c r="E1002" s="35" t="n">
        <f aca="false">(IF(E$43&gt;=1,(Quesería!$B$21+Quesería!$B$54)*Quesería!$F$82*$X$11+Quesería!$B$22+'Beneficios y costos'!$B$118,0)+IF(E$43&gt;=2,((Quesería!$B$21+Quesería!$B$54)*Quesería!$F$83*$X$11+'Beneficios y costos'!$C$118)*$X$21,0))*$X$12</f>
        <v>88.8065043646377</v>
      </c>
      <c r="F1002" s="35" t="n">
        <f aca="false">(IF(F$43&gt;=1,(Quesería!$B$21+Quesería!$B$54)*Quesería!$F$82*$X$11+Quesería!$B$22+'Beneficios y costos'!$B$118,0)+IF(F$43&gt;=2,((Quesería!$B$21+Quesería!$B$54)*Quesería!$F$83*$X$11+'Beneficios y costos'!$C$118)*$X$21,0))*$X$12</f>
        <v>88.8065043646377</v>
      </c>
      <c r="G1002" s="35" t="n">
        <f aca="false">(IF(G$43&gt;=1,(Quesería!$B$21+Quesería!$B$54)*Quesería!$F$82*$X$11+Quesería!$B$22+'Beneficios y costos'!$B$118,0)+IF(G$43&gt;=2,((Quesería!$B$21+Quesería!$B$54)*Quesería!$F$83*$X$11+'Beneficios y costos'!$C$118)*$X$21,0))*$X$12</f>
        <v>88.8065043646377</v>
      </c>
      <c r="H1002" s="35" t="n">
        <f aca="false">(IF(H$43&gt;=1,(Quesería!$B$21+Quesería!$B$54)*Quesería!$F$82*$X$11+Quesería!$B$22+'Beneficios y costos'!$B$118,0)+IF(H$43&gt;=2,((Quesería!$B$21+Quesería!$B$54)*Quesería!$F$83*$X$11+'Beneficios y costos'!$C$118)*$X$21,0))*$X$12</f>
        <v>88.8065043646377</v>
      </c>
      <c r="I1002" s="35" t="n">
        <f aca="false">(IF(I$43&gt;=1,(Quesería!$B$21+Quesería!$B$54)*Quesería!$F$82*$X$11+Quesería!$B$22+'Beneficios y costos'!$B$118,0)+IF(I$43&gt;=2,((Quesería!$B$21+Quesería!$B$54)*Quesería!$F$83*$X$11+'Beneficios y costos'!$C$118)*$X$21,0))*$X$12</f>
        <v>88.8065043646377</v>
      </c>
      <c r="J1002" s="35" t="n">
        <f aca="false">(IF(J$43&gt;=1,(Quesería!$B$21+Quesería!$B$54)*Quesería!$F$82*$X$11+Quesería!$B$22+'Beneficios y costos'!$B$118,0)+IF(J$43&gt;=2,((Quesería!$B$21+Quesería!$B$54)*Quesería!$F$83*$X$11+'Beneficios y costos'!$C$118)*$X$21,0))*$X$12</f>
        <v>88.8065043646377</v>
      </c>
      <c r="K1002" s="35" t="n">
        <f aca="false">(IF(K$43&gt;=1,(Quesería!$B$21+Quesería!$B$54)*Quesería!$F$82*$X$11+Quesería!$B$22+'Beneficios y costos'!$B$118,0)+IF(K$43&gt;=2,((Quesería!$B$21+Quesería!$B$54)*Quesería!$F$83*$X$11+'Beneficios y costos'!$C$118)*$X$21,0))*$X$12</f>
        <v>88.8065043646377</v>
      </c>
      <c r="L1002" s="35" t="n">
        <f aca="false">(IF(L$43&gt;=1,(Quesería!$B$21+Quesería!$B$54)*Quesería!$F$82*$X$11+Quesería!$B$22+'Beneficios y costos'!$B$118,0)+IF(L$43&gt;=2,((Quesería!$B$21+Quesería!$B$54)*Quesería!$F$83*$X$11+'Beneficios y costos'!$C$118)*$X$21,0))*$X$12</f>
        <v>88.8065043646377</v>
      </c>
    </row>
    <row r="1003" customFormat="false" ht="15" hidden="false" customHeight="false" outlineLevel="0" collapsed="false">
      <c r="A1003" s="6" t="s">
        <v>289</v>
      </c>
      <c r="B1003" s="35" t="n">
        <f aca="false">IF(B$43=1,2*Quesería!$B$33*Quesería!$B$34/12*B994,0)*$X$21</f>
        <v>0</v>
      </c>
      <c r="C1003" s="35" t="n">
        <f aca="false">IF(C$43=1,2*Quesería!$B$33*Quesería!$B$34/12*C994,0)*$X$21</f>
        <v>18.5166509433962</v>
      </c>
      <c r="D1003" s="35" t="n">
        <f aca="false">IF(D$43=1,2*Quesería!$B$33*Quesería!$B$34/12*D994,0)*$X$21</f>
        <v>0</v>
      </c>
      <c r="E1003" s="35" t="n">
        <f aca="false">IF(E$43=1,2*Quesería!$B$33*Quesería!$B$34/12*E994,0)*$X$21</f>
        <v>0</v>
      </c>
      <c r="F1003" s="35" t="n">
        <f aca="false">IF(F$43=1,2*Quesería!$B$33*Quesería!$B$34/12*F994,0)*$X$21</f>
        <v>0</v>
      </c>
      <c r="G1003" s="35" t="n">
        <f aca="false">IF(G$43=1,2*Quesería!$B$33*Quesería!$B$34/12*G994,0)*$X$21</f>
        <v>0</v>
      </c>
      <c r="H1003" s="35" t="n">
        <f aca="false">IF(H$43=1,2*Quesería!$B$33*Quesería!$B$34/12*H994,0)*$X$21</f>
        <v>0</v>
      </c>
      <c r="I1003" s="35" t="n">
        <f aca="false">IF(I$43=1,2*Quesería!$B$33*Quesería!$B$34/12*I994,0)*$X$21</f>
        <v>0</v>
      </c>
      <c r="J1003" s="35" t="n">
        <f aca="false">IF(J$43=1,2*Quesería!$B$33*Quesería!$B$34/12*J994,0)*$X$21</f>
        <v>0</v>
      </c>
      <c r="K1003" s="35" t="n">
        <f aca="false">IF(K$43=1,2*Quesería!$B$33*Quesería!$B$34/12*K994,0)*$X$21</f>
        <v>0</v>
      </c>
      <c r="L1003" s="35" t="n">
        <f aca="false">IF(L$43=1,2*Quesería!$B$33*Quesería!$B$34/12*L994,0)*$X$21</f>
        <v>0</v>
      </c>
    </row>
    <row r="1004" customFormat="false" ht="15" hidden="false" customHeight="false" outlineLevel="0" collapsed="false">
      <c r="A1004" s="6" t="s">
        <v>290</v>
      </c>
      <c r="B1004" s="35" t="n">
        <f aca="false">Quesería!$B$45*(B996+B997+B998+B1002+B1003)</f>
        <v>2.88636599924197</v>
      </c>
      <c r="C1004" s="35" t="n">
        <f aca="false">Quesería!$B$45*(C996+C997+C998+C1002+C1003)</f>
        <v>3.29312083686149</v>
      </c>
      <c r="D1004" s="35" t="n">
        <f aca="false">Quesería!$B$45*(D996+D997+D998+D1002+D1003)</f>
        <v>0.355226017458551</v>
      </c>
      <c r="E1004" s="35" t="n">
        <f aca="false">Quesería!$B$45*(E996+E997+E998+E1002+E1003)</f>
        <v>0.355226017458551</v>
      </c>
      <c r="F1004" s="35" t="n">
        <f aca="false">Quesería!$B$45*(F996+F997+F998+F1002+F1003)</f>
        <v>0.355226017458551</v>
      </c>
      <c r="G1004" s="35" t="n">
        <f aca="false">Quesería!$B$45*(G996+G997+G998+G1002+G1003)</f>
        <v>0.482159350791884</v>
      </c>
      <c r="H1004" s="35" t="n">
        <f aca="false">Quesería!$B$45*(H996+H997+H998+H1002+H1003)</f>
        <v>0.523275690008284</v>
      </c>
      <c r="I1004" s="35" t="n">
        <f aca="false">Quesería!$B$45*(I996+I997+I998+I1002+I1003)</f>
        <v>0.355226017458551</v>
      </c>
      <c r="J1004" s="35" t="n">
        <f aca="false">Quesería!$B$45*(J996+J997+J998+J1002+J1003)</f>
        <v>0.355226017458551</v>
      </c>
      <c r="K1004" s="35" t="n">
        <f aca="false">Quesería!$B$45*(K996+K997+K998+K1002+K1003)</f>
        <v>0.355226017458551</v>
      </c>
      <c r="L1004" s="35" t="n">
        <f aca="false">Quesería!$B$45*(L996+L997+L998+L1002+L1003)</f>
        <v>0.355226017458551</v>
      </c>
    </row>
    <row r="1005" customFormat="false" ht="15" hidden="false" customHeight="false" outlineLevel="0" collapsed="false">
      <c r="A1005" s="6" t="s">
        <v>291</v>
      </c>
      <c r="B1005" s="35" t="n">
        <f aca="false">(IF($X$19=1,(SUMPRODUCT((Quesería!$C$62:$C$77=0)*(Quesería!$J$62:$J$77&gt;0)*(B$43&gt;=1)*(B$43&lt;=Quesería!$J$62:$J$77)*(Quesería!$H$62:$H$77&gt;0)*Quesería!$F$62:$F$77*(1+Quesería!$I$62:$I$77)/(Quesería!$J$62:$J$77+(Quesería!$J$62:$J$77=0)))+SUMPRODUCT((Quesería!$C$62:$C$77=0)*(Quesería!$J$62:$J$77=0)*(B$43=0)*(Quesería!$H$62:$H$77&gt;0)*Quesería!$F$62:$F$77*(1+Quesería!$I$62:$I$77)))*$B$993+(SUMPRODUCT((Quesería!$C$62:$C$77=1)*(Quesería!$J$62:$J$77&gt;0)*(B$43&gt;=2)*(B$43&lt;=Quesería!$J$62:$J$77+1)*(Quesería!$H$62:$H$77&gt;0)*Quesería!$F$62:$F$77*(1+Quesería!$I$62:$I$77)/(Quesería!$J$62:$J$77+(Quesería!$J$62:$J$77=0)))+SUMPRODUCT((Quesería!$C$62:$C$77=1)*(Quesería!$J$62:$J$77=0)*(B$43=1)*(Quesería!$H$62:$H$77&gt;0)*Quesería!$F$62:$F$77*(1+Quesería!$I$62:$I$77)))*$C$993*$X$21,IF(AND(B$43&gt;=1,B$43&lt;=Quesería!$B$11),Quesería!$F$80/Quesería!$B$11,0)*$B$993+IF(AND(B$43&gt;=2,B$43&lt;=Quesería!$B$11+1),Quesería!$F$81/Quesería!$B$11,0)*$C$993*$X$21)*$X$11+IF(AND(B$43&gt;=6,B$43&lt;=10),$G997*$G993/5,0)+IF(AND(B$43&gt;=7,B$43&lt;=11),$H997*$H993/5,0))*B995</f>
        <v>0</v>
      </c>
      <c r="C1005" s="35" t="n">
        <f aca="false">(IF($X$19=1,(SUMPRODUCT((Quesería!$C$62:$C$77=0)*(Quesería!$J$62:$J$77&gt;0)*(C$43&gt;=1)*(C$43&lt;=Quesería!$J$62:$J$77)*(Quesería!$H$62:$H$77&gt;0)*Quesería!$F$62:$F$77*(1+Quesería!$I$62:$I$77)/(Quesería!$J$62:$J$77+(Quesería!$J$62:$J$77=0)))+SUMPRODUCT((Quesería!$C$62:$C$77=0)*(Quesería!$J$62:$J$77=0)*(C$43=0)*(Quesería!$H$62:$H$77&gt;0)*Quesería!$F$62:$F$77*(1+Quesería!$I$62:$I$77)))*$B$993+(SUMPRODUCT((Quesería!$C$62:$C$77=1)*(Quesería!$J$62:$J$77&gt;0)*(C$43&gt;=2)*(C$43&lt;=Quesería!$J$62:$J$77+1)*(Quesería!$H$62:$H$77&gt;0)*Quesería!$F$62:$F$77*(1+Quesería!$I$62:$I$77)/(Quesería!$J$62:$J$77+(Quesería!$J$62:$J$77=0)))+SUMPRODUCT((Quesería!$C$62:$C$77=1)*(Quesería!$J$62:$J$77=0)*(C$43=1)*(Quesería!$H$62:$H$77&gt;0)*Quesería!$F$62:$F$77*(1+Quesería!$I$62:$I$77)))*$C$993*$X$21,IF(AND(C$43&gt;=1,C$43&lt;=Quesería!$B$11),Quesería!$F$80/Quesería!$B$11,0)*$B$993+IF(AND(C$43&gt;=2,C$43&lt;=Quesería!$B$11+1),Quesería!$F$81/Quesería!$B$11,0)*$C$993*$X$21)*$X$11+IF(AND(C$43&gt;=6,C$43&lt;=10),$G997*$G993/5,0)+IF(AND(C$43&gt;=7,C$43&lt;=11),$H997*$H993/5,0))*C995</f>
        <v>59.2612975545143</v>
      </c>
      <c r="D1005" s="35" t="n">
        <f aca="false">(IF($X$19=1,(SUMPRODUCT((Quesería!$C$62:$C$77=0)*(Quesería!$J$62:$J$77&gt;0)*(D$43&gt;=1)*(D$43&lt;=Quesería!$J$62:$J$77)*(Quesería!$H$62:$H$77&gt;0)*Quesería!$F$62:$F$77*(1+Quesería!$I$62:$I$77)/(Quesería!$J$62:$J$77+(Quesería!$J$62:$J$77=0)))+SUMPRODUCT((Quesería!$C$62:$C$77=0)*(Quesería!$J$62:$J$77=0)*(D$43=0)*(Quesería!$H$62:$H$77&gt;0)*Quesería!$F$62:$F$77*(1+Quesería!$I$62:$I$77)))*$B$993+(SUMPRODUCT((Quesería!$C$62:$C$77=1)*(Quesería!$J$62:$J$77&gt;0)*(D$43&gt;=2)*(D$43&lt;=Quesería!$J$62:$J$77+1)*(Quesería!$H$62:$H$77&gt;0)*Quesería!$F$62:$F$77*(1+Quesería!$I$62:$I$77)/(Quesería!$J$62:$J$77+(Quesería!$J$62:$J$77=0)))+SUMPRODUCT((Quesería!$C$62:$C$77=1)*(Quesería!$J$62:$J$77=0)*(D$43=1)*(Quesería!$H$62:$H$77&gt;0)*Quesería!$F$62:$F$77*(1+Quesería!$I$62:$I$77)))*$C$993*$X$21,IF(AND(D$43&gt;=1,D$43&lt;=Quesería!$B$11),Quesería!$F$80/Quesería!$B$11,0)*$B$993+IF(AND(D$43&gt;=2,D$43&lt;=Quesería!$B$11+1),Quesería!$F$81/Quesería!$B$11,0)*$C$993*$X$21)*$X$11+IF(AND(D$43&gt;=6,D$43&lt;=10),$G997*$G993/5,0)+IF(AND(D$43&gt;=7,D$43&lt;=11),$H997*$H993/5,0))*D995</f>
        <v>118.457709485528</v>
      </c>
      <c r="E1005" s="35" t="n">
        <f aca="false">(IF($X$19=1,(SUMPRODUCT((Quesería!$C$62:$C$77=0)*(Quesería!$J$62:$J$77&gt;0)*(E$43&gt;=1)*(E$43&lt;=Quesería!$J$62:$J$77)*(Quesería!$H$62:$H$77&gt;0)*Quesería!$F$62:$F$77*(1+Quesería!$I$62:$I$77)/(Quesería!$J$62:$J$77+(Quesería!$J$62:$J$77=0)))+SUMPRODUCT((Quesería!$C$62:$C$77=0)*(Quesería!$J$62:$J$77=0)*(E$43=0)*(Quesería!$H$62:$H$77&gt;0)*Quesería!$F$62:$F$77*(1+Quesería!$I$62:$I$77)))*$B$993+(SUMPRODUCT((Quesería!$C$62:$C$77=1)*(Quesería!$J$62:$J$77&gt;0)*(E$43&gt;=2)*(E$43&lt;=Quesería!$J$62:$J$77+1)*(Quesería!$H$62:$H$77&gt;0)*Quesería!$F$62:$F$77*(1+Quesería!$I$62:$I$77)/(Quesería!$J$62:$J$77+(Quesería!$J$62:$J$77=0)))+SUMPRODUCT((Quesería!$C$62:$C$77=1)*(Quesería!$J$62:$J$77=0)*(E$43=1)*(Quesería!$H$62:$H$77&gt;0)*Quesería!$F$62:$F$77*(1+Quesería!$I$62:$I$77)))*$C$993*$X$21,IF(AND(E$43&gt;=1,E$43&lt;=Quesería!$B$11),Quesería!$F$80/Quesería!$B$11,0)*$B$993+IF(AND(E$43&gt;=2,E$43&lt;=Quesería!$B$11+1),Quesería!$F$81/Quesería!$B$11,0)*$C$993*$X$21)*$X$11+IF(AND(E$43&gt;=6,E$43&lt;=10),$G997*$G993/5,0)+IF(AND(E$43&gt;=7,E$43&lt;=11),$H997*$H993/5,0))*E995</f>
        <v>113.901643736084</v>
      </c>
      <c r="F1005" s="35" t="n">
        <f aca="false">(IF($X$19=1,(SUMPRODUCT((Quesería!$C$62:$C$77=0)*(Quesería!$J$62:$J$77&gt;0)*(F$43&gt;=1)*(F$43&lt;=Quesería!$J$62:$J$77)*(Quesería!$H$62:$H$77&gt;0)*Quesería!$F$62:$F$77*(1+Quesería!$I$62:$I$77)/(Quesería!$J$62:$J$77+(Quesería!$J$62:$J$77=0)))+SUMPRODUCT((Quesería!$C$62:$C$77=0)*(Quesería!$J$62:$J$77=0)*(F$43=0)*(Quesería!$H$62:$H$77&gt;0)*Quesería!$F$62:$F$77*(1+Quesería!$I$62:$I$77)))*$B$993+(SUMPRODUCT((Quesería!$C$62:$C$77=1)*(Quesería!$J$62:$J$77&gt;0)*(F$43&gt;=2)*(F$43&lt;=Quesería!$J$62:$J$77+1)*(Quesería!$H$62:$H$77&gt;0)*Quesería!$F$62:$F$77*(1+Quesería!$I$62:$I$77)/(Quesería!$J$62:$J$77+(Quesería!$J$62:$J$77=0)))+SUMPRODUCT((Quesería!$C$62:$C$77=1)*(Quesería!$J$62:$J$77=0)*(F$43=1)*(Quesería!$H$62:$H$77&gt;0)*Quesería!$F$62:$F$77*(1+Quesería!$I$62:$I$77)))*$C$993*$X$21,IF(AND(F$43&gt;=1,F$43&lt;=Quesería!$B$11),Quesería!$F$80/Quesería!$B$11,0)*$B$993+IF(AND(F$43&gt;=2,F$43&lt;=Quesería!$B$11+1),Quesería!$F$81/Quesería!$B$11,0)*$C$993*$X$21)*$X$11+IF(AND(F$43&gt;=6,F$43&lt;=10),$G997*$G993/5,0)+IF(AND(F$43&gt;=7,F$43&lt;=11),$H997*$H993/5,0))*F995</f>
        <v>109.520811284697</v>
      </c>
      <c r="G1005" s="35" t="n">
        <f aca="false">(IF($X$19=1,(SUMPRODUCT((Quesería!$C$62:$C$77=0)*(Quesería!$J$62:$J$77&gt;0)*(G$43&gt;=1)*(G$43&lt;=Quesería!$J$62:$J$77)*(Quesería!$H$62:$H$77&gt;0)*Quesería!$F$62:$F$77*(1+Quesería!$I$62:$I$77)/(Quesería!$J$62:$J$77+(Quesería!$J$62:$J$77=0)))+SUMPRODUCT((Quesería!$C$62:$C$77=0)*(Quesería!$J$62:$J$77=0)*(G$43=0)*(Quesería!$H$62:$H$77&gt;0)*Quesería!$F$62:$F$77*(1+Quesería!$I$62:$I$77)))*$B$993+(SUMPRODUCT((Quesería!$C$62:$C$77=1)*(Quesería!$J$62:$J$77&gt;0)*(G$43&gt;=2)*(G$43&lt;=Quesería!$J$62:$J$77+1)*(Quesería!$H$62:$H$77&gt;0)*Quesería!$F$62:$F$77*(1+Quesería!$I$62:$I$77)/(Quesería!$J$62:$J$77+(Quesería!$J$62:$J$77=0)))+SUMPRODUCT((Quesería!$C$62:$C$77=1)*(Quesería!$J$62:$J$77=0)*(G$43=1)*(Quesería!$H$62:$H$77&gt;0)*Quesería!$F$62:$F$77*(1+Quesería!$I$62:$I$77)))*$C$993*$X$21,IF(AND(G$43&gt;=1,G$43&lt;=Quesería!$B$11),Quesería!$F$80/Quesería!$B$11,0)*$B$993+IF(AND(G$43&gt;=2,G$43&lt;=Quesería!$B$11+1),Quesería!$F$81/Quesería!$B$11,0)*$C$993*$X$21)*$X$11+IF(AND(G$43&gt;=6,G$43&lt;=10),$G997*$G993/5,0)+IF(AND(G$43&gt;=7,G$43&lt;=11),$H997*$H993/5,0))*G995</f>
        <v>105.308472389131</v>
      </c>
      <c r="H1005" s="35" t="n">
        <f aca="false">(IF($X$19=1,(SUMPRODUCT((Quesería!$C$62:$C$77=0)*(Quesería!$J$62:$J$77&gt;0)*(H$43&gt;=1)*(H$43&lt;=Quesería!$J$62:$J$77)*(Quesería!$H$62:$H$77&gt;0)*Quesería!$F$62:$F$77*(1+Quesería!$I$62:$I$77)/(Quesería!$J$62:$J$77+(Quesería!$J$62:$J$77=0)))+SUMPRODUCT((Quesería!$C$62:$C$77=0)*(Quesería!$J$62:$J$77=0)*(H$43=0)*(Quesería!$H$62:$H$77&gt;0)*Quesería!$F$62:$F$77*(1+Quesería!$I$62:$I$77)))*$B$993+(SUMPRODUCT((Quesería!$C$62:$C$77=1)*(Quesería!$J$62:$J$77&gt;0)*(H$43&gt;=2)*(H$43&lt;=Quesería!$J$62:$J$77+1)*(Quesería!$H$62:$H$77&gt;0)*Quesería!$F$62:$F$77*(1+Quesería!$I$62:$I$77)/(Quesería!$J$62:$J$77+(Quesería!$J$62:$J$77=0)))+SUMPRODUCT((Quesería!$C$62:$C$77=1)*(Quesería!$J$62:$J$77=0)*(H$43=1)*(Quesería!$H$62:$H$77&gt;0)*Quesería!$F$62:$F$77*(1+Quesería!$I$62:$I$77)))*$C$993*$X$21,IF(AND(H$43&gt;=1,H$43&lt;=Quesería!$B$11),Quesería!$F$80/Quesería!$B$11,0)*$B$993+IF(AND(H$43&gt;=2,H$43&lt;=Quesería!$B$11+1),Quesería!$F$81/Quesería!$B$11,0)*$C$993*$X$21)*$X$11+IF(AND(H$43&gt;=6,H$43&lt;=10),$G997*$G993/5,0)+IF(AND(H$43&gt;=7,H$43&lt;=11),$H997*$H993/5,0))*H995</f>
        <v>106.386351656216</v>
      </c>
      <c r="I1005" s="35" t="n">
        <f aca="false">(IF($X$19=1,(SUMPRODUCT((Quesería!$C$62:$C$77=0)*(Quesería!$J$62:$J$77&gt;0)*(I$43&gt;=1)*(I$43&lt;=Quesería!$J$62:$J$77)*(Quesería!$H$62:$H$77&gt;0)*Quesería!$F$62:$F$77*(1+Quesería!$I$62:$I$77)/(Quesería!$J$62:$J$77+(Quesería!$J$62:$J$77=0)))+SUMPRODUCT((Quesería!$C$62:$C$77=0)*(Quesería!$J$62:$J$77=0)*(I$43=0)*(Quesería!$H$62:$H$77&gt;0)*Quesería!$F$62:$F$77*(1+Quesería!$I$62:$I$77)))*$B$993+(SUMPRODUCT((Quesería!$C$62:$C$77=1)*(Quesería!$J$62:$J$77&gt;0)*(I$43&gt;=2)*(I$43&lt;=Quesería!$J$62:$J$77+1)*(Quesería!$H$62:$H$77&gt;0)*Quesería!$F$62:$F$77*(1+Quesería!$I$62:$I$77)/(Quesería!$J$62:$J$77+(Quesería!$J$62:$J$77=0)))+SUMPRODUCT((Quesería!$C$62:$C$77=1)*(Quesería!$J$62:$J$77=0)*(I$43=1)*(Quesería!$H$62:$H$77&gt;0)*Quesería!$F$62:$F$77*(1+Quesería!$I$62:$I$77)))*$C$993*$X$21,IF(AND(I$43&gt;=1,I$43&lt;=Quesería!$B$11),Quesería!$F$80/Quesería!$B$11,0)*$B$993+IF(AND(I$43&gt;=2,I$43&lt;=Quesería!$B$11+1),Quesería!$F$81/Quesería!$B$11,0)*$C$993*$X$21)*$X$11+IF(AND(I$43&gt;=6,I$43&lt;=10),$G997*$G993/5,0)+IF(AND(I$43&gt;=7,I$43&lt;=11),$H997*$H993/5,0))*I995</f>
        <v>109.08390602649</v>
      </c>
      <c r="J1005" s="35" t="n">
        <f aca="false">(IF($X$19=1,(SUMPRODUCT((Quesería!$C$62:$C$77=0)*(Quesería!$J$62:$J$77&gt;0)*(J$43&gt;=1)*(J$43&lt;=Quesería!$J$62:$J$77)*(Quesería!$H$62:$H$77&gt;0)*Quesería!$F$62:$F$77*(1+Quesería!$I$62:$I$77)/(Quesería!$J$62:$J$77+(Quesería!$J$62:$J$77=0)))+SUMPRODUCT((Quesería!$C$62:$C$77=0)*(Quesería!$J$62:$J$77=0)*(J$43=0)*(Quesería!$H$62:$H$77&gt;0)*Quesería!$F$62:$F$77*(1+Quesería!$I$62:$I$77)))*$B$993+(SUMPRODUCT((Quesería!$C$62:$C$77=1)*(Quesería!$J$62:$J$77&gt;0)*(J$43&gt;=2)*(J$43&lt;=Quesería!$J$62:$J$77+1)*(Quesería!$H$62:$H$77&gt;0)*Quesería!$F$62:$F$77*(1+Quesería!$I$62:$I$77)/(Quesería!$J$62:$J$77+(Quesería!$J$62:$J$77=0)))+SUMPRODUCT((Quesería!$C$62:$C$77=1)*(Quesería!$J$62:$J$77=0)*(J$43=1)*(Quesería!$H$62:$H$77&gt;0)*Quesería!$F$62:$F$77*(1+Quesería!$I$62:$I$77)))*$C$993*$X$21,IF(AND(J$43&gt;=1,J$43&lt;=Quesería!$B$11),Quesería!$F$80/Quesería!$B$11,0)*$B$993+IF(AND(J$43&gt;=2,J$43&lt;=Quesería!$B$11+1),Quesería!$F$81/Quesería!$B$11,0)*$C$993*$X$21)*$X$11+IF(AND(J$43&gt;=6,J$43&lt;=10),$G997*$G993/5,0)+IF(AND(J$43&gt;=7,J$43&lt;=11),$H997*$H993/5,0))*J995</f>
        <v>104.888371179317</v>
      </c>
      <c r="K1005" s="35" t="n">
        <f aca="false">(IF($X$19=1,(SUMPRODUCT((Quesería!$C$62:$C$77=0)*(Quesería!$J$62:$J$77&gt;0)*(K$43&gt;=1)*(K$43&lt;=Quesería!$J$62:$J$77)*(Quesería!$H$62:$H$77&gt;0)*Quesería!$F$62:$F$77*(1+Quesería!$I$62:$I$77)/(Quesería!$J$62:$J$77+(Quesería!$J$62:$J$77=0)))+SUMPRODUCT((Quesería!$C$62:$C$77=0)*(Quesería!$J$62:$J$77=0)*(K$43=0)*(Quesería!$H$62:$H$77&gt;0)*Quesería!$F$62:$F$77*(1+Quesería!$I$62:$I$77)))*$B$993+(SUMPRODUCT((Quesería!$C$62:$C$77=1)*(Quesería!$J$62:$J$77&gt;0)*(K$43&gt;=2)*(K$43&lt;=Quesería!$J$62:$J$77+1)*(Quesería!$H$62:$H$77&gt;0)*Quesería!$F$62:$F$77*(1+Quesería!$I$62:$I$77)/(Quesería!$J$62:$J$77+(Quesería!$J$62:$J$77=0)))+SUMPRODUCT((Quesería!$C$62:$C$77=1)*(Quesería!$J$62:$J$77=0)*(K$43=1)*(Quesería!$H$62:$H$77&gt;0)*Quesería!$F$62:$F$77*(1+Quesería!$I$62:$I$77)))*$C$993*$X$21,IF(AND(K$43&gt;=1,K$43&lt;=Quesería!$B$11),Quesería!$F$80/Quesería!$B$11,0)*$B$993+IF(AND(K$43&gt;=2,K$43&lt;=Quesería!$B$11+1),Quesería!$F$81/Quesería!$B$11,0)*$C$993*$X$21)*$X$11+IF(AND(K$43&gt;=6,K$43&lt;=10),$G997*$G993/5,0)+IF(AND(K$43&gt;=7,K$43&lt;=11),$H997*$H993/5,0))*K995</f>
        <v>100.854203057036</v>
      </c>
      <c r="L1005" s="35" t="n">
        <f aca="false">(IF($X$19=1,(SUMPRODUCT((Quesería!$C$62:$C$77=0)*(Quesería!$J$62:$J$77&gt;0)*(L$43&gt;=1)*(L$43&lt;=Quesería!$J$62:$J$77)*(Quesería!$H$62:$H$77&gt;0)*Quesería!$F$62:$F$77*(1+Quesería!$I$62:$I$77)/(Quesería!$J$62:$J$77+(Quesería!$J$62:$J$77=0)))+SUMPRODUCT((Quesería!$C$62:$C$77=0)*(Quesería!$J$62:$J$77=0)*(L$43=0)*(Quesería!$H$62:$H$77&gt;0)*Quesería!$F$62:$F$77*(1+Quesería!$I$62:$I$77)))*$B$993+(SUMPRODUCT((Quesería!$C$62:$C$77=1)*(Quesería!$J$62:$J$77&gt;0)*(L$43&gt;=2)*(L$43&lt;=Quesería!$J$62:$J$77+1)*(Quesería!$H$62:$H$77&gt;0)*Quesería!$F$62:$F$77*(1+Quesería!$I$62:$I$77)/(Quesería!$J$62:$J$77+(Quesería!$J$62:$J$77=0)))+SUMPRODUCT((Quesería!$C$62:$C$77=1)*(Quesería!$J$62:$J$77=0)*(L$43=1)*(Quesería!$H$62:$H$77&gt;0)*Quesería!$F$62:$F$77*(1+Quesería!$I$62:$I$77)))*$C$993*$X$21,IF(AND(L$43&gt;=1,L$43&lt;=Quesería!$B$11),Quesería!$F$80/Quesería!$B$11,0)*$B$993+IF(AND(L$43&gt;=2,L$43&lt;=Quesería!$B$11+1),Quesería!$F$81/Quesería!$B$11,0)*$C$993*$X$21)*$X$11+IF(AND(L$43&gt;=6,L$43&lt;=10),$G997*$G993/5,0)+IF(AND(L$43&gt;=7,L$43&lt;=11),$H997*$H993/5,0))*L995</f>
        <v>96.9751952471496</v>
      </c>
    </row>
    <row r="1006" customFormat="false" ht="15" hidden="false" customHeight="false" outlineLevel="0" collapsed="false">
      <c r="A1006" s="9" t="s">
        <v>292</v>
      </c>
      <c r="B1006" s="36" t="n">
        <f aca="false">IF(B$43=1,MIN($X$7*Quesería!$B$35*Quesería!$F$75*$X$11*$X$21,Quesería!$B$50*Quesería!$B$51),0)</f>
        <v>0</v>
      </c>
      <c r="C1006" s="36" t="n">
        <f aca="false">IF(C$43=1,MIN($X$7*Quesería!$B$35*Quesería!$F$75*$X$11*$X$21,Quesería!$B$50*Quesería!$B$51),0)</f>
        <v>20</v>
      </c>
      <c r="D1006" s="36" t="n">
        <f aca="false">IF(D$43=1,MIN($X$7*Quesería!$B$35*Quesería!$F$75*$X$11*$X$21,Quesería!$B$50*Quesería!$B$51),0)</f>
        <v>0</v>
      </c>
      <c r="E1006" s="36" t="n">
        <f aca="false">IF(E$43=1,MIN($X$7*Quesería!$B$35*Quesería!$F$75*$X$11*$X$21,Quesería!$B$50*Quesería!$B$51),0)</f>
        <v>0</v>
      </c>
      <c r="F1006" s="36" t="n">
        <f aca="false">IF(F$43=1,MIN($X$7*Quesería!$B$35*Quesería!$F$75*$X$11*$X$21,Quesería!$B$50*Quesería!$B$51),0)</f>
        <v>0</v>
      </c>
      <c r="G1006" s="36" t="n">
        <f aca="false">IF(G$43=1,MIN($X$7*Quesería!$B$35*Quesería!$F$75*$X$11*$X$21,Quesería!$B$50*Quesería!$B$51),0)</f>
        <v>0</v>
      </c>
      <c r="H1006" s="36" t="n">
        <f aca="false">IF(H$43=1,MIN($X$7*Quesería!$B$35*Quesería!$F$75*$X$11*$X$21,Quesería!$B$50*Quesería!$B$51),0)</f>
        <v>0</v>
      </c>
      <c r="I1006" s="36" t="n">
        <f aca="false">IF(I$43=1,MIN($X$7*Quesería!$B$35*Quesería!$F$75*$X$11*$X$21,Quesería!$B$50*Quesería!$B$51),0)</f>
        <v>0</v>
      </c>
      <c r="J1006" s="36" t="n">
        <f aca="false">IF(J$43=1,MIN($X$7*Quesería!$B$35*Quesería!$F$75*$X$11*$X$21,Quesería!$B$50*Quesería!$B$51),0)</f>
        <v>0</v>
      </c>
      <c r="K1006" s="36" t="n">
        <f aca="false">IF(K$43=1,MIN($X$7*Quesería!$B$35*Quesería!$F$75*$X$11*$X$21,Quesería!$B$50*Quesería!$B$51),0)</f>
        <v>0</v>
      </c>
      <c r="L1006" s="36" t="n">
        <f aca="false">IF(L$43=1,MIN($X$7*Quesería!$B$35*Quesería!$F$75*$X$11*$X$21,Quesería!$B$50*Quesería!$B$51),0)</f>
        <v>0</v>
      </c>
    </row>
    <row r="1007" customFormat="false" ht="15" hidden="false" customHeight="false" outlineLevel="0" collapsed="false">
      <c r="A1007" s="9" t="s">
        <v>293</v>
      </c>
      <c r="B1007" s="36" t="n">
        <v>0</v>
      </c>
      <c r="C1007" s="36" t="n">
        <f aca="false">$X$20*Quesería!$B$52*Quesería!$F$86*$X$11*$B$993/C993</f>
        <v>0</v>
      </c>
      <c r="D1007" s="36" t="n">
        <v>0</v>
      </c>
      <c r="E1007" s="36" t="n">
        <v>0</v>
      </c>
      <c r="F1007" s="36" t="n">
        <v>0</v>
      </c>
      <c r="G1007" s="36" t="n">
        <v>0</v>
      </c>
      <c r="H1007" s="36" t="n">
        <v>0</v>
      </c>
      <c r="I1007" s="36" t="n">
        <v>0</v>
      </c>
      <c r="J1007" s="36" t="n">
        <v>0</v>
      </c>
      <c r="K1007" s="36" t="n">
        <v>0</v>
      </c>
      <c r="L1007" s="36" t="n">
        <v>0</v>
      </c>
    </row>
    <row r="1008" customFormat="false" ht="15" hidden="false" customHeight="false" outlineLevel="0" collapsed="false">
      <c r="A1008" s="9" t="s">
        <v>294</v>
      </c>
      <c r="B1008" s="36" t="n">
        <f aca="false">0</f>
        <v>0</v>
      </c>
      <c r="C1008" s="36" t="n">
        <f aca="false">B998*B993/C993</f>
        <v>94.6170242743742</v>
      </c>
      <c r="D1008" s="36" t="n">
        <f aca="false">C998*C993/D993</f>
        <v>117.321834287022</v>
      </c>
      <c r="E1008" s="36" t="n">
        <f aca="false">D998*D993/E993</f>
        <v>0</v>
      </c>
      <c r="F1008" s="36" t="n">
        <f aca="false">E998*E993/F993</f>
        <v>0</v>
      </c>
      <c r="G1008" s="36" t="n">
        <f aca="false">F998*F993/G993</f>
        <v>0</v>
      </c>
      <c r="H1008" s="36" t="n">
        <f aca="false">G998*G993/H993</f>
        <v>4.87179487179487</v>
      </c>
      <c r="I1008" s="36" t="n">
        <f aca="false">H998*H993/I993</f>
        <v>6.44987026996795</v>
      </c>
      <c r="J1008" s="36" t="n">
        <f aca="false">I998*I993/J993</f>
        <v>0</v>
      </c>
      <c r="K1008" s="36" t="n">
        <f aca="false">J998*J993/K993</f>
        <v>0</v>
      </c>
      <c r="L1008" s="36" t="n">
        <f aca="false">K998*K993/L993</f>
        <v>0</v>
      </c>
    </row>
    <row r="1009" customFormat="false" ht="15" hidden="false" customHeight="false" outlineLevel="0" collapsed="false">
      <c r="A1009" s="6" t="s">
        <v>86</v>
      </c>
      <c r="B1009" s="35" t="n">
        <f aca="false">$X$17*(B1001-B1002-B1003-0.5*B1004-B1005)-B1006-B1007-B1008</f>
        <v>15.467966573725</v>
      </c>
      <c r="C1009" s="35" t="n">
        <f aca="false">$X$17*(C1001-C1002-C1003-0.5*C1004-C1005)-C1006-C1007-C1008</f>
        <v>-107.32000838972</v>
      </c>
      <c r="D1009" s="35" t="n">
        <f aca="false">$X$17*(D1001-D1002-D1003-0.5*D1004-D1005)-D1006-D1007-D1008</f>
        <v>-56.651608174774</v>
      </c>
      <c r="E1009" s="35" t="n">
        <f aca="false">$X$17*(E1001-E1002-E1003-0.5*E1004-E1005)-E1006-E1007-E1008</f>
        <v>75.097572883593</v>
      </c>
      <c r="F1009" s="35" t="n">
        <f aca="false">$X$17*(F1001-F1002-F1003-0.5*F1004-F1005)-F1006-F1007-F1008</f>
        <v>76.8045460852732</v>
      </c>
      <c r="G1009" s="35" t="n">
        <f aca="false">$X$17*(G1001-G1002-G1003-0.5*G1004-G1005)-G1006-G1007-G1008</f>
        <v>78.4312016183006</v>
      </c>
      <c r="H1009" s="35" t="n">
        <f aca="false">$X$17*(H1001-H1002-H1003-0.5*H1004-H1005)-H1006-H1007-H1008</f>
        <v>73.3503766478406</v>
      </c>
      <c r="I1009" s="35" t="n">
        <f aca="false">$X$17*(I1001-I1002-I1003-0.5*I1004-I1005)-I1006-I1007-I1008</f>
        <v>71.0338660319663</v>
      </c>
      <c r="J1009" s="35" t="n">
        <f aca="false">$X$17*(J1001-J1002-J1003-0.5*J1004-J1005)-J1006-J1007-J1008</f>
        <v>79.129355118239</v>
      </c>
      <c r="K1009" s="35" t="n">
        <f aca="false">$X$17*(K1001-K1002-K1003-0.5*K1004-K1005)-K1006-K1007-K1008</f>
        <v>80.7193814889308</v>
      </c>
      <c r="L1009" s="35" t="n">
        <f aca="false">$X$17*(L1001-L1002-L1003-0.5*L1004-L1005)-L1006-L1007-L1008</f>
        <v>82.2559920879236</v>
      </c>
    </row>
    <row r="1010" customFormat="false" ht="15" hidden="false" customHeight="false" outlineLevel="0" collapsed="false">
      <c r="A1010" s="9" t="s">
        <v>295</v>
      </c>
      <c r="B1010" s="36" t="n">
        <f aca="false">(IF(B$43&gt;=1,Quesería!$G$107*IF(B$43=1,Quesería!$B$12,1),Quesería!$G$107*Quesería!$B$12*Quesería!$B$13/12*$X$23)+IF(B$43&gt;=2,Quesería!$G$108*$X$21*IF(B$43=2,Quesería!$B$12,1),0))*$X$10</f>
        <v>26.8516916045565</v>
      </c>
      <c r="C1010" s="36" t="n">
        <f aca="false">(IF(C$43&gt;=1,Quesería!$G$107*IF(C$43=1,Quesería!$B$12,1),Quesería!$G$107*Quesería!$B$12*Quesería!$B$13/12*$X$23)+IF(C$43&gt;=2,Quesería!$G$108*$X$21*IF(C$43=2,Quesería!$B$12,1),0))*$X$10</f>
        <v>80.5550748136695</v>
      </c>
      <c r="D1010" s="36" t="n">
        <f aca="false">(IF(D$43&gt;=1,Quesería!$G$107*IF(D$43=1,Quesería!$B$12,1),Quesería!$G$107*Quesería!$B$12*Quesería!$B$13/12*$X$23)+IF(D$43&gt;=2,Quesería!$G$108*$X$21*IF(D$43=2,Quesería!$B$12,1),0))*$X$10</f>
        <v>189.651223070959</v>
      </c>
      <c r="E1010" s="36" t="n">
        <f aca="false">(IF(E$43&gt;=1,Quesería!$G$107*IF(E$43=1,Quesería!$B$12,1),Quesería!$G$107*Quesería!$B$12*Quesería!$B$13/12*$X$23)+IF(E$43&gt;=2,Quesería!$G$108*$X$21*IF(E$43=2,Quesería!$B$12,1),0))*$X$10</f>
        <v>217.066041955203</v>
      </c>
      <c r="F1010" s="36" t="n">
        <f aca="false">(IF(F$43&gt;=1,Quesería!$G$107*IF(F$43=1,Quesería!$B$12,1),Quesería!$G$107*Quesería!$B$12*Quesería!$B$13/12*$X$23)+IF(F$43&gt;=2,Quesería!$G$108*$X$21*IF(F$43=2,Quesería!$B$12,1),0))*$X$10</f>
        <v>217.066041955203</v>
      </c>
      <c r="G1010" s="36" t="n">
        <f aca="false">(IF(G$43&gt;=1,Quesería!$G$107*IF(G$43=1,Quesería!$B$12,1),Quesería!$G$107*Quesería!$B$12*Quesería!$B$13/12*$X$23)+IF(G$43&gt;=2,Quesería!$G$108*$X$21*IF(G$43=2,Quesería!$B$12,1),0))*$X$10</f>
        <v>217.066041955203</v>
      </c>
      <c r="H1010" s="36" t="n">
        <f aca="false">(IF(H$43&gt;=1,Quesería!$G$107*IF(H$43=1,Quesería!$B$12,1),Quesería!$G$107*Quesería!$B$12*Quesería!$B$13/12*$X$23)+IF(H$43&gt;=2,Quesería!$G$108*$X$21*IF(H$43=2,Quesería!$B$12,1),0))*$X$10</f>
        <v>217.066041955203</v>
      </c>
      <c r="I1010" s="36" t="n">
        <f aca="false">(IF(I$43&gt;=1,Quesería!$G$107*IF(I$43=1,Quesería!$B$12,1),Quesería!$G$107*Quesería!$B$12*Quesería!$B$13/12*$X$23)+IF(I$43&gt;=2,Quesería!$G$108*$X$21*IF(I$43=2,Quesería!$B$12,1),0))*$X$10</f>
        <v>217.066041955203</v>
      </c>
      <c r="J1010" s="36" t="n">
        <f aca="false">(IF(J$43&gt;=1,Quesería!$G$107*IF(J$43=1,Quesería!$B$12,1),Quesería!$G$107*Quesería!$B$12*Quesería!$B$13/12*$X$23)+IF(J$43&gt;=2,Quesería!$G$108*$X$21*IF(J$43=2,Quesería!$B$12,1),0))*$X$10</f>
        <v>217.066041955203</v>
      </c>
      <c r="K1010" s="36" t="n">
        <f aca="false">(IF(K$43&gt;=1,Quesería!$G$107*IF(K$43=1,Quesería!$B$12,1),Quesería!$G$107*Quesería!$B$12*Quesería!$B$13/12*$X$23)+IF(K$43&gt;=2,Quesería!$G$108*$X$21*IF(K$43=2,Quesería!$B$12,1),0))*$X$10</f>
        <v>217.066041955203</v>
      </c>
      <c r="L1010" s="36" t="n">
        <f aca="false">(IF(L$43&gt;=1,Quesería!$G$107*IF(L$43=1,Quesería!$B$12,1),Quesería!$G$107*Quesería!$B$12*Quesería!$B$13/12*$X$23)+IF(L$43&gt;=2,Quesería!$G$108*$X$21*IF(L$43=2,Quesería!$B$12,1),0))*$X$10</f>
        <v>217.066041955203</v>
      </c>
    </row>
    <row r="1011" customFormat="false" ht="15" hidden="false" customHeight="false" outlineLevel="0" collapsed="false">
      <c r="A1011" s="6" t="s">
        <v>296</v>
      </c>
      <c r="B1011" s="35" t="n">
        <f aca="false">(B1010*(Quesería!$B$23+Quesería!$B$25*Quesería!$B$24)/365-B1002*Quesería!$B$26/365)</f>
        <v>2.50861009237089</v>
      </c>
      <c r="C1011" s="35" t="n">
        <f aca="false">(C1010*(Quesería!$B$23+Quesería!$B$25*Quesería!$B$24)/365-C1002*Quesería!$B$26/365)-(B1010*(Quesería!$B$23+Quesería!$B$25*Quesería!$B$24)/365-B1002*Quesería!$B$26/365)*B993/C993</f>
        <v>2.91304119724236</v>
      </c>
      <c r="D1011" s="35" t="n">
        <f aca="false">(D1010*(Quesería!$B$23+Quesería!$B$25*Quesería!$B$24)/365-D1002*Quesería!$B$26/365)-(C1010*(Quesería!$B$23+Quesería!$B$25*Quesería!$B$24)/365-C1002*Quesería!$B$26/365)*C993/D993</f>
        <v>7.29151021833416</v>
      </c>
      <c r="E1011" s="35" t="n">
        <f aca="false">(E1010*(Quesería!$B$23+Quesería!$B$25*Quesería!$B$24)/365-E1002*Quesería!$B$26/365)-(D1010*(Quesería!$B$23+Quesería!$B$25*Quesería!$B$24)/365-D1002*Quesería!$B$26/365)*D993/E993</f>
        <v>3.03681159467532</v>
      </c>
      <c r="F1011" s="35" t="n">
        <f aca="false">(F1010*(Quesería!$B$23+Quesería!$B$25*Quesería!$B$24)/365-F1002*Quesería!$B$26/365)-(E1010*(Quesería!$B$23+Quesería!$B$25*Quesería!$B$24)/365-E1002*Quesería!$B$26/365)*E993/F993</f>
        <v>0.574099993113848</v>
      </c>
      <c r="G1011" s="35" t="n">
        <f aca="false">(G1010*(Quesería!$B$23+Quesería!$B$25*Quesería!$B$24)/365-G1002*Quesería!$B$26/365)-(F1010*(Quesería!$B$23+Quesería!$B$25*Quesería!$B$24)/365-F1002*Quesería!$B$26/365)*F993/G993</f>
        <v>0.574099993113849</v>
      </c>
      <c r="H1011" s="35" t="n">
        <f aca="false">(H1010*(Quesería!$B$23+Quesería!$B$25*Quesería!$B$24)/365-H1002*Quesería!$B$26/365)-(G1010*(Quesería!$B$23+Quesería!$B$25*Quesería!$B$24)/365-G1002*Quesería!$B$26/365)*G993/H993</f>
        <v>0.574099993113848</v>
      </c>
      <c r="I1011" s="35" t="n">
        <f aca="false">(I1010*(Quesería!$B$23+Quesería!$B$25*Quesería!$B$24)/365-I1002*Quesería!$B$26/365)-(H1010*(Quesería!$B$23+Quesería!$B$25*Quesería!$B$24)/365-H1002*Quesería!$B$26/365)*H993/I993</f>
        <v>0.574099993113846</v>
      </c>
      <c r="J1011" s="35" t="n">
        <f aca="false">(J1010*(Quesería!$B$23+Quesería!$B$25*Quesería!$B$24)/365-J1002*Quesería!$B$26/365)-(I1010*(Quesería!$B$23+Quesería!$B$25*Quesería!$B$24)/365-I1002*Quesería!$B$26/365)*I993/J993</f>
        <v>0.574099993113849</v>
      </c>
      <c r="K1011" s="35" t="n">
        <f aca="false">(K1010*(Quesería!$B$23+Quesería!$B$25*Quesería!$B$24)/365-K1002*Quesería!$B$26/365)-(J1010*(Quesería!$B$23+Quesería!$B$25*Quesería!$B$24)/365-J1002*Quesería!$B$26/365)*J993/K993</f>
        <v>0.574099993113848</v>
      </c>
      <c r="L1011" s="35" t="n">
        <f aca="false">-(K1010*(Quesería!$B$23+Quesería!$B$25*Quesería!$B$24)/365-K1002*Quesería!$B$26/365)*K993/L993</f>
        <v>-14.3524998278462</v>
      </c>
    </row>
    <row r="1012" customFormat="false" ht="15" hidden="false" customHeight="false" outlineLevel="0" collapsed="false">
      <c r="A1012" s="6" t="s">
        <v>297</v>
      </c>
      <c r="B1012" s="35" t="n">
        <v>0</v>
      </c>
      <c r="C1012" s="35" t="n">
        <v>0</v>
      </c>
      <c r="D1012" s="35" t="n">
        <v>0</v>
      </c>
      <c r="E1012" s="35" t="n">
        <v>0</v>
      </c>
      <c r="F1012" s="35" t="n">
        <v>0</v>
      </c>
      <c r="G1012" s="35" t="n">
        <v>0</v>
      </c>
      <c r="H1012" s="35" t="n">
        <v>0</v>
      </c>
      <c r="I1012" s="35" t="n">
        <v>0</v>
      </c>
      <c r="J1012" s="35" t="n">
        <v>0</v>
      </c>
      <c r="K1012" s="35" t="n">
        <v>0</v>
      </c>
      <c r="L1012" s="35" t="n">
        <f aca="false">$X$8*Quesería!$B$39*(Quesería!$F$82+Quesería!$F$83*$X$21)*$X$11*(1-$X$17)</f>
        <v>56.0502928201667</v>
      </c>
    </row>
    <row r="1013" customFormat="false" ht="15" hidden="false" customHeight="false" outlineLevel="0" collapsed="false">
      <c r="A1013" s="5" t="s">
        <v>298</v>
      </c>
      <c r="B1013" s="37" t="n">
        <f aca="false">B1001-B1002-B1003-B1004-B1009-B996-B997-B998-B1011+B1012</f>
        <v>-696.817069265568</v>
      </c>
      <c r="C1013" s="37" t="n">
        <f aca="false">C1001-C1002-C1003-C1004-C1009-C996-C997-C998-C1011+C1012</f>
        <v>-585.001084266701</v>
      </c>
      <c r="D1013" s="37" t="n">
        <f aca="false">D1001-D1002-D1003-D1004-D1009-D996-D997-D998-D1011+D1012</f>
        <v>340.98369761109</v>
      </c>
      <c r="E1013" s="37" t="n">
        <f aca="false">E1001-E1002-E1003-E1004-E1009-E996-E997-E998-E1011+E1012</f>
        <v>250.15414020221</v>
      </c>
      <c r="F1013" s="37" t="n">
        <f aca="false">F1001-F1002-F1003-F1004-F1009-F996-F997-F998-F1011+F1012</f>
        <v>251.406112441218</v>
      </c>
      <c r="G1013" s="37" t="n">
        <f aca="false">G1001-G1002-G1003-G1004-G1009-G996-G997-G998-G1011+G1012</f>
        <v>218.417905249846</v>
      </c>
      <c r="H1013" s="37" t="n">
        <f aca="false">H1001-H1002-H1003-H1004-H1009-H996-H997-H998-H1011+H1012</f>
        <v>213.679737660354</v>
      </c>
      <c r="I1013" s="37" t="n">
        <f aca="false">I1001-I1002-I1003-I1004-I1009-I996-I997-I998-I1011+I1012</f>
        <v>258.680430712492</v>
      </c>
      <c r="J1013" s="37" t="n">
        <f aca="false">J1001-J1002-J1003-J1004-J1009-J996-J997-J998-J1011+J1012</f>
        <v>251.091174825632</v>
      </c>
      <c r="K1013" s="37" t="n">
        <f aca="false">K1001-K1002-K1003-K1004-K1009-K996-K997-K998-K1011+K1012</f>
        <v>250.00991282035</v>
      </c>
      <c r="L1013" s="37" t="n">
        <f aca="false">L1001-L1002-L1003-L1004-L1009-L996-L997-L998-L1011+L1012</f>
        <v>319.96150304972</v>
      </c>
    </row>
    <row r="1014" customFormat="false" ht="15" hidden="false" customHeight="false" outlineLevel="0" collapsed="false">
      <c r="A1014" s="9" t="s">
        <v>299</v>
      </c>
      <c r="B1014" s="36" t="n">
        <f aca="false">B1013*B993</f>
        <v>-738.626093421502</v>
      </c>
      <c r="C1014" s="36" t="n">
        <f aca="false">C1013*C993</f>
        <v>-651.106206788838</v>
      </c>
      <c r="D1014" s="36" t="n">
        <f aca="false">D1013*D993</f>
        <v>396.593023935995</v>
      </c>
      <c r="E1014" s="36" t="n">
        <f aca="false">E1013*E993</f>
        <v>302.588549283371</v>
      </c>
      <c r="F1014" s="36" t="n">
        <f aca="false">F1013*F993</f>
        <v>316.267063237051</v>
      </c>
      <c r="G1014" s="36" t="n">
        <f aca="false">G1013*G993</f>
        <v>285.758863745309</v>
      </c>
      <c r="H1014" s="36" t="n">
        <f aca="false">H1013*H993</f>
        <v>290.742254524171</v>
      </c>
      <c r="I1014" s="36" t="n">
        <f aca="false">I1013*I993</f>
        <v>366.051108767397</v>
      </c>
      <c r="J1014" s="36" t="n">
        <f aca="false">J1013*J993</f>
        <v>369.524245808672</v>
      </c>
      <c r="K1014" s="36" t="n">
        <f aca="false">K1013*K993</f>
        <v>382.650300336277</v>
      </c>
      <c r="L1014" s="36" t="n">
        <f aca="false">L1013*L993</f>
        <v>509.302604889268</v>
      </c>
    </row>
    <row r="1015" customFormat="false" ht="15" hidden="false" customHeight="false" outlineLevel="0" collapsed="false">
      <c r="A1015" s="6" t="s">
        <v>300</v>
      </c>
      <c r="B1015" s="35" t="n">
        <f aca="false">B1013</f>
        <v>-696.817069265568</v>
      </c>
      <c r="C1015" s="35" t="n">
        <f aca="false">B1015+C1013</f>
        <v>-1281.81815353227</v>
      </c>
      <c r="D1015" s="35" t="n">
        <f aca="false">C1015+D1013</f>
        <v>-940.834455921178</v>
      </c>
      <c r="E1015" s="35" t="n">
        <f aca="false">D1015+E1013</f>
        <v>-690.680315718969</v>
      </c>
      <c r="F1015" s="35" t="n">
        <f aca="false">E1015+F1013</f>
        <v>-439.274203277751</v>
      </c>
      <c r="G1015" s="35" t="n">
        <f aca="false">F1015+G1013</f>
        <v>-220.856298027904</v>
      </c>
      <c r="H1015" s="35" t="n">
        <f aca="false">G1015+H1013</f>
        <v>-7.17656036755039</v>
      </c>
      <c r="I1015" s="35" t="n">
        <f aca="false">H1015+I1013</f>
        <v>251.503870344942</v>
      </c>
      <c r="J1015" s="35" t="n">
        <f aca="false">I1015+J1013</f>
        <v>502.595045170574</v>
      </c>
      <c r="K1015" s="35" t="n">
        <f aca="false">J1015+K1013</f>
        <v>752.604957990924</v>
      </c>
      <c r="L1015" s="35" t="n">
        <f aca="false">K1015+L1013</f>
        <v>1072.56646104064</v>
      </c>
    </row>
    <row r="1016" customFormat="false" ht="15" hidden="false" customHeight="false" outlineLevel="0" collapsed="false">
      <c r="A1016" s="9" t="s">
        <v>301</v>
      </c>
      <c r="B1016" s="38" t="n">
        <v>0</v>
      </c>
      <c r="C1016" s="38" t="n">
        <f aca="false">IF(AND(B1015&lt;0,C1015&gt;=0),B$43+(-B1015)/C1013,0)</f>
        <v>0</v>
      </c>
      <c r="D1016" s="38" t="n">
        <f aca="false">IF(AND(C1015&lt;0,D1015&gt;=0),C$43+(-C1015)/D1013,0)</f>
        <v>0</v>
      </c>
      <c r="E1016" s="38" t="n">
        <f aca="false">IF(AND(D1015&lt;0,E1015&gt;=0),D$43+(-D1015)/E1013,0)</f>
        <v>0</v>
      </c>
      <c r="F1016" s="38" t="n">
        <f aca="false">IF(AND(E1015&lt;0,F1015&gt;=0),E$43+(-E1015)/F1013,0)</f>
        <v>0</v>
      </c>
      <c r="G1016" s="38" t="n">
        <f aca="false">IF(AND(F1015&lt;0,G1015&gt;=0),F$43+(-F1015)/G1013,0)</f>
        <v>0</v>
      </c>
      <c r="H1016" s="38" t="n">
        <f aca="false">IF(AND(G1015&lt;0,H1015&gt;=0),G$43+(-G1015)/H1013,0)</f>
        <v>0</v>
      </c>
      <c r="I1016" s="38" t="n">
        <f aca="false">IF(AND(H1015&lt;0,I1015&gt;=0),H$43+(-H1015)/I1013,0)</f>
        <v>6.02774295816573</v>
      </c>
      <c r="J1016" s="38" t="n">
        <f aca="false">IF(AND(I1015&lt;0,J1015&gt;=0),I$43+(-I1015)/J1013,0)</f>
        <v>0</v>
      </c>
      <c r="K1016" s="38" t="n">
        <f aca="false">IF(AND(J1015&lt;0,K1015&gt;=0),J$43+(-J1015)/K1013,0)</f>
        <v>0</v>
      </c>
      <c r="L1016" s="38" t="n">
        <f aca="false">IF(AND(K1015&lt;0,L1015&gt;=0),K$43+(-K1015)/L1013,0)</f>
        <v>0</v>
      </c>
    </row>
    <row r="1017" customFormat="false" ht="15" hidden="false" customHeight="false" outlineLevel="0" collapsed="false">
      <c r="A1017" s="9" t="s">
        <v>302</v>
      </c>
      <c r="B1017" s="34" t="n">
        <f aca="false">(B993/$B$993)/(1+$X$25)^B$43</f>
        <v>1</v>
      </c>
      <c r="C1017" s="34" t="n">
        <f aca="false">(C993/$B$993)/(1+$X$25)^C$43</f>
        <v>0.913099173340447</v>
      </c>
      <c r="D1017" s="34" t="n">
        <f aca="false">(D993/$B$993)/(1+$X$25)^D$43</f>
        <v>0.829779861781889</v>
      </c>
      <c r="E1017" s="34" t="n">
        <f aca="false">(E993/$B$993)/(1+$X$25)^E$43</f>
        <v>0.750455388649045</v>
      </c>
      <c r="F1017" s="34" t="n">
        <f aca="false">(F993/$B$993)/(1+$X$25)^F$43</f>
        <v>0.678714097909047</v>
      </c>
      <c r="G1017" s="34" t="n">
        <f aca="false">(G993/$B$993)/(1+$X$25)^G$43</f>
        <v>0.613831060004446</v>
      </c>
      <c r="H1017" s="34" t="n">
        <f aca="false">(H993/$B$993)/(1+$X$25)^H$43</f>
        <v>0.55515064647541</v>
      </c>
      <c r="I1017" s="34" t="n">
        <f aca="false">(I993/$B$993)/(1+$X$25)^I$43</f>
        <v>0.502079904982053</v>
      </c>
      <c r="J1017" s="34" t="n">
        <f aca="false">(J993/$B$993)/(1+$X$25)^J$43</f>
        <v>0.45408256765482</v>
      </c>
      <c r="K1017" s="34" t="n">
        <f aca="false">(K993/$B$993)/(1+$X$25)^K$43</f>
        <v>0.410673632228649</v>
      </c>
      <c r="L1017" s="34" t="n">
        <f aca="false">(L993/$B$993)/(1+$X$25)^L$43</f>
        <v>0.371414461204501</v>
      </c>
    </row>
    <row r="1018" customFormat="false" ht="15" hidden="false" customHeight="false" outlineLevel="0" collapsed="false">
      <c r="A1018" s="9" t="s">
        <v>303</v>
      </c>
      <c r="B1018" s="36" t="n">
        <f aca="false">B1013*B1017</f>
        <v>-696.817069265568</v>
      </c>
      <c r="C1018" s="36" t="n">
        <f aca="false">C1013*C1017</f>
        <v>-534.16400644719</v>
      </c>
      <c r="D1018" s="36" t="n">
        <f aca="false">D1013*D1017</f>
        <v>282.941405473608</v>
      </c>
      <c r="E1018" s="36" t="n">
        <f aca="false">E1013*E1017</f>
        <v>187.729522507617</v>
      </c>
      <c r="F1018" s="36" t="n">
        <f aca="false">F1013*F1017</f>
        <v>170.632872814362</v>
      </c>
      <c r="G1018" s="36" t="n">
        <f aca="false">G1013*G1017</f>
        <v>134.071694303464</v>
      </c>
      <c r="H1018" s="36" t="n">
        <f aca="false">H1013*H1017</f>
        <v>118.624444500842</v>
      </c>
      <c r="I1018" s="36" t="n">
        <f aca="false">I1013*I1017</f>
        <v>129.878246072845</v>
      </c>
      <c r="J1018" s="36" t="n">
        <f aca="false">J1013*J1017</f>
        <v>114.016125380288</v>
      </c>
      <c r="K1018" s="36" t="n">
        <f aca="false">K1013*K1017</f>
        <v>102.672478991101</v>
      </c>
      <c r="L1018" s="36" t="n">
        <f aca="false">L1013*L1017</f>
        <v>118.838329261394</v>
      </c>
    </row>
    <row r="1019" customFormat="false" ht="15" hidden="false" customHeight="false" outlineLevel="0" collapsed="false">
      <c r="A1019" s="9" t="s">
        <v>304</v>
      </c>
      <c r="B1019" s="36" t="n">
        <f aca="false">B1018</f>
        <v>-696.817069265568</v>
      </c>
      <c r="C1019" s="36" t="n">
        <f aca="false">B1019+C1018</f>
        <v>-1230.98107571276</v>
      </c>
      <c r="D1019" s="36" t="n">
        <f aca="false">C1019+D1018</f>
        <v>-948.03967023915</v>
      </c>
      <c r="E1019" s="36" t="n">
        <f aca="false">D1019+E1018</f>
        <v>-760.310147731533</v>
      </c>
      <c r="F1019" s="36" t="n">
        <f aca="false">E1019+F1018</f>
        <v>-589.677274917171</v>
      </c>
      <c r="G1019" s="36" t="n">
        <f aca="false">F1019+G1018</f>
        <v>-455.605580613707</v>
      </c>
      <c r="H1019" s="36" t="n">
        <f aca="false">G1019+H1018</f>
        <v>-336.981136112866</v>
      </c>
      <c r="I1019" s="36" t="n">
        <f aca="false">H1019+I1018</f>
        <v>-207.102890040021</v>
      </c>
      <c r="J1019" s="36" t="n">
        <f aca="false">I1019+J1018</f>
        <v>-93.0867646597325</v>
      </c>
      <c r="K1019" s="36" t="n">
        <f aca="false">J1019+K1018</f>
        <v>9.58571433136828</v>
      </c>
      <c r="L1019" s="36" t="n">
        <f aca="false">K1019+L1018</f>
        <v>128.424043592762</v>
      </c>
    </row>
    <row r="1020" customFormat="false" ht="15" hidden="false" customHeight="false" outlineLevel="0" collapsed="false">
      <c r="A1020" s="9" t="s">
        <v>305</v>
      </c>
      <c r="B1020" s="38" t="n">
        <v>0</v>
      </c>
      <c r="C1020" s="38" t="n">
        <f aca="false">IF(AND(B1019&lt;0,C1019&gt;=0),B$43+(-B1019)/C1018,0)</f>
        <v>0</v>
      </c>
      <c r="D1020" s="38" t="n">
        <f aca="false">IF(AND(C1019&lt;0,D1019&gt;=0),C$43+(-C1019)/D1018,0)</f>
        <v>0</v>
      </c>
      <c r="E1020" s="38" t="n">
        <f aca="false">IF(AND(D1019&lt;0,E1019&gt;=0),D$43+(-D1019)/E1018,0)</f>
        <v>0</v>
      </c>
      <c r="F1020" s="38" t="n">
        <f aca="false">IF(AND(E1019&lt;0,F1019&gt;=0),E$43+(-E1019)/F1018,0)</f>
        <v>0</v>
      </c>
      <c r="G1020" s="38" t="n">
        <f aca="false">IF(AND(F1019&lt;0,G1019&gt;=0),F$43+(-F1019)/G1018,0)</f>
        <v>0</v>
      </c>
      <c r="H1020" s="38" t="n">
        <f aca="false">IF(AND(G1019&lt;0,H1019&gt;=0),G$43+(-G1019)/H1018,0)</f>
        <v>0</v>
      </c>
      <c r="I1020" s="38" t="n">
        <f aca="false">IF(AND(H1019&lt;0,I1019&gt;=0),H$43+(-H1019)/I1018,0)</f>
        <v>0</v>
      </c>
      <c r="J1020" s="38" t="n">
        <f aca="false">IF(AND(I1019&lt;0,J1019&gt;=0),I$43+(-I1019)/J1018,0)</f>
        <v>0</v>
      </c>
      <c r="K1020" s="38" t="n">
        <f aca="false">IF(AND(J1019&lt;0,K1019&gt;=0),J$43+(-J1019)/K1018,0)</f>
        <v>8.90663793817427</v>
      </c>
      <c r="L1020" s="38" t="n">
        <f aca="false">IF(AND(K1019&lt;0,L1019&gt;=0),K$43+(-K1019)/L1018,0)</f>
        <v>0</v>
      </c>
    </row>
    <row r="1021" customFormat="false" ht="15" hidden="false" customHeight="false" outlineLevel="0" collapsed="false">
      <c r="A1021" s="9" t="s">
        <v>306</v>
      </c>
      <c r="B1021" s="36" t="n">
        <f aca="false">IF(B$43&lt;0,0,(Quesería!$B$40*$B$996*$B$993)*(1-MAX(0,MIN(B$43-0-Quesería!$B$43,(Quesería!$B$42-Quesería!$B$43)))/(Quesería!$B$42-Quesería!$B$43)))+IF(B$43&lt;1,0,(Quesería!$B$40*$C$996*$C$993)*(1-MAX(0,MIN(B$43-1-Quesería!$B$43,(Quesería!$B$42-Quesería!$B$43)))/(Quesería!$B$42-Quesería!$B$43)))</f>
        <v>461.704769247221</v>
      </c>
      <c r="C1021" s="36" t="n">
        <f aca="false">IF(C$43&lt;0,0,(Quesería!$B$40*$B$996*$B$993)*(1-MAX(0,MIN(C$43-0-Quesería!$B$43,(Quesería!$B$42-Quesería!$B$43)))/(Quesería!$B$42-Quesería!$B$43)))+IF(C$43&lt;1,0,(Quesería!$B$40*$C$996*$C$993)*(1-MAX(0,MIN(C$43-1-Quesería!$B$43,(Quesería!$B$42-Quesería!$B$43)))/(Quesería!$B$42-Quesería!$B$43)))</f>
        <v>964.434695258825</v>
      </c>
      <c r="D1021" s="36" t="n">
        <f aca="false">IF(D$43&lt;0,0,(Quesería!$B$40*$B$996*$B$993)*(1-MAX(0,MIN(D$43-0-Quesería!$B$43,(Quesería!$B$42-Quesería!$B$43)))/(Quesería!$B$42-Quesería!$B$43)))+IF(D$43&lt;1,0,(Quesería!$B$40*$C$996*$C$993)*(1-MAX(0,MIN(D$43-1-Quesería!$B$43,(Quesería!$B$42-Quesería!$B$43)))/(Quesería!$B$42-Quesería!$B$43)))</f>
        <v>887.483900384289</v>
      </c>
      <c r="E1021" s="36" t="n">
        <f aca="false">IF(E$43&lt;0,0,(Quesería!$B$40*$B$996*$B$993)*(1-MAX(0,MIN(E$43-0-Quesería!$B$43,(Quesería!$B$42-Quesería!$B$43)))/(Quesería!$B$42-Quesería!$B$43)))+IF(E$43&lt;1,0,(Quesería!$B$40*$C$996*$C$993)*(1-MAX(0,MIN(E$43-1-Quesería!$B$43,(Quesería!$B$42-Quesería!$B$43)))/(Quesería!$B$42-Quesería!$B$43)))</f>
        <v>726.744784507818</v>
      </c>
      <c r="F1021" s="36" t="n">
        <f aca="false">IF(F$43&lt;0,0,(Quesería!$B$40*$B$996*$B$993)*(1-MAX(0,MIN(F$43-0-Quesería!$B$43,(Quesería!$B$42-Quesería!$B$43)))/(Quesería!$B$42-Quesería!$B$43)))+IF(F$43&lt;1,0,(Quesería!$B$40*$C$996*$C$993)*(1-MAX(0,MIN(F$43-1-Quesería!$B$43,(Quesería!$B$42-Quesería!$B$43)))/(Quesería!$B$42-Quesería!$B$43)))</f>
        <v>566.005668631347</v>
      </c>
      <c r="G1021" s="36" t="n">
        <f aca="false">IF(G$43&lt;0,0,(Quesería!$B$40*$B$996*$B$993)*(1-MAX(0,MIN(G$43-0-Quesería!$B$43,(Quesería!$B$42-Quesería!$B$43)))/(Quesería!$B$42-Quesería!$B$43)))+IF(G$43&lt;1,0,(Quesería!$B$40*$C$996*$C$993)*(1-MAX(0,MIN(G$43-1-Quesería!$B$43,(Quesería!$B$42-Quesería!$B$43)))/(Quesería!$B$42-Quesería!$B$43)))</f>
        <v>405.266552754876</v>
      </c>
      <c r="H1021" s="36" t="n">
        <f aca="false">IF(H$43&lt;0,0,(Quesería!$B$40*$B$996*$B$993)*(1-MAX(0,MIN(H$43-0-Quesería!$B$43,(Quesería!$B$42-Quesería!$B$43)))/(Quesería!$B$42-Quesería!$B$43)))+IF(H$43&lt;1,0,(Quesería!$B$40*$C$996*$C$993)*(1-MAX(0,MIN(H$43-1-Quesería!$B$43,(Quesería!$B$42-Quesería!$B$43)))/(Quesería!$B$42-Quesería!$B$43)))</f>
        <v>244.527436878405</v>
      </c>
      <c r="I1021" s="36" t="n">
        <f aca="false">IF(I$43&lt;0,0,(Quesería!$B$40*$B$996*$B$993)*(1-MAX(0,MIN(I$43-0-Quesería!$B$43,(Quesería!$B$42-Quesería!$B$43)))/(Quesería!$B$42-Quesería!$B$43)))+IF(I$43&lt;1,0,(Quesería!$B$40*$C$996*$C$993)*(1-MAX(0,MIN(I$43-1-Quesería!$B$43,(Quesería!$B$42-Quesería!$B$43)))/(Quesería!$B$42-Quesería!$B$43)))</f>
        <v>83.788321001934</v>
      </c>
      <c r="J1021" s="36" t="n">
        <f aca="false">IF(J$43&lt;0,0,(Quesería!$B$40*$B$996*$B$993)*(1-MAX(0,MIN(J$43-0-Quesería!$B$43,(Quesería!$B$42-Quesería!$B$43)))/(Quesería!$B$42-Quesería!$B$43)))+IF(J$43&lt;1,0,(Quesería!$B$40*$C$996*$C$993)*(1-MAX(0,MIN(J$43-1-Quesería!$B$43,(Quesería!$B$42-Quesería!$B$43)))/(Quesería!$B$42-Quesería!$B$43)))</f>
        <v>0</v>
      </c>
      <c r="K1021" s="36" t="n">
        <f aca="false">IF(K$43&lt;0,0,(Quesería!$B$40*$B$996*$B$993)*(1-MAX(0,MIN(K$43-0-Quesería!$B$43,(Quesería!$B$42-Quesería!$B$43)))/(Quesería!$B$42-Quesería!$B$43)))+IF(K$43&lt;1,0,(Quesería!$B$40*$C$996*$C$993)*(1-MAX(0,MIN(K$43-1-Quesería!$B$43,(Quesería!$B$42-Quesería!$B$43)))/(Quesería!$B$42-Quesería!$B$43)))</f>
        <v>0</v>
      </c>
      <c r="L1021" s="36" t="n">
        <f aca="false">IF(L$43&lt;0,0,(Quesería!$B$40*$B$996*$B$993)*(1-MAX(0,MIN(L$43-0-Quesería!$B$43,(Quesería!$B$42-Quesería!$B$43)))/(Quesería!$B$42-Quesería!$B$43)))+IF(L$43&lt;1,0,(Quesería!$B$40*$C$996*$C$993)*(1-MAX(0,MIN(L$43-1-Quesería!$B$43,(Quesería!$B$42-Quesería!$B$43)))/(Quesería!$B$42-Quesería!$B$43)))</f>
        <v>0</v>
      </c>
    </row>
    <row r="1022" customFormat="false" ht="15" hidden="false" customHeight="false" outlineLevel="0" collapsed="false">
      <c r="A1022" s="6" t="s">
        <v>307</v>
      </c>
      <c r="B1022" s="35" t="n">
        <f aca="false">Quesería!$B$40*B996</f>
        <v>435.57053702568</v>
      </c>
      <c r="C1022" s="35" t="n">
        <f aca="false">Quesería!$B$40*C996</f>
        <v>451.689062005035</v>
      </c>
      <c r="D1022" s="35" t="n">
        <f aca="false">Quesería!$B$40*D996</f>
        <v>0</v>
      </c>
      <c r="E1022" s="35" t="n">
        <f aca="false">Quesería!$B$40*E996</f>
        <v>0</v>
      </c>
      <c r="F1022" s="35" t="n">
        <f aca="false">Quesería!$B$40*F996</f>
        <v>0</v>
      </c>
      <c r="G1022" s="35" t="n">
        <f aca="false">Quesería!$B$40*G996</f>
        <v>0</v>
      </c>
      <c r="H1022" s="35" t="n">
        <f aca="false">Quesería!$B$40*H996</f>
        <v>0</v>
      </c>
      <c r="I1022" s="35" t="n">
        <f aca="false">Quesería!$B$40*I996</f>
        <v>0</v>
      </c>
      <c r="J1022" s="35" t="n">
        <f aca="false">Quesería!$B$40*J996</f>
        <v>0</v>
      </c>
      <c r="K1022" s="35" t="n">
        <f aca="false">Quesería!$B$40*K996</f>
        <v>0</v>
      </c>
      <c r="L1022" s="35" t="n">
        <f aca="false">Quesería!$B$40*L996</f>
        <v>0</v>
      </c>
    </row>
    <row r="1023" customFormat="false" ht="15" hidden="false" customHeight="false" outlineLevel="0" collapsed="false">
      <c r="A1023" s="6" t="s">
        <v>308</v>
      </c>
      <c r="B1023" s="35" t="n">
        <f aca="false">(IF(AND(B$43&gt;0,B$43&lt;=0+Quesería!$B$42),($X$14+$X$24)*((Quesería!$B$40*$B$996*$B$993)-(Quesería!$B$40*$B$996*$B$993)/(Quesería!$B$42-Quesería!$B$43)*MAX(0,MIN(B$43-1-0-Quesería!$B$43,(Quesería!$B$42-Quesería!$B$43)))),0)+IF(AND(B$43&gt;1,B$43&lt;=1+Quesería!$B$42),($X$14+$X$24)*((Quesería!$B$40*$C$996*$C$993)-(Quesería!$B$40*$C$996*$C$993)/(Quesería!$B$42-Quesería!$B$43)*MAX(0,MIN(B$43-1-1-Quesería!$B$43,(Quesería!$B$42-Quesería!$B$43)))),0))*B995</f>
        <v>0</v>
      </c>
      <c r="C1023" s="35" t="n">
        <f aca="false">(IF(AND(C$43&gt;0,C$43&lt;=0+Quesería!$B$42),($X$14+$X$24)*((Quesería!$B$40*$B$996*$B$993)-(Quesería!$B$40*$B$996*$B$993)/(Quesería!$B$42-Quesería!$B$43)*MAX(0,MIN(C$43-1-0-Quesería!$B$43,(Quesería!$B$42-Quesería!$B$43)))),0)+IF(AND(C$43&gt;1,C$43&lt;=1+Quesería!$B$42),($X$14+$X$24)*((Quesería!$B$40*$C$996*$C$993)-(Quesería!$B$40*$C$996*$C$993)/(Quesería!$B$42-Quesería!$B$43)*MAX(0,MIN(C$43-1-1-Quesería!$B$43,(Quesería!$B$42-Quesería!$B$43)))),0))*C995</f>
        <v>58.4909006863056</v>
      </c>
      <c r="D1023" s="35" t="n">
        <f aca="false">(IF(AND(D$43&gt;0,D$43&lt;=0+Quesería!$B$42),($X$14+$X$24)*((Quesería!$B$40*$B$996*$B$993)-(Quesería!$B$40*$B$996*$B$993)/(Quesería!$B$42-Quesería!$B$43)*MAX(0,MIN(D$43-1-0-Quesería!$B$43,(Quesería!$B$42-Quesería!$B$43)))),0)+IF(AND(D$43&gt;1,D$43&lt;=1+Quesería!$B$42),($X$14+$X$24)*((Quesería!$B$40*$C$996*$C$993)-(Quesería!$B$40*$C$996*$C$993)/(Quesería!$B$42-Quesería!$B$43)*MAX(0,MIN(D$43-1-1-Quesería!$B$43,(Quesería!$B$42-Quesería!$B$43)))),0))*D995</f>
        <v>116.917759262216</v>
      </c>
      <c r="E1023" s="35" t="n">
        <f aca="false">(IF(AND(E$43&gt;0,E$43&lt;=0+Quesería!$B$42),($X$14+$X$24)*((Quesería!$B$40*$B$996*$B$993)-(Quesería!$B$40*$B$996*$B$993)/(Quesería!$B$42-Quesería!$B$43)*MAX(0,MIN(E$43-1-0-Quesería!$B$43,(Quesería!$B$42-Quesería!$B$43)))),0)+IF(AND(E$43&gt;1,E$43&lt;=1+Quesería!$B$42),($X$14+$X$24)*((Quesería!$B$40*$C$996*$C$993)-(Quesería!$B$40*$C$996*$C$993)/(Quesería!$B$42-Quesería!$B$43)*MAX(0,MIN(E$43-1-1-Quesería!$B$43,(Quesería!$B$42-Quesería!$B$43)))),0))*E995</f>
        <v>103.451025930528</v>
      </c>
      <c r="F1023" s="35" t="n">
        <f aca="false">(IF(AND(F$43&gt;0,F$43&lt;=0+Quesería!$B$42),($X$14+$X$24)*((Quesería!$B$40*$B$996*$B$993)-(Quesería!$B$40*$B$996*$B$993)/(Quesería!$B$42-Quesería!$B$43)*MAX(0,MIN(F$43-1-0-Quesería!$B$43,(Quesería!$B$42-Quesería!$B$43)))),0)+IF(AND(F$43&gt;1,F$43&lt;=1+Quesería!$B$42),($X$14+$X$24)*((Quesería!$B$40*$C$996*$C$993)-(Quesería!$B$40*$C$996*$C$993)/(Quesería!$B$42-Quesería!$B$43)*MAX(0,MIN(F$43-1-1-Quesería!$B$43,(Quesería!$B$42-Quesería!$B$43)))),0))*F995</f>
        <v>81.455966861483</v>
      </c>
      <c r="G1023" s="35" t="n">
        <f aca="false">(IF(AND(G$43&gt;0,G$43&lt;=0+Quesería!$B$42),($X$14+$X$24)*((Quesería!$B$40*$B$996*$B$993)-(Quesería!$B$40*$B$996*$B$993)/(Quesería!$B$42-Quesería!$B$43)*MAX(0,MIN(G$43-1-0-Quesería!$B$43,(Quesería!$B$42-Quesería!$B$43)))),0)+IF(AND(G$43&gt;1,G$43&lt;=1+Quesería!$B$42),($X$14+$X$24)*((Quesería!$B$40*$C$996*$C$993)-(Quesería!$B$40*$C$996*$C$993)/(Quesería!$B$42-Quesería!$B$43)*MAX(0,MIN(G$43-1-1-Quesería!$B$43,(Quesería!$B$42-Quesería!$B$43)))),0))*G995</f>
        <v>60.9998013511061</v>
      </c>
      <c r="H1023" s="35" t="n">
        <f aca="false">(IF(AND(H$43&gt;0,H$43&lt;=0+Quesería!$B$42),($X$14+$X$24)*((Quesería!$B$40*$B$996*$B$993)-(Quesería!$B$40*$B$996*$B$993)/(Quesería!$B$42-Quesería!$B$43)*MAX(0,MIN(H$43-1-0-Quesería!$B$43,(Quesería!$B$42-Quesería!$B$43)))),0)+IF(AND(H$43&gt;1,H$43&lt;=1+Quesería!$B$42),($X$14+$X$24)*((Quesería!$B$40*$C$996*$C$993)-(Quesería!$B$40*$C$996*$C$993)/(Quesería!$B$42-Quesería!$B$43)*MAX(0,MIN(H$43-1-1-Quesería!$B$43,(Quesería!$B$42-Quesería!$B$43)))),0))*H995</f>
        <v>41.9966900414366</v>
      </c>
      <c r="I1023" s="35" t="n">
        <f aca="false">(IF(AND(I$43&gt;0,I$43&lt;=0+Quesería!$B$42),($X$14+$X$24)*((Quesería!$B$40*$B$996*$B$993)-(Quesería!$B$40*$B$996*$B$993)/(Quesería!$B$42-Quesería!$B$43)*MAX(0,MIN(I$43-1-0-Quesería!$B$43,(Quesería!$B$42-Quesería!$B$43)))),0)+IF(AND(I$43&gt;1,I$43&lt;=1+Quesería!$B$42),($X$14+$X$24)*((Quesería!$B$40*$C$996*$C$993)-(Quesería!$B$40*$C$996*$C$993)/(Quesería!$B$42-Quesería!$B$43)*MAX(0,MIN(I$43-1-1-Quesería!$B$43,(Quesería!$B$42-Quesería!$B$43)))),0))*I995</f>
        <v>24.3651201322873</v>
      </c>
      <c r="J1023" s="35" t="n">
        <f aca="false">(IF(AND(J$43&gt;0,J$43&lt;=0+Quesería!$B$42),($X$14+$X$24)*((Quesería!$B$40*$B$996*$B$993)-(Quesería!$B$40*$B$996*$B$993)/(Quesería!$B$42-Quesería!$B$43)*MAX(0,MIN(J$43-1-0-Quesería!$B$43,(Quesería!$B$42-Quesería!$B$43)))),0)+IF(AND(J$43&gt;1,J$43&lt;=1+Quesería!$B$42),($X$14+$X$24)*((Quesería!$B$40*$C$996*$C$993)-(Quesería!$B$40*$C$996*$C$993)/(Quesería!$B$42-Quesería!$B$43)*MAX(0,MIN(J$43-1-1-Quesería!$B$43,(Quesería!$B$42-Quesería!$B$43)))),0))*J995</f>
        <v>8.02769955040774</v>
      </c>
      <c r="K1023" s="35" t="n">
        <f aca="false">(IF(AND(K$43&gt;0,K$43&lt;=0+Quesería!$B$42),($X$14+$X$24)*((Quesería!$B$40*$B$996*$B$993)-(Quesería!$B$40*$B$996*$B$993)/(Quesería!$B$42-Quesería!$B$43)*MAX(0,MIN(K$43-1-0-Quesería!$B$43,(Quesería!$B$42-Quesería!$B$43)))),0)+IF(AND(K$43&gt;1,K$43&lt;=1+Quesería!$B$42),($X$14+$X$24)*((Quesería!$B$40*$C$996*$C$993)-(Quesería!$B$40*$C$996*$C$993)/(Quesería!$B$42-Quesería!$B$43)*MAX(0,MIN(K$43-1-1-Quesería!$B$43,(Quesería!$B$42-Quesería!$B$43)))),0))*K995</f>
        <v>0</v>
      </c>
      <c r="L1023" s="35" t="n">
        <f aca="false">(IF(AND(L$43&gt;0,L$43&lt;=0+Quesería!$B$42),($X$14+$X$24)*((Quesería!$B$40*$B$996*$B$993)-(Quesería!$B$40*$B$996*$B$993)/(Quesería!$B$42-Quesería!$B$43)*MAX(0,MIN(L$43-1-0-Quesería!$B$43,(Quesería!$B$42-Quesería!$B$43)))),0)+IF(AND(L$43&gt;1,L$43&lt;=1+Quesería!$B$42),($X$14+$X$24)*((Quesería!$B$40*$C$996*$C$993)-(Quesería!$B$40*$C$996*$C$993)/(Quesería!$B$42-Quesería!$B$43)*MAX(0,MIN(L$43-1-1-Quesería!$B$43,(Quesería!$B$42-Quesería!$B$43)))),0))*L995</f>
        <v>0</v>
      </c>
    </row>
    <row r="1024" customFormat="false" ht="15" hidden="false" customHeight="false" outlineLevel="0" collapsed="false">
      <c r="A1024" s="6" t="s">
        <v>309</v>
      </c>
      <c r="B1024" s="35" t="n">
        <f aca="false">(IF(AND(B$43&gt;0+Quesería!$B$43,B$43&lt;=0+Quesería!$B$42),(Quesería!$B$40*$B$996*$B$993)/(Quesería!$B$42-Quesería!$B$43),0)+IF(AND(B$43&gt;1+Quesería!$B$43,B$43&lt;=1+Quesería!$B$42),(Quesería!$B$40*$C$996*$C$993)/(Quesería!$B$42-Quesería!$B$43),0))*B995</f>
        <v>0</v>
      </c>
      <c r="C1024" s="35" t="n">
        <f aca="false">(IF(AND(C$43&gt;0+Quesería!$B$43,C$43&lt;=0+Quesería!$B$42),(Quesería!$B$40*$B$996*$B$993)/(Quesería!$B$42-Quesería!$B$43),0)+IF(AND(C$43&gt;1+Quesería!$B$43,C$43&lt;=1+Quesería!$B$42),(Quesería!$B$40*$C$996*$C$993)/(Quesería!$B$42-Quesería!$B$43),0))*C995</f>
        <v>0</v>
      </c>
      <c r="D1024" s="35" t="n">
        <f aca="false">(IF(AND(D$43&gt;0+Quesería!$B$43,D$43&lt;=0+Quesería!$B$42),(Quesería!$B$40*$B$996*$B$993)/(Quesería!$B$42-Quesería!$B$43),0)+IF(AND(D$43&gt;1+Quesería!$B$43,D$43&lt;=1+Quesería!$B$42),(Quesería!$B$40*$C$996*$C$993)/(Quesería!$B$42-Quesería!$B$43),0))*D995</f>
        <v>66.1609382586284</v>
      </c>
      <c r="E1024" s="35" t="n">
        <f aca="false">(IF(AND(E$43&gt;0+Quesería!$B$43,E$43&lt;=0+Quesería!$B$42),(Quesería!$B$40*$B$996*$B$993)/(Quesería!$B$42-Quesería!$B$43),0)+IF(AND(E$43&gt;1+Quesería!$B$43,E$43&lt;=1+Quesería!$B$42),(Quesería!$B$40*$C$996*$C$993)/(Quesería!$B$42-Quesería!$B$43),0))*E995</f>
        <v>132.885251025432</v>
      </c>
      <c r="F1024" s="35" t="n">
        <f aca="false">(IF(AND(F$43&gt;0+Quesería!$B$43,F$43&lt;=0+Quesería!$B$42),(Quesería!$B$40*$B$996*$B$993)/(Quesería!$B$42-Quesería!$B$43),0)+IF(AND(F$43&gt;1+Quesería!$B$43,F$43&lt;=1+Quesería!$B$42),(Quesería!$B$40*$C$996*$C$993)/(Quesería!$B$42-Quesería!$B$43),0))*F995</f>
        <v>127.774279832146</v>
      </c>
      <c r="G1024" s="35" t="n">
        <f aca="false">(IF(AND(G$43&gt;0+Quesería!$B$43,G$43&lt;=0+Quesería!$B$42),(Quesería!$B$40*$B$996*$B$993)/(Quesería!$B$42-Quesería!$B$43),0)+IF(AND(G$43&gt;1+Quesería!$B$43,G$43&lt;=1+Quesería!$B$42),(Quesería!$B$40*$C$996*$C$993)/(Quesería!$B$42-Quesería!$B$43),0))*G995</f>
        <v>122.859884453986</v>
      </c>
      <c r="H1024" s="35" t="n">
        <f aca="false">(IF(AND(H$43&gt;0+Quesería!$B$43,H$43&lt;=0+Quesería!$B$42),(Quesería!$B$40*$B$996*$B$993)/(Quesería!$B$42-Quesería!$B$43),0)+IF(AND(H$43&gt;1+Quesería!$B$43,H$43&lt;=1+Quesería!$B$42),(Quesería!$B$40*$C$996*$C$993)/(Quesería!$B$42-Quesería!$B$43),0))*H995</f>
        <v>118.134504282679</v>
      </c>
      <c r="I1024" s="35" t="n">
        <f aca="false">(IF(AND(I$43&gt;0+Quesería!$B$43,I$43&lt;=0+Quesería!$B$42),(Quesería!$B$40*$B$996*$B$993)/(Quesería!$B$42-Quesería!$B$43),0)+IF(AND(I$43&gt;1+Quesería!$B$43,I$43&lt;=1+Quesería!$B$42),(Quesería!$B$40*$C$996*$C$993)/(Quesería!$B$42-Quesería!$B$43),0))*I995</f>
        <v>113.590869502576</v>
      </c>
      <c r="J1024" s="35" t="n">
        <f aca="false">(IF(AND(J$43&gt;0+Quesería!$B$43,J$43&lt;=0+Quesería!$B$42),(Quesería!$B$40*$B$996*$B$993)/(Quesería!$B$42-Quesería!$B$43),0)+IF(AND(J$43&gt;1+Quesería!$B$43,J$43&lt;=1+Quesería!$B$42),(Quesería!$B$40*$C$996*$C$993)/(Quesería!$B$42-Quesería!$B$43),0))*J995</f>
        <v>56.9340393645939</v>
      </c>
      <c r="K1024" s="35" t="n">
        <f aca="false">(IF(AND(K$43&gt;0+Quesería!$B$43,K$43&lt;=0+Quesería!$B$42),(Quesería!$B$40*$B$996*$B$993)/(Quesería!$B$42-Quesería!$B$43),0)+IF(AND(K$43&gt;1+Quesería!$B$43,K$43&lt;=1+Quesería!$B$42),(Quesería!$B$40*$C$996*$C$993)/(Quesería!$B$42-Quesería!$B$43),0))*K995</f>
        <v>0</v>
      </c>
      <c r="L1024" s="35" t="n">
        <f aca="false">(IF(AND(L$43&gt;0+Quesería!$B$43,L$43&lt;=0+Quesería!$B$42),(Quesería!$B$40*$B$996*$B$993)/(Quesería!$B$42-Quesería!$B$43),0)+IF(AND(L$43&gt;1+Quesería!$B$43,L$43&lt;=1+Quesería!$B$42),(Quesería!$B$40*$C$996*$C$993)/(Quesería!$B$42-Quesería!$B$43),0))*L995</f>
        <v>0</v>
      </c>
    </row>
    <row r="1025" customFormat="false" ht="15" hidden="false" customHeight="false" outlineLevel="0" collapsed="false">
      <c r="A1025" s="6" t="s">
        <v>310</v>
      </c>
      <c r="B1025" s="35" t="n">
        <f aca="false">$X$13*Quesería!$B$44*(1+0.19)*B1021*B995+(1-$X$13)*IF(B$43=0,Quesería!$B$53,0)</f>
        <v>10.3147458873051</v>
      </c>
      <c r="C1025" s="35" t="n">
        <f aca="false">$X$13*Quesería!$B$44*(1+0.19)*C1021*C995+(1-$X$13)*IF(C$43=0,Quesería!$B$53,0)</f>
        <v>20.5200161890604</v>
      </c>
      <c r="D1025" s="35" t="n">
        <f aca="false">$X$13*Quesería!$B$44*(1+0.19)*D1021*D995+(1-$X$13)*IF(D$43=0,Quesería!$B$53,0)</f>
        <v>18.0696219493849</v>
      </c>
      <c r="E1025" s="35" t="n">
        <f aca="false">$X$13*Quesería!$B$44*(1+0.19)*E1021*E995+(1-$X$13)*IF(E$43=0,Quesería!$B$53,0)</f>
        <v>14.2277808602599</v>
      </c>
      <c r="F1025" s="35" t="n">
        <f aca="false">$X$13*Quesería!$B$44*(1+0.19)*F1021*F995+(1-$X$13)*IF(F$43=0,Quesería!$B$53,0)</f>
        <v>10.6547357987756</v>
      </c>
      <c r="G1025" s="35" t="n">
        <f aca="false">$X$13*Quesería!$B$44*(1+0.19)*G1021*G995+(1-$X$13)*IF(G$43=0,Quesería!$B$53,0)</f>
        <v>7.33549334429865</v>
      </c>
      <c r="H1025" s="35" t="n">
        <f aca="false">$X$13*Quesería!$B$44*(1+0.19)*H1021*H995+(1-$X$13)*IF(H$43=0,Quesería!$B$53,0)</f>
        <v>4.25581578898442</v>
      </c>
      <c r="I1025" s="35" t="n">
        <f aca="false">$X$13*Quesería!$B$44*(1+0.19)*I1021*I995+(1-$X$13)*IF(I$43=0,Quesería!$B$53,0)</f>
        <v>1.40218518564067</v>
      </c>
      <c r="J1025" s="35" t="n">
        <f aca="false">$X$13*Quesería!$B$44*(1+0.19)*J1021*J995+(1-$X$13)*IF(J$43=0,Quesería!$B$53,0)</f>
        <v>0</v>
      </c>
      <c r="K1025" s="35" t="n">
        <f aca="false">$X$13*Quesería!$B$44*(1+0.19)*K1021*K995+(1-$X$13)*IF(K$43=0,Quesería!$B$53,0)</f>
        <v>0</v>
      </c>
      <c r="L1025" s="35" t="n">
        <f aca="false">$X$13*Quesería!$B$44*(1+0.19)*L1021*L995+(1-$X$13)*IF(L$43=0,Quesería!$B$53,0)</f>
        <v>0</v>
      </c>
    </row>
    <row r="1026" customFormat="false" ht="15" hidden="false" customHeight="false" outlineLevel="0" collapsed="false">
      <c r="A1026" s="6" t="s">
        <v>311</v>
      </c>
      <c r="B1026" s="35" t="n">
        <f aca="false">Quesería!$B$45*(B1023+B1024+B1025)</f>
        <v>0.0412589835492206</v>
      </c>
      <c r="C1026" s="35" t="n">
        <f aca="false">Quesería!$B$45*(C1023+C1024+C1025)</f>
        <v>0.316043667501464</v>
      </c>
      <c r="D1026" s="35" t="n">
        <f aca="false">Quesería!$B$45*(D1023+D1024+D1025)</f>
        <v>0.804593277880917</v>
      </c>
      <c r="E1026" s="35" t="n">
        <f aca="false">Quesería!$B$45*(E1023+E1024+E1025)</f>
        <v>1.00225623126488</v>
      </c>
      <c r="F1026" s="35" t="n">
        <f aca="false">Quesería!$B$45*(F1023+F1024+F1025)</f>
        <v>0.879539929969618</v>
      </c>
      <c r="G1026" s="35" t="n">
        <f aca="false">Quesería!$B$45*(G1023+G1024+G1025)</f>
        <v>0.764780716597565</v>
      </c>
      <c r="H1026" s="35" t="n">
        <f aca="false">Quesería!$B$45*(H1023+H1024+H1025)</f>
        <v>0.657548040452401</v>
      </c>
      <c r="I1026" s="35" t="n">
        <f aca="false">Quesería!$B$45*(I1023+I1024+I1025)</f>
        <v>0.557432699282017</v>
      </c>
      <c r="J1026" s="35" t="n">
        <f aca="false">Quesería!$B$45*(J1023+J1024+J1025)</f>
        <v>0.259846955660007</v>
      </c>
      <c r="K1026" s="35" t="n">
        <f aca="false">Quesería!$B$45*(K1023+K1024+K1025)</f>
        <v>0</v>
      </c>
      <c r="L1026" s="35" t="n">
        <f aca="false">Quesería!$B$45*(L1023+L1024+L1025)</f>
        <v>0</v>
      </c>
    </row>
    <row r="1027" customFormat="false" ht="15" hidden="false" customHeight="false" outlineLevel="0" collapsed="false">
      <c r="A1027" s="6" t="s">
        <v>312</v>
      </c>
      <c r="B1027" s="35" t="n">
        <f aca="false">$X$17*(B1023+B1025+0.5*B1026)</f>
        <v>3.61738138267791</v>
      </c>
      <c r="C1027" s="35" t="n">
        <f aca="false">$X$17*(C1023+C1025+0.5*C1026)</f>
        <v>27.7091285481909</v>
      </c>
      <c r="D1027" s="35" t="n">
        <f aca="false">$X$17*(D1023+D1025+0.5*D1026)</f>
        <v>47.3863872476894</v>
      </c>
      <c r="E1027" s="35" t="n">
        <f aca="false">$X$17*(E1023+E1025+0.5*E1026)</f>
        <v>41.3629772172472</v>
      </c>
      <c r="F1027" s="35" t="n">
        <f aca="false">$X$17*(F1023+F1025+0.5*F1026)</f>
        <v>32.3926654188352</v>
      </c>
      <c r="G1027" s="35" t="n">
        <f aca="false">$X$17*(G1023+G1025+0.5*G1026)</f>
        <v>24.0511897687962</v>
      </c>
      <c r="H1027" s="35" t="n">
        <f aca="false">$X$17*(H1023+H1025+0.5*H1026)</f>
        <v>16.3034479477265</v>
      </c>
      <c r="I1027" s="35" t="n">
        <f aca="false">$X$17*(I1023+I1025+0.5*I1026)</f>
        <v>9.11610758364914</v>
      </c>
      <c r="J1027" s="35" t="n">
        <f aca="false">$X$17*(J1023+J1025+0.5*J1026)</f>
        <v>2.85516805988321</v>
      </c>
      <c r="K1027" s="35" t="n">
        <f aca="false">$X$17*(K1023+K1025+0.5*K1026)</f>
        <v>0</v>
      </c>
      <c r="L1027" s="35" t="n">
        <f aca="false">$X$17*(L1023+L1025+0.5*L1026)</f>
        <v>0</v>
      </c>
    </row>
    <row r="1028" customFormat="false" ht="15" hidden="false" customHeight="false" outlineLevel="0" collapsed="false">
      <c r="A1028" s="5" t="s">
        <v>313</v>
      </c>
      <c r="B1028" s="37" t="n">
        <f aca="false">B1013+B1022-B1023-B1024-B1025-B1026+B1027</f>
        <v>-267.985155728064</v>
      </c>
      <c r="C1028" s="37" t="n">
        <f aca="false">C1013+C1022-C1023-C1024-C1025-C1026+C1027</f>
        <v>-184.929854256342</v>
      </c>
      <c r="D1028" s="37" t="n">
        <f aca="false">D1013+D1022-D1023-D1024-D1025-D1026+D1027</f>
        <v>186.417172110669</v>
      </c>
      <c r="E1028" s="37" t="n">
        <f aca="false">E1013+E1022-E1023-E1024-E1025-E1026+E1027</f>
        <v>39.9508033719721</v>
      </c>
      <c r="F1028" s="37" t="n">
        <f aca="false">F1013+F1022-F1023-F1024-F1025-F1026+F1027</f>
        <v>63.034255437679</v>
      </c>
      <c r="G1028" s="37" t="n">
        <f aca="false">G1013+G1022-G1023-G1024-G1025-G1026+G1027</f>
        <v>50.5091351526537</v>
      </c>
      <c r="H1028" s="37" t="n">
        <f aca="false">H1013+H1022-H1023-H1024-H1025-H1026+H1027</f>
        <v>64.9386274545279</v>
      </c>
      <c r="I1028" s="37" t="n">
        <f aca="false">I1013+I1022-I1023-I1024-I1025-I1026+I1027</f>
        <v>127.880930776355</v>
      </c>
      <c r="J1028" s="37" t="n">
        <f aca="false">J1013+J1022-J1023-J1024-J1025-J1026+J1027</f>
        <v>188.724757014854</v>
      </c>
      <c r="K1028" s="37" t="n">
        <f aca="false">K1013+K1022-K1023-K1024-K1025-K1026+K1027</f>
        <v>250.00991282035</v>
      </c>
      <c r="L1028" s="37" t="n">
        <f aca="false">L1013+L1022-L1023-L1024-L1025-L1026+L1027</f>
        <v>319.96150304972</v>
      </c>
    </row>
    <row r="1029" customFormat="false" ht="15" hidden="false" customHeight="false" outlineLevel="0" collapsed="false">
      <c r="A1029" s="9" t="s">
        <v>314</v>
      </c>
      <c r="B1029" s="36" t="n">
        <f aca="false">B1028*B993</f>
        <v>-284.064265071747</v>
      </c>
      <c r="C1029" s="36" t="n">
        <f aca="false">C1028*C993</f>
        <v>-205.826927787309</v>
      </c>
      <c r="D1029" s="36" t="n">
        <f aca="false">D1028*D993</f>
        <v>216.819016624338</v>
      </c>
      <c r="E1029" s="36" t="n">
        <f aca="false">E1028*E993</f>
        <v>48.3248273454858</v>
      </c>
      <c r="F1029" s="36" t="n">
        <f aca="false">F1028*F993</f>
        <v>79.2966354597686</v>
      </c>
      <c r="G1029" s="36" t="n">
        <f aca="false">G1028*G993</f>
        <v>66.0817301286279</v>
      </c>
      <c r="H1029" s="36" t="n">
        <f aca="false">H1028*H993</f>
        <v>88.3584150680925</v>
      </c>
      <c r="I1029" s="36" t="n">
        <f aca="false">I1028*I993</f>
        <v>180.96056347192</v>
      </c>
      <c r="J1029" s="36" t="n">
        <f aca="false">J1028*J993</f>
        <v>277.741237021842</v>
      </c>
      <c r="K1029" s="36" t="n">
        <f aca="false">K1028*K993</f>
        <v>382.650300336277</v>
      </c>
      <c r="L1029" s="36" t="n">
        <f aca="false">L1028*L993</f>
        <v>509.302604889268</v>
      </c>
    </row>
    <row r="1030" customFormat="false" ht="15" hidden="false" customHeight="false" outlineLevel="0" collapsed="false">
      <c r="A1030" s="9" t="s">
        <v>315</v>
      </c>
      <c r="B1030" s="34" t="n">
        <f aca="false">(B993/$B$993)/(1+Quesería!$B$46+$X$24)^B$43</f>
        <v>1</v>
      </c>
      <c r="C1030" s="34" t="n">
        <f aca="false">(C993/$B$993)/(1+Quesería!$B$46+$X$24)^C$43</f>
        <v>0.84</v>
      </c>
      <c r="D1030" s="34" t="n">
        <f aca="false">(D993/$B$993)/(1+Quesería!$B$46+$X$24)^D$43</f>
        <v>0.70224</v>
      </c>
      <c r="E1030" s="34" t="n">
        <f aca="false">(E993/$B$993)/(1+Quesería!$B$46+$X$24)^E$43</f>
        <v>0.58426368</v>
      </c>
      <c r="F1030" s="34" t="n">
        <f aca="false">(F993/$B$993)/(1+Quesería!$B$46+$X$24)^F$43</f>
        <v>0.48610738176</v>
      </c>
      <c r="G1030" s="34" t="n">
        <f aca="false">(G993/$B$993)/(1+Quesería!$B$46+$X$24)^G$43</f>
        <v>0.40444134162432</v>
      </c>
      <c r="H1030" s="34" t="n">
        <f aca="false">(H993/$B$993)/(1+Quesería!$B$46+$X$24)^H$43</f>
        <v>0.336495196231434</v>
      </c>
      <c r="I1030" s="34" t="n">
        <f aca="false">(I993/$B$993)/(1+Quesería!$B$46+$X$24)^I$43</f>
        <v>0.279964003264553</v>
      </c>
      <c r="J1030" s="34" t="n">
        <f aca="false">(J993/$B$993)/(1+Quesería!$B$46+$X$24)^J$43</f>
        <v>0.232930050716108</v>
      </c>
      <c r="K1030" s="34" t="n">
        <f aca="false">(K993/$B$993)/(1+Quesería!$B$46+$X$24)^K$43</f>
        <v>0.193797802195802</v>
      </c>
      <c r="L1030" s="34" t="n">
        <f aca="false">(L993/$B$993)/(1+Quesería!$B$46+$X$24)^L$43</f>
        <v>0.161239771426907</v>
      </c>
    </row>
    <row r="1031" customFormat="false" ht="15" hidden="false" customHeight="false" outlineLevel="0" collapsed="false">
      <c r="A1031" s="9" t="s">
        <v>316</v>
      </c>
      <c r="B1031" s="36" t="n">
        <f aca="false">B1013+B996+B998+B1027</f>
        <v>28.391811927604</v>
      </c>
      <c r="C1031" s="36" t="n">
        <f aca="false">C1013+C996+C998+C1027</f>
        <v>210.57944969005</v>
      </c>
      <c r="D1031" s="36" t="n">
        <f aca="false">D1013+D996+D998+D1027</f>
        <v>388.37008485878</v>
      </c>
      <c r="E1031" s="36" t="n">
        <f aca="false">E1013+E996+E998+E1027</f>
        <v>291.517117419457</v>
      </c>
      <c r="F1031" s="36" t="n">
        <f aca="false">F1013+F996+F998+F1027</f>
        <v>283.798777860053</v>
      </c>
      <c r="G1031" s="36" t="n">
        <f aca="false">G1013+G996+G998+G1027</f>
        <v>247.535761685309</v>
      </c>
      <c r="H1031" s="36" t="n">
        <f aca="false">H1013+H996+H998+H1027</f>
        <v>236.691050688847</v>
      </c>
      <c r="I1031" s="36" t="n">
        <f aca="false">I1013+I996+I998+I1027</f>
        <v>267.796538296142</v>
      </c>
      <c r="J1031" s="36" t="n">
        <f aca="false">J1013+J996+J998+J1027</f>
        <v>253.946342885515</v>
      </c>
      <c r="K1031" s="36" t="n">
        <f aca="false">K1013+K996+K998+K1027</f>
        <v>250.00991282035</v>
      </c>
      <c r="L1031" s="36" t="n">
        <f aca="false">L1013+L996+L998+L1027</f>
        <v>319.96150304972</v>
      </c>
    </row>
    <row r="1032" customFormat="false" ht="15" hidden="false" customHeight="false" outlineLevel="0" collapsed="false">
      <c r="A1032" s="5" t="s">
        <v>317</v>
      </c>
      <c r="B1032" s="12" t="str">
        <f aca="false">IF(AND(B$43&gt;=1,(B1023+B1024+B1025)&gt;0.001),B1031/(B1023+B1024+B1025),"")</f>
        <v/>
      </c>
      <c r="C1032" s="12" t="n">
        <f aca="false">IF(AND(C$43&gt;=1,(C1023+C1024+C1025)&gt;0.001),C1031/(C1023+C1024+C1025),"")</f>
        <v>2.66519435563852</v>
      </c>
      <c r="D1032" s="12" t="n">
        <f aca="false">IF(AND(D$43&gt;=1,(D1023+D1024+D1025)&gt;0.001),D1031/(D1023+D1024+D1025),"")</f>
        <v>1.93076475051665</v>
      </c>
      <c r="E1032" s="12" t="n">
        <f aca="false">IF(AND(E$43&gt;=1,(E1023+E1024+E1025)&gt;0.001),E1031/(E1023+E1024+E1025),"")</f>
        <v>1.16344347214106</v>
      </c>
      <c r="F1032" s="12" t="n">
        <f aca="false">IF(AND(F$43&gt;=1,(F1023+F1024+F1025)&gt;0.001),F1031/(F1023+F1024+F1025),"")</f>
        <v>1.29066921552888</v>
      </c>
      <c r="G1032" s="12" t="n">
        <f aca="false">IF(AND(G$43&gt;=1,(G1023+G1024+G1025)&gt;0.001),G1031/(G1023+G1024+G1025),"")</f>
        <v>1.29467574855481</v>
      </c>
      <c r="H1032" s="12" t="n">
        <f aca="false">IF(AND(H$43&gt;=1,(H1023+H1024+H1025)&gt;0.001),H1031/(H1023+H1024+H1025),"")</f>
        <v>1.4398403531155</v>
      </c>
      <c r="I1032" s="12" t="n">
        <f aca="false">IF(AND(I$43&gt;=1,(I1023+I1024+I1025)&gt;0.001),I1031/(I1023+I1024+I1025),"")</f>
        <v>1.92164211852708</v>
      </c>
      <c r="J1032" s="12" t="n">
        <f aca="false">IF(AND(J$43&gt;=1,(J1023+J1024+J1025)&gt;0.001),J1031/(J1023+J1024+J1025),"")</f>
        <v>3.90916787522865</v>
      </c>
      <c r="K1032" s="12" t="str">
        <f aca="false">IF(AND(K$43&gt;=1,(K1023+K1024+K1025)&gt;0.001),K1031/(K1023+K1024+K1025),"")</f>
        <v/>
      </c>
      <c r="L1032" s="12" t="str">
        <f aca="false">IF(AND(L$43&gt;=1,(L1023+L1024+L1025)&gt;0.001),L1031/(L1023+L1024+L1025),"")</f>
        <v/>
      </c>
    </row>
    <row r="1034" customFormat="false" ht="15" hidden="false" customHeight="false" outlineLevel="0" collapsed="false">
      <c r="A1034" s="66" t="s">
        <v>649</v>
      </c>
      <c r="B1034" s="67"/>
      <c r="C1034" s="67"/>
      <c r="D1034" s="67"/>
      <c r="E1034" s="67"/>
      <c r="F1034" s="67"/>
      <c r="G1034" s="67"/>
      <c r="H1034" s="67"/>
      <c r="I1034" s="67"/>
      <c r="J1034" s="67"/>
      <c r="K1034" s="67"/>
      <c r="L1034" s="67"/>
    </row>
    <row r="1035" customFormat="false" ht="15" hidden="false" customHeight="false" outlineLevel="0" collapsed="false">
      <c r="A1035" s="9" t="s">
        <v>281</v>
      </c>
      <c r="B1035" s="33" t="n">
        <f aca="false">CHOOSE($Y$15,Entorno!B$7,Entorno!B$8,Entorno!B$9)</f>
        <v>0.06</v>
      </c>
      <c r="C1035" s="33" t="n">
        <f aca="false">CHOOSE($Y$15,Entorno!C$7,Entorno!C$8,Entorno!C$9)</f>
        <v>0.05</v>
      </c>
      <c r="D1035" s="33" t="n">
        <f aca="false">CHOOSE($Y$15,Entorno!D$7,Entorno!D$8,Entorno!D$9)</f>
        <v>0.045</v>
      </c>
      <c r="E1035" s="33" t="n">
        <f aca="false">CHOOSE($Y$15,Entorno!E$7,Entorno!E$8,Entorno!E$9)</f>
        <v>0.04</v>
      </c>
      <c r="F1035" s="33" t="n">
        <f aca="false">CHOOSE($Y$15,Entorno!F$7,Entorno!F$8,Entorno!F$9)</f>
        <v>0.04</v>
      </c>
      <c r="G1035" s="33" t="n">
        <f aca="false">CHOOSE($Y$15,Entorno!G$7,Entorno!G$8,Entorno!G$9)</f>
        <v>0.04</v>
      </c>
      <c r="H1035" s="33" t="n">
        <f aca="false">CHOOSE($Y$15,Entorno!H$7,Entorno!H$8,Entorno!H$9)</f>
        <v>0.04</v>
      </c>
      <c r="I1035" s="33" t="n">
        <f aca="false">CHOOSE($Y$15,Entorno!I$7,Entorno!I$8,Entorno!I$9)</f>
        <v>0.04</v>
      </c>
      <c r="J1035" s="33" t="n">
        <f aca="false">CHOOSE($Y$15,Entorno!J$7,Entorno!J$8,Entorno!J$9)</f>
        <v>0.04</v>
      </c>
      <c r="K1035" s="33" t="n">
        <f aca="false">CHOOSE($Y$15,Entorno!K$7,Entorno!K$8,Entorno!K$9)</f>
        <v>0.04</v>
      </c>
      <c r="L1035" s="33" t="n">
        <f aca="false">CHOOSE($Y$15,Entorno!L$7,Entorno!L$8,Entorno!L$9)</f>
        <v>0.04</v>
      </c>
    </row>
    <row r="1036" customFormat="false" ht="15" hidden="false" customHeight="false" outlineLevel="0" collapsed="false">
      <c r="A1036" s="9" t="s">
        <v>282</v>
      </c>
      <c r="B1036" s="34" t="n">
        <f aca="false">1+B1035</f>
        <v>1.06</v>
      </c>
      <c r="C1036" s="34" t="n">
        <f aca="false">B1036*(1+C1035)</f>
        <v>1.113</v>
      </c>
      <c r="D1036" s="34" t="n">
        <f aca="false">C1036*(1+D1035)</f>
        <v>1.163085</v>
      </c>
      <c r="E1036" s="34" t="n">
        <f aca="false">D1036*(1+E1035)</f>
        <v>1.2096084</v>
      </c>
      <c r="F1036" s="34" t="n">
        <f aca="false">E1036*(1+F1035)</f>
        <v>1.257992736</v>
      </c>
      <c r="G1036" s="34" t="n">
        <f aca="false">F1036*(1+G1035)</f>
        <v>1.30831244544</v>
      </c>
      <c r="H1036" s="34" t="n">
        <f aca="false">G1036*(1+H1035)</f>
        <v>1.3606449432576</v>
      </c>
      <c r="I1036" s="34" t="n">
        <f aca="false">H1036*(1+I1035)</f>
        <v>1.4150707409879</v>
      </c>
      <c r="J1036" s="34" t="n">
        <f aca="false">I1036*(1+J1035)</f>
        <v>1.47167357062742</v>
      </c>
      <c r="K1036" s="34" t="n">
        <f aca="false">J1036*(1+K1035)</f>
        <v>1.53054051345252</v>
      </c>
      <c r="L1036" s="34" t="n">
        <f aca="false">K1036*(1+L1035)</f>
        <v>1.59176213399062</v>
      </c>
    </row>
    <row r="1037" customFormat="false" ht="15" hidden="false" customHeight="false" outlineLevel="0" collapsed="false">
      <c r="A1037" s="9" t="s">
        <v>283</v>
      </c>
      <c r="B1037" s="34" t="n">
        <f aca="false">(1+$Y$16)/(1+B1035)</f>
        <v>1.02358490566038</v>
      </c>
      <c r="C1037" s="34" t="n">
        <f aca="false">B1037*(1+Entorno!$B$13)</f>
        <v>1.02870283018868</v>
      </c>
      <c r="D1037" s="34" t="n">
        <f aca="false">C1037*(1+Entorno!$B$13)</f>
        <v>1.03384634433962</v>
      </c>
      <c r="E1037" s="34" t="n">
        <f aca="false">D1037*(1+Entorno!$B$13)</f>
        <v>1.03901557606132</v>
      </c>
      <c r="F1037" s="34" t="n">
        <f aca="false">E1037*(1+Entorno!$B$13)</f>
        <v>1.04421065394163</v>
      </c>
      <c r="G1037" s="34" t="n">
        <f aca="false">F1037*(1+Entorno!$B$13)</f>
        <v>1.04943170721133</v>
      </c>
      <c r="H1037" s="34" t="n">
        <f aca="false">G1037*(1+Entorno!$B$13)</f>
        <v>1.05467886574739</v>
      </c>
      <c r="I1037" s="34" t="n">
        <f aca="false">H1037*(1+Entorno!$B$13)</f>
        <v>1.05995226007613</v>
      </c>
      <c r="J1037" s="34" t="n">
        <f aca="false">I1037*(1+Entorno!$B$13)</f>
        <v>1.06525202137651</v>
      </c>
      <c r="K1037" s="34" t="n">
        <f aca="false">J1037*(1+Entorno!$B$13)</f>
        <v>1.07057828148339</v>
      </c>
      <c r="L1037" s="34" t="n">
        <f aca="false">K1037*(1+Entorno!$B$13)</f>
        <v>1.07593117289081</v>
      </c>
    </row>
    <row r="1038" customFormat="false" ht="15" hidden="false" customHeight="false" outlineLevel="0" collapsed="false">
      <c r="A1038" s="9" t="s">
        <v>284</v>
      </c>
      <c r="B1038" s="34" t="n">
        <f aca="false">1/B1036</f>
        <v>0.943396226415094</v>
      </c>
      <c r="C1038" s="34" t="n">
        <f aca="false">1/C1036</f>
        <v>0.898472596585804</v>
      </c>
      <c r="D1038" s="34" t="n">
        <f aca="false">1/D1036</f>
        <v>0.859782389077324</v>
      </c>
      <c r="E1038" s="34" t="n">
        <f aca="false">1/E1036</f>
        <v>0.826713835651273</v>
      </c>
      <c r="F1038" s="34" t="n">
        <f aca="false">1/F1036</f>
        <v>0.794917149664686</v>
      </c>
      <c r="G1038" s="34" t="n">
        <f aca="false">1/G1036</f>
        <v>0.764343413139121</v>
      </c>
      <c r="H1038" s="34" t="n">
        <f aca="false">1/H1036</f>
        <v>0.734945589556847</v>
      </c>
      <c r="I1038" s="34" t="n">
        <f aca="false">1/I1036</f>
        <v>0.706678451496968</v>
      </c>
      <c r="J1038" s="34" t="n">
        <f aca="false">1/J1036</f>
        <v>0.679498511054777</v>
      </c>
      <c r="K1038" s="34" t="n">
        <f aca="false">1/K1036</f>
        <v>0.653363952937286</v>
      </c>
      <c r="L1038" s="34" t="n">
        <f aca="false">1/L1036</f>
        <v>0.628234570132006</v>
      </c>
    </row>
    <row r="1039" customFormat="false" ht="15" hidden="false" customHeight="false" outlineLevel="0" collapsed="false">
      <c r="A1039" s="6" t="s">
        <v>202</v>
      </c>
      <c r="B1039" s="35" t="n">
        <f aca="false">IF(B$43=0,Quesería!$F$80,IF(B$43=1,Quesería!$F$81*$Y$21,0))*$Y$11</f>
        <v>622.243624322401</v>
      </c>
      <c r="C1039" s="35" t="n">
        <f aca="false">IF(C$43=0,Quesería!$F$80,IF(C$43=1,Quesería!$F$81*$Y$21,0))*$Y$11</f>
        <v>0</v>
      </c>
      <c r="D1039" s="35" t="n">
        <f aca="false">IF(D$43=0,Quesería!$F$80,IF(D$43=1,Quesería!$F$81*$Y$21,0))*$Y$11</f>
        <v>0</v>
      </c>
      <c r="E1039" s="35" t="n">
        <f aca="false">IF(E$43=0,Quesería!$F$80,IF(E$43=1,Quesería!$F$81*$Y$21,0))*$Y$11</f>
        <v>0</v>
      </c>
      <c r="F1039" s="35" t="n">
        <f aca="false">IF(F$43=0,Quesería!$F$80,IF(F$43=1,Quesería!$F$81*$Y$21,0))*$Y$11</f>
        <v>0</v>
      </c>
      <c r="G1039" s="35" t="n">
        <f aca="false">IF(G$43=0,Quesería!$F$80,IF(G$43=1,Quesería!$F$81*$Y$21,0))*$Y$11</f>
        <v>0</v>
      </c>
      <c r="H1039" s="35" t="n">
        <f aca="false">IF(H$43=0,Quesería!$F$80,IF(H$43=1,Quesería!$F$81*$Y$21,0))*$Y$11</f>
        <v>0</v>
      </c>
      <c r="I1039" s="35" t="n">
        <f aca="false">IF(I$43=0,Quesería!$F$80,IF(I$43=1,Quesería!$F$81*$Y$21,0))*$Y$11</f>
        <v>0</v>
      </c>
      <c r="J1039" s="35" t="n">
        <f aca="false">IF(J$43=0,Quesería!$F$80,IF(J$43=1,Quesería!$F$81*$Y$21,0))*$Y$11</f>
        <v>0</v>
      </c>
      <c r="K1039" s="35" t="n">
        <f aca="false">IF(K$43=0,Quesería!$F$80,IF(K$43=1,Quesería!$F$81*$Y$21,0))*$Y$11</f>
        <v>0</v>
      </c>
      <c r="L1039" s="35" t="n">
        <f aca="false">IF(L$43=0,Quesería!$F$80,IF(L$43=1,Quesería!$F$81*$Y$21,0))*$Y$11</f>
        <v>0</v>
      </c>
    </row>
    <row r="1040" customFormat="false" ht="15" hidden="false" customHeight="false" outlineLevel="0" collapsed="false">
      <c r="A1040" s="6" t="s">
        <v>285</v>
      </c>
      <c r="B1040" s="35" t="n">
        <f aca="false">IF(B$43=5,Quesería!$F$87,IF(B$43=6,Quesería!$F$88,0))*$Y$11</f>
        <v>0</v>
      </c>
      <c r="C1040" s="35" t="n">
        <f aca="false">IF(C$43=5,Quesería!$F$87,IF(C$43=6,Quesería!$F$88,0))*$Y$11</f>
        <v>0</v>
      </c>
      <c r="D1040" s="35" t="n">
        <f aca="false">IF(D$43=5,Quesería!$F$87,IF(D$43=6,Quesería!$F$88,0))*$Y$11</f>
        <v>0</v>
      </c>
      <c r="E1040" s="35" t="n">
        <f aca="false">IF(E$43=5,Quesería!$F$87,IF(E$43=6,Quesería!$F$88,0))*$Y$11</f>
        <v>0</v>
      </c>
      <c r="F1040" s="35" t="n">
        <f aca="false">IF(F$43=5,Quesería!$F$87,IF(F$43=6,Quesería!$F$88,0))*$Y$11</f>
        <v>0</v>
      </c>
      <c r="G1040" s="35" t="n">
        <f aca="false">IF(G$43=5,Quesería!$F$87,IF(G$43=6,Quesería!$F$88,0))*$Y$11</f>
        <v>26.6666666666667</v>
      </c>
      <c r="H1040" s="35" t="n">
        <f aca="false">IF(H$43=5,Quesería!$F$87,IF(H$43=6,Quesería!$F$88,0))*$Y$11</f>
        <v>35.3045530566667</v>
      </c>
      <c r="I1040" s="35" t="n">
        <f aca="false">IF(I$43=5,Quesería!$F$87,IF(I$43=6,Quesería!$F$88,0))*$Y$11</f>
        <v>0</v>
      </c>
      <c r="J1040" s="35" t="n">
        <f aca="false">IF(J$43=5,Quesería!$F$87,IF(J$43=6,Quesería!$F$88,0))*$Y$11</f>
        <v>0</v>
      </c>
      <c r="K1040" s="35" t="n">
        <f aca="false">IF(K$43=5,Quesería!$F$87,IF(K$43=6,Quesería!$F$88,0))*$Y$11</f>
        <v>0</v>
      </c>
      <c r="L1040" s="35" t="n">
        <f aca="false">IF(L$43=5,Quesería!$F$87,IF(L$43=6,Quesería!$F$88,0))*$Y$11</f>
        <v>0</v>
      </c>
    </row>
    <row r="1041" customFormat="false" ht="15" hidden="false" customHeight="false" outlineLevel="0" collapsed="false">
      <c r="A1041" s="6" t="s">
        <v>286</v>
      </c>
      <c r="B1041" s="35" t="n">
        <f aca="false">Quesería!$B$36*(IF(B$43=0,SUMPRODUCT((Quesería!$C$62:$C$77=0)*(Quesería!$H$62:$H$77&gt;0)*(Quesería!$J$62:$J$77&gt;0)*Quesería!$F$62:$F$77*(1+Quesería!$I$62:$I$77)),IF(B$43=1,SUMPRODUCT((Quesería!$C$62:$C$77=1)*(Quesería!$H$62:$H$77&gt;0)*(Quesería!$J$62:$J$77&gt;0)*Quesería!$F$62:$F$77*(1+Quesería!$I$62:$I$77))*$Y$21,0))*$Y$11+B1040)</f>
        <v>99.347875488093</v>
      </c>
      <c r="C1041" s="35" t="n">
        <f aca="false">Quesería!$B$36*(IF(C$43=0,SUMPRODUCT((Quesería!$C$62:$C$77=0)*(Quesería!$H$62:$H$77&gt;0)*(Quesería!$J$62:$J$77&gt;0)*Quesería!$F$62:$F$77*(1+Quesería!$I$62:$I$77)),IF(C$43=1,SUMPRODUCT((Quesería!$C$62:$C$77=1)*(Quesería!$H$62:$H$77&gt;0)*(Quesería!$J$62:$J$77&gt;0)*Quesería!$F$62:$F$77*(1+Quesería!$I$62:$I$77))*$Y$21,0))*$Y$11+C1040)</f>
        <v>0</v>
      </c>
      <c r="D1041" s="35" t="n">
        <f aca="false">Quesería!$B$36*(IF(D$43=0,SUMPRODUCT((Quesería!$C$62:$C$77=0)*(Quesería!$H$62:$H$77&gt;0)*(Quesería!$J$62:$J$77&gt;0)*Quesería!$F$62:$F$77*(1+Quesería!$I$62:$I$77)),IF(D$43=1,SUMPRODUCT((Quesería!$C$62:$C$77=1)*(Quesería!$H$62:$H$77&gt;0)*(Quesería!$J$62:$J$77&gt;0)*Quesería!$F$62:$F$77*(1+Quesería!$I$62:$I$77))*$Y$21,0))*$Y$11+D1040)</f>
        <v>0</v>
      </c>
      <c r="E1041" s="35" t="n">
        <f aca="false">Quesería!$B$36*(IF(E$43=0,SUMPRODUCT((Quesería!$C$62:$C$77=0)*(Quesería!$H$62:$H$77&gt;0)*(Quesería!$J$62:$J$77&gt;0)*Quesería!$F$62:$F$77*(1+Quesería!$I$62:$I$77)),IF(E$43=1,SUMPRODUCT((Quesería!$C$62:$C$77=1)*(Quesería!$H$62:$H$77&gt;0)*(Quesería!$J$62:$J$77&gt;0)*Quesería!$F$62:$F$77*(1+Quesería!$I$62:$I$77))*$Y$21,0))*$Y$11+E1040)</f>
        <v>0</v>
      </c>
      <c r="F1041" s="35" t="n">
        <f aca="false">Quesería!$B$36*(IF(F$43=0,SUMPRODUCT((Quesería!$C$62:$C$77=0)*(Quesería!$H$62:$H$77&gt;0)*(Quesería!$J$62:$J$77&gt;0)*Quesería!$F$62:$F$77*(1+Quesería!$I$62:$I$77)),IF(F$43=1,SUMPRODUCT((Quesería!$C$62:$C$77=1)*(Quesería!$H$62:$H$77&gt;0)*(Quesería!$J$62:$J$77&gt;0)*Quesería!$F$62:$F$77*(1+Quesería!$I$62:$I$77))*$Y$21,0))*$Y$11+F1040)</f>
        <v>0</v>
      </c>
      <c r="G1041" s="35" t="n">
        <f aca="false">Quesería!$B$36*(IF(G$43=0,SUMPRODUCT((Quesería!$C$62:$C$77=0)*(Quesería!$H$62:$H$77&gt;0)*(Quesería!$J$62:$J$77&gt;0)*Quesería!$F$62:$F$77*(1+Quesería!$I$62:$I$77)),IF(G$43=1,SUMPRODUCT((Quesería!$C$62:$C$77=1)*(Quesería!$H$62:$H$77&gt;0)*(Quesería!$J$62:$J$77&gt;0)*Quesería!$F$62:$F$77*(1+Quesería!$I$62:$I$77))*$Y$21,0))*$Y$11+G1040)</f>
        <v>5.06666666666667</v>
      </c>
      <c r="H1041" s="35" t="n">
        <f aca="false">Quesería!$B$36*(IF(H$43=0,SUMPRODUCT((Quesería!$C$62:$C$77=0)*(Quesería!$H$62:$H$77&gt;0)*(Quesería!$J$62:$J$77&gt;0)*Quesería!$F$62:$F$77*(1+Quesería!$I$62:$I$77)),IF(H$43=1,SUMPRODUCT((Quesería!$C$62:$C$77=1)*(Quesería!$H$62:$H$77&gt;0)*(Quesería!$J$62:$J$77&gt;0)*Quesería!$F$62:$F$77*(1+Quesería!$I$62:$I$77))*$Y$21,0))*$Y$11+H1040)</f>
        <v>6.70786508076667</v>
      </c>
      <c r="I1041" s="35" t="n">
        <f aca="false">Quesería!$B$36*(IF(I$43=0,SUMPRODUCT((Quesería!$C$62:$C$77=0)*(Quesería!$H$62:$H$77&gt;0)*(Quesería!$J$62:$J$77&gt;0)*Quesería!$F$62:$F$77*(1+Quesería!$I$62:$I$77)),IF(I$43=1,SUMPRODUCT((Quesería!$C$62:$C$77=1)*(Quesería!$H$62:$H$77&gt;0)*(Quesería!$J$62:$J$77&gt;0)*Quesería!$F$62:$F$77*(1+Quesería!$I$62:$I$77))*$Y$21,0))*$Y$11+I1040)</f>
        <v>0</v>
      </c>
      <c r="J1041" s="35" t="n">
        <f aca="false">Quesería!$B$36*(IF(J$43=0,SUMPRODUCT((Quesería!$C$62:$C$77=0)*(Quesería!$H$62:$H$77&gt;0)*(Quesería!$J$62:$J$77&gt;0)*Quesería!$F$62:$F$77*(1+Quesería!$I$62:$I$77)),IF(J$43=1,SUMPRODUCT((Quesería!$C$62:$C$77=1)*(Quesería!$H$62:$H$77&gt;0)*(Quesería!$J$62:$J$77&gt;0)*Quesería!$F$62:$F$77*(1+Quesería!$I$62:$I$77))*$Y$21,0))*$Y$11+J1040)</f>
        <v>0</v>
      </c>
      <c r="K1041" s="35" t="n">
        <f aca="false">Quesería!$B$36*(IF(K$43=0,SUMPRODUCT((Quesería!$C$62:$C$77=0)*(Quesería!$H$62:$H$77&gt;0)*(Quesería!$J$62:$J$77&gt;0)*Quesería!$F$62:$F$77*(1+Quesería!$I$62:$I$77)),IF(K$43=1,SUMPRODUCT((Quesería!$C$62:$C$77=1)*(Quesería!$H$62:$H$77&gt;0)*(Quesería!$J$62:$J$77&gt;0)*Quesería!$F$62:$F$77*(1+Quesería!$I$62:$I$77))*$Y$21,0))*$Y$11+K1040)</f>
        <v>0</v>
      </c>
      <c r="L1041" s="35" t="n">
        <f aca="false">Quesería!$B$36*(IF(L$43=0,SUMPRODUCT((Quesería!$C$62:$C$77=0)*(Quesería!$H$62:$H$77&gt;0)*(Quesería!$J$62:$J$77&gt;0)*Quesería!$F$62:$F$77*(1+Quesería!$I$62:$I$77)),IF(L$43=1,SUMPRODUCT((Quesería!$C$62:$C$77=1)*(Quesería!$H$62:$H$77&gt;0)*(Quesería!$J$62:$J$77&gt;0)*Quesería!$F$62:$F$77*(1+Quesería!$I$62:$I$77))*$Y$21,0))*$Y$11+L1040)</f>
        <v>0</v>
      </c>
    </row>
    <row r="1042" customFormat="false" ht="15" hidden="false" customHeight="false" outlineLevel="0" collapsed="false">
      <c r="A1042" s="6" t="s">
        <v>260</v>
      </c>
      <c r="B1042" s="35" t="n">
        <f aca="false">IF(B$43=0,($Y$22*Quesería!$J$109+(1-$Y$22)*Quesería!$E$105)*Quesería!$B$12*Quesería!$B$13/12*$Y$23,(($Y$22*Quesería!$J$109+(1-$Y$22)*Quesería!$E$105)+($Y$22*Quesería!$J$92+(1-$Y$22)*Quesería!$E$92)*(B1037-1))*IF(B$43=1,Quesería!$B$12,1))*$Y$10</f>
        <v>45.6373732102639</v>
      </c>
      <c r="C1042" s="35" t="n">
        <f aca="false">IF(C$43=0,($Y$22*Quesería!$J$109+(1-$Y$22)*Quesería!$E$105)*Quesería!$B$12*Quesería!$B$13/12*$Y$23,(($Y$22*Quesería!$J$109+(1-$Y$22)*Quesería!$E$105)+($Y$22*Quesería!$J$92+(1-$Y$22)*Quesería!$E$92)*(C1037-1))*IF(C$43=1,Quesería!$B$12,1))*$Y$10</f>
        <v>137.165278593056</v>
      </c>
      <c r="D1042" s="35" t="n">
        <f aca="false">IF(D$43=0,($Y$22*Quesería!$J$109+(1-$Y$22)*Quesería!$E$105)*Quesería!$B$12*Quesería!$B$13/12*$Y$23,(($Y$22*Quesería!$J$109+(1-$Y$22)*Quesería!$E$105)+($Y$22*Quesería!$J$92+(1-$Y$22)*Quesería!$E$92)*(D1037-1))*IF(D$43=1,Quesería!$B$12,1))*$Y$10</f>
        <v>182.947525850489</v>
      </c>
      <c r="E1042" s="35" t="n">
        <f aca="false">IF(E$43=0,($Y$22*Quesería!$J$109+(1-$Y$22)*Quesería!$E$105)*Quesería!$B$12*Quesería!$B$13/12*$Y$23,(($Y$22*Quesería!$J$109+(1-$Y$22)*Quesería!$E$105)+($Y$22*Quesería!$J$92+(1-$Y$22)*Quesería!$E$92)*(E1037-1))*IF(E$43=1,Quesería!$B$12,1))*$Y$10</f>
        <v>183.008316015537</v>
      </c>
      <c r="F1042" s="35" t="n">
        <f aca="false">IF(F$43=0,($Y$22*Quesería!$J$109+(1-$Y$22)*Quesería!$E$105)*Quesería!$B$12*Quesería!$B$13/12*$Y$23,(($Y$22*Quesería!$J$109+(1-$Y$22)*Quesería!$E$105)+($Y$22*Quesería!$J$92+(1-$Y$22)*Quesería!$E$92)*(F1037-1))*IF(F$43=1,Quesería!$B$12,1))*$Y$10</f>
        <v>183.069410131409</v>
      </c>
      <c r="G1042" s="35" t="n">
        <f aca="false">IF(G$43=0,($Y$22*Quesería!$J$109+(1-$Y$22)*Quesería!$E$105)*Quesería!$B$12*Quesería!$B$13/12*$Y$23,(($Y$22*Quesería!$J$109+(1-$Y$22)*Quesería!$E$105)+($Y$22*Quesería!$J$92+(1-$Y$22)*Quesería!$E$92)*(G1037-1))*IF(G$43=1,Quesería!$B$12,1))*$Y$10</f>
        <v>183.130809717861</v>
      </c>
      <c r="H1042" s="35" t="n">
        <f aca="false">IF(H$43=0,($Y$22*Quesería!$J$109+(1-$Y$22)*Quesería!$E$105)*Quesería!$B$12*Quesería!$B$13/12*$Y$23,(($Y$22*Quesería!$J$109+(1-$Y$22)*Quesería!$E$105)+($Y$22*Quesería!$J$92+(1-$Y$22)*Quesería!$E$92)*(H1037-1))*IF(H$43=1,Quesería!$B$12,1))*$Y$10</f>
        <v>183.192516302245</v>
      </c>
      <c r="I1042" s="35" t="n">
        <f aca="false">IF(I$43=0,($Y$22*Quesería!$J$109+(1-$Y$22)*Quesería!$E$105)*Quesería!$B$12*Quesería!$B$13/12*$Y$23,(($Y$22*Quesería!$J$109+(1-$Y$22)*Quesería!$E$105)+($Y$22*Quesería!$J$92+(1-$Y$22)*Quesería!$E$92)*(I1037-1))*IF(I$43=1,Quesería!$B$12,1))*$Y$10</f>
        <v>183.254531419551</v>
      </c>
      <c r="J1042" s="35" t="n">
        <f aca="false">IF(J$43=0,($Y$22*Quesería!$J$109+(1-$Y$22)*Quesería!$E$105)*Quesería!$B$12*Quesería!$B$13/12*$Y$23,(($Y$22*Quesería!$J$109+(1-$Y$22)*Quesería!$E$105)+($Y$22*Quesería!$J$92+(1-$Y$22)*Quesería!$E$92)*(J1037-1))*IF(J$43=1,Quesería!$B$12,1))*$Y$10</f>
        <v>183.316856612443</v>
      </c>
      <c r="K1042" s="35" t="n">
        <f aca="false">IF(K$43=0,($Y$22*Quesería!$J$109+(1-$Y$22)*Quesería!$E$105)*Quesería!$B$12*Quesería!$B$13/12*$Y$23,(($Y$22*Quesería!$J$109+(1-$Y$22)*Quesería!$E$105)+($Y$22*Quesería!$J$92+(1-$Y$22)*Quesería!$E$92)*(K1037-1))*IF(K$43=1,Quesería!$B$12,1))*$Y$10</f>
        <v>183.3794934313</v>
      </c>
      <c r="L1042" s="35" t="n">
        <f aca="false">IF(L$43=0,($Y$22*Quesería!$J$109+(1-$Y$22)*Quesería!$E$105)*Quesería!$B$12*Quesería!$B$13/12*$Y$23,(($Y$22*Quesería!$J$109+(1-$Y$22)*Quesería!$E$105)+($Y$22*Quesería!$J$92+(1-$Y$22)*Quesería!$E$92)*(L1037-1))*IF(L$43=1,Quesería!$B$12,1))*$Y$10</f>
        <v>183.442443434251</v>
      </c>
    </row>
    <row r="1043" customFormat="false" ht="15" hidden="false" customHeight="false" outlineLevel="0" collapsed="false">
      <c r="A1043" s="6" t="s">
        <v>261</v>
      </c>
      <c r="B1043" s="35" t="n">
        <f aca="false">IF(B$43&lt;=1,0,((($Y$22*Quesería!$J$110+(1-$Y$22)*Quesería!$E$106)-($Y$22*Quesería!$J$99+(1-$Y$22)*Quesería!$E$99)+$Y$6*($Y$22*Quesería!$J$99+(1-$Y$22)*Quesería!$E$99)-(1-$Y$9)*($Y$22*Quesería!$J$102+(1-$Y$22)*Quesería!$E$102))+($Y$6*($Y$22*Quesería!$J$99+(1-$Y$22)*Quesería!$E$99)+$Y$9*($Y$22*Quesería!$J$102+(1-$Y$22)*Quesería!$E$102))*(B1037-1))*IF(B$43=2,Quesería!$B$12,1)+IF(B$43=2,Quesería!$B$14*$Y$9*($Y$22*Quesería!$J$102+(1-$Y$22)*Quesería!$E$102)*B1037,0))*$Y$10*$Y$21</f>
        <v>0</v>
      </c>
      <c r="C1043" s="35" t="n">
        <f aca="false">IF(C$43&lt;=1,0,((($Y$22*Quesería!$J$110+(1-$Y$22)*Quesería!$E$106)-($Y$22*Quesería!$J$99+(1-$Y$22)*Quesería!$E$99)+$Y$6*($Y$22*Quesería!$J$99+(1-$Y$22)*Quesería!$E$99)-(1-$Y$9)*($Y$22*Quesería!$J$102+(1-$Y$22)*Quesería!$E$102))+($Y$6*($Y$22*Quesería!$J$99+(1-$Y$22)*Quesería!$E$99)+$Y$9*($Y$22*Quesería!$J$102+(1-$Y$22)*Quesería!$E$102))*(C1037-1))*IF(C$43=2,Quesería!$B$12,1)+IF(C$43=2,Quesería!$B$14*$Y$9*($Y$22*Quesería!$J$102+(1-$Y$22)*Quesería!$E$102)*C1037,0))*$Y$10*$Y$21</f>
        <v>0</v>
      </c>
      <c r="D1043" s="35" t="n">
        <f aca="false">IF(D$43&lt;=1,0,((($Y$22*Quesería!$J$110+(1-$Y$22)*Quesería!$E$106)-($Y$22*Quesería!$J$99+(1-$Y$22)*Quesería!$E$99)+$Y$6*($Y$22*Quesería!$J$99+(1-$Y$22)*Quesería!$E$99)-(1-$Y$9)*($Y$22*Quesería!$J$102+(1-$Y$22)*Quesería!$E$102))+($Y$6*($Y$22*Quesería!$J$99+(1-$Y$22)*Quesería!$E$99)+$Y$9*($Y$22*Quesería!$J$102+(1-$Y$22)*Quesería!$E$102))*(D1037-1))*IF(D$43=2,Quesería!$B$12,1)+IF(D$43=2,Quesería!$B$14*$Y$9*($Y$22*Quesería!$J$102+(1-$Y$22)*Quesería!$E$102)*D1037,0))*$Y$10*$Y$21</f>
        <v>0</v>
      </c>
      <c r="E1043" s="35" t="n">
        <f aca="false">IF(E$43&lt;=1,0,((($Y$22*Quesería!$J$110+(1-$Y$22)*Quesería!$E$106)-($Y$22*Quesería!$J$99+(1-$Y$22)*Quesería!$E$99)+$Y$6*($Y$22*Quesería!$J$99+(1-$Y$22)*Quesería!$E$99)-(1-$Y$9)*($Y$22*Quesería!$J$102+(1-$Y$22)*Quesería!$E$102))+($Y$6*($Y$22*Quesería!$J$99+(1-$Y$22)*Quesería!$E$99)+$Y$9*($Y$22*Quesería!$J$102+(1-$Y$22)*Quesería!$E$102))*(E1037-1))*IF(E$43=2,Quesería!$B$12,1)+IF(E$43=2,Quesería!$B$14*$Y$9*($Y$22*Quesería!$J$102+(1-$Y$22)*Quesería!$E$102)*E1037,0))*$Y$10*$Y$21</f>
        <v>0</v>
      </c>
      <c r="F1043" s="35" t="n">
        <f aca="false">IF(F$43&lt;=1,0,((($Y$22*Quesería!$J$110+(1-$Y$22)*Quesería!$E$106)-($Y$22*Quesería!$J$99+(1-$Y$22)*Quesería!$E$99)+$Y$6*($Y$22*Quesería!$J$99+(1-$Y$22)*Quesería!$E$99)-(1-$Y$9)*($Y$22*Quesería!$J$102+(1-$Y$22)*Quesería!$E$102))+($Y$6*($Y$22*Quesería!$J$99+(1-$Y$22)*Quesería!$E$99)+$Y$9*($Y$22*Quesería!$J$102+(1-$Y$22)*Quesería!$E$102))*(F1037-1))*IF(F$43=2,Quesería!$B$12,1)+IF(F$43=2,Quesería!$B$14*$Y$9*($Y$22*Quesería!$J$102+(1-$Y$22)*Quesería!$E$102)*F1037,0))*$Y$10*$Y$21</f>
        <v>0</v>
      </c>
      <c r="G1043" s="35" t="n">
        <f aca="false">IF(G$43&lt;=1,0,((($Y$22*Quesería!$J$110+(1-$Y$22)*Quesería!$E$106)-($Y$22*Quesería!$J$99+(1-$Y$22)*Quesería!$E$99)+$Y$6*($Y$22*Quesería!$J$99+(1-$Y$22)*Quesería!$E$99)-(1-$Y$9)*($Y$22*Quesería!$J$102+(1-$Y$22)*Quesería!$E$102))+($Y$6*($Y$22*Quesería!$J$99+(1-$Y$22)*Quesería!$E$99)+$Y$9*($Y$22*Quesería!$J$102+(1-$Y$22)*Quesería!$E$102))*(G1037-1))*IF(G$43=2,Quesería!$B$12,1)+IF(G$43=2,Quesería!$B$14*$Y$9*($Y$22*Quesería!$J$102+(1-$Y$22)*Quesería!$E$102)*G1037,0))*$Y$10*$Y$21</f>
        <v>0</v>
      </c>
      <c r="H1043" s="35" t="n">
        <f aca="false">IF(H$43&lt;=1,0,((($Y$22*Quesería!$J$110+(1-$Y$22)*Quesería!$E$106)-($Y$22*Quesería!$J$99+(1-$Y$22)*Quesería!$E$99)+$Y$6*($Y$22*Quesería!$J$99+(1-$Y$22)*Quesería!$E$99)-(1-$Y$9)*($Y$22*Quesería!$J$102+(1-$Y$22)*Quesería!$E$102))+($Y$6*($Y$22*Quesería!$J$99+(1-$Y$22)*Quesería!$E$99)+$Y$9*($Y$22*Quesería!$J$102+(1-$Y$22)*Quesería!$E$102))*(H1037-1))*IF(H$43=2,Quesería!$B$12,1)+IF(H$43=2,Quesería!$B$14*$Y$9*($Y$22*Quesería!$J$102+(1-$Y$22)*Quesería!$E$102)*H1037,0))*$Y$10*$Y$21</f>
        <v>0</v>
      </c>
      <c r="I1043" s="35" t="n">
        <f aca="false">IF(I$43&lt;=1,0,((($Y$22*Quesería!$J$110+(1-$Y$22)*Quesería!$E$106)-($Y$22*Quesería!$J$99+(1-$Y$22)*Quesería!$E$99)+$Y$6*($Y$22*Quesería!$J$99+(1-$Y$22)*Quesería!$E$99)-(1-$Y$9)*($Y$22*Quesería!$J$102+(1-$Y$22)*Quesería!$E$102))+($Y$6*($Y$22*Quesería!$J$99+(1-$Y$22)*Quesería!$E$99)+$Y$9*($Y$22*Quesería!$J$102+(1-$Y$22)*Quesería!$E$102))*(I1037-1))*IF(I$43=2,Quesería!$B$12,1)+IF(I$43=2,Quesería!$B$14*$Y$9*($Y$22*Quesería!$J$102+(1-$Y$22)*Quesería!$E$102)*I1037,0))*$Y$10*$Y$21</f>
        <v>0</v>
      </c>
      <c r="J1043" s="35" t="n">
        <f aca="false">IF(J$43&lt;=1,0,((($Y$22*Quesería!$J$110+(1-$Y$22)*Quesería!$E$106)-($Y$22*Quesería!$J$99+(1-$Y$22)*Quesería!$E$99)+$Y$6*($Y$22*Quesería!$J$99+(1-$Y$22)*Quesería!$E$99)-(1-$Y$9)*($Y$22*Quesería!$J$102+(1-$Y$22)*Quesería!$E$102))+($Y$6*($Y$22*Quesería!$J$99+(1-$Y$22)*Quesería!$E$99)+$Y$9*($Y$22*Quesería!$J$102+(1-$Y$22)*Quesería!$E$102))*(J1037-1))*IF(J$43=2,Quesería!$B$12,1)+IF(J$43=2,Quesería!$B$14*$Y$9*($Y$22*Quesería!$J$102+(1-$Y$22)*Quesería!$E$102)*J1037,0))*$Y$10*$Y$21</f>
        <v>0</v>
      </c>
      <c r="K1043" s="35" t="n">
        <f aca="false">IF(K$43&lt;=1,0,((($Y$22*Quesería!$J$110+(1-$Y$22)*Quesería!$E$106)-($Y$22*Quesería!$J$99+(1-$Y$22)*Quesería!$E$99)+$Y$6*($Y$22*Quesería!$J$99+(1-$Y$22)*Quesería!$E$99)-(1-$Y$9)*($Y$22*Quesería!$J$102+(1-$Y$22)*Quesería!$E$102))+($Y$6*($Y$22*Quesería!$J$99+(1-$Y$22)*Quesería!$E$99)+$Y$9*($Y$22*Quesería!$J$102+(1-$Y$22)*Quesería!$E$102))*(K1037-1))*IF(K$43=2,Quesería!$B$12,1)+IF(K$43=2,Quesería!$B$14*$Y$9*($Y$22*Quesería!$J$102+(1-$Y$22)*Quesería!$E$102)*K1037,0))*$Y$10*$Y$21</f>
        <v>0</v>
      </c>
      <c r="L1043" s="35" t="n">
        <f aca="false">IF(L$43&lt;=1,0,((($Y$22*Quesería!$J$110+(1-$Y$22)*Quesería!$E$106)-($Y$22*Quesería!$J$99+(1-$Y$22)*Quesería!$E$99)+$Y$6*($Y$22*Quesería!$J$99+(1-$Y$22)*Quesería!$E$99)-(1-$Y$9)*($Y$22*Quesería!$J$102+(1-$Y$22)*Quesería!$E$102))+($Y$6*($Y$22*Quesería!$J$99+(1-$Y$22)*Quesería!$E$99)+$Y$9*($Y$22*Quesería!$J$102+(1-$Y$22)*Quesería!$E$102))*(L1037-1))*IF(L$43=2,Quesería!$B$12,1)+IF(L$43=2,Quesería!$B$14*$Y$9*($Y$22*Quesería!$J$102+(1-$Y$22)*Quesería!$E$102)*L1037,0))*$Y$10*$Y$21</f>
        <v>0</v>
      </c>
    </row>
    <row r="1044" customFormat="false" ht="15" hidden="false" customHeight="false" outlineLevel="0" collapsed="false">
      <c r="A1044" s="5" t="s">
        <v>287</v>
      </c>
      <c r="B1044" s="10" t="n">
        <f aca="false">B1042+B1043</f>
        <v>45.6373732102639</v>
      </c>
      <c r="C1044" s="10" t="n">
        <f aca="false">C1042+C1043</f>
        <v>137.165278593056</v>
      </c>
      <c r="D1044" s="10" t="n">
        <f aca="false">D1042+D1043</f>
        <v>182.947525850489</v>
      </c>
      <c r="E1044" s="10" t="n">
        <f aca="false">E1042+E1043</f>
        <v>183.008316015537</v>
      </c>
      <c r="F1044" s="10" t="n">
        <f aca="false">F1042+F1043</f>
        <v>183.069410131409</v>
      </c>
      <c r="G1044" s="10" t="n">
        <f aca="false">G1042+G1043</f>
        <v>183.130809717861</v>
      </c>
      <c r="H1044" s="10" t="n">
        <f aca="false">H1042+H1043</f>
        <v>183.192516302245</v>
      </c>
      <c r="I1044" s="10" t="n">
        <f aca="false">I1042+I1043</f>
        <v>183.254531419551</v>
      </c>
      <c r="J1044" s="10" t="n">
        <f aca="false">J1042+J1043</f>
        <v>183.316856612443</v>
      </c>
      <c r="K1044" s="10" t="n">
        <f aca="false">K1042+K1043</f>
        <v>183.3794934313</v>
      </c>
      <c r="L1044" s="10" t="n">
        <f aca="false">L1042+L1043</f>
        <v>183.442443434251</v>
      </c>
    </row>
    <row r="1045" customFormat="false" ht="15" hidden="false" customHeight="false" outlineLevel="0" collapsed="false">
      <c r="A1045" s="6" t="s">
        <v>288</v>
      </c>
      <c r="B1045" s="35" t="n">
        <f aca="false">(IF(B$43&gt;=1,(Quesería!$B$21+Quesería!$B$54)*Quesería!$F$82*$Y$11+Quesería!$B$22+'Beneficios y costos'!$B$118,0)+IF(B$43&gt;=2,((Quesería!$B$21+Quesería!$B$54)*Quesería!$F$83*$Y$11+'Beneficios y costos'!$C$118)*$Y$21,0))*$Y$12</f>
        <v>0</v>
      </c>
      <c r="C1045" s="35" t="n">
        <f aca="false">(IF(C$43&gt;=1,(Quesería!$B$21+Quesería!$B$54)*Quesería!$F$82*$Y$11+Quesería!$B$22+'Beneficios y costos'!$B$118,0)+IF(C$43&gt;=2,((Quesería!$B$21+Quesería!$B$54)*Quesería!$F$83*$Y$11+'Beneficios y costos'!$C$118)*$Y$21,0))*$Y$12</f>
        <v>36.8921528634167</v>
      </c>
      <c r="D1045" s="35" t="n">
        <f aca="false">(IF(D$43&gt;=1,(Quesería!$B$21+Quesería!$B$54)*Quesería!$F$82*$Y$11+Quesería!$B$22+'Beneficios y costos'!$B$118,0)+IF(D$43&gt;=2,((Quesería!$B$21+Quesería!$B$54)*Quesería!$F$83*$Y$11+'Beneficios y costos'!$C$118)*$Y$21,0))*$Y$12</f>
        <v>36.8921528634167</v>
      </c>
      <c r="E1045" s="35" t="n">
        <f aca="false">(IF(E$43&gt;=1,(Quesería!$B$21+Quesería!$B$54)*Quesería!$F$82*$Y$11+Quesería!$B$22+'Beneficios y costos'!$B$118,0)+IF(E$43&gt;=2,((Quesería!$B$21+Quesería!$B$54)*Quesería!$F$83*$Y$11+'Beneficios y costos'!$C$118)*$Y$21,0))*$Y$12</f>
        <v>36.8921528634167</v>
      </c>
      <c r="F1045" s="35" t="n">
        <f aca="false">(IF(F$43&gt;=1,(Quesería!$B$21+Quesería!$B$54)*Quesería!$F$82*$Y$11+Quesería!$B$22+'Beneficios y costos'!$B$118,0)+IF(F$43&gt;=2,((Quesería!$B$21+Quesería!$B$54)*Quesería!$F$83*$Y$11+'Beneficios y costos'!$C$118)*$Y$21,0))*$Y$12</f>
        <v>36.8921528634167</v>
      </c>
      <c r="G1045" s="35" t="n">
        <f aca="false">(IF(G$43&gt;=1,(Quesería!$B$21+Quesería!$B$54)*Quesería!$F$82*$Y$11+Quesería!$B$22+'Beneficios y costos'!$B$118,0)+IF(G$43&gt;=2,((Quesería!$B$21+Quesería!$B$54)*Quesería!$F$83*$Y$11+'Beneficios y costos'!$C$118)*$Y$21,0))*$Y$12</f>
        <v>36.8921528634167</v>
      </c>
      <c r="H1045" s="35" t="n">
        <f aca="false">(IF(H$43&gt;=1,(Quesería!$B$21+Quesería!$B$54)*Quesería!$F$82*$Y$11+Quesería!$B$22+'Beneficios y costos'!$B$118,0)+IF(H$43&gt;=2,((Quesería!$B$21+Quesería!$B$54)*Quesería!$F$83*$Y$11+'Beneficios y costos'!$C$118)*$Y$21,0))*$Y$12</f>
        <v>36.8921528634167</v>
      </c>
      <c r="I1045" s="35" t="n">
        <f aca="false">(IF(I$43&gt;=1,(Quesería!$B$21+Quesería!$B$54)*Quesería!$F$82*$Y$11+Quesería!$B$22+'Beneficios y costos'!$B$118,0)+IF(I$43&gt;=2,((Quesería!$B$21+Quesería!$B$54)*Quesería!$F$83*$Y$11+'Beneficios y costos'!$C$118)*$Y$21,0))*$Y$12</f>
        <v>36.8921528634167</v>
      </c>
      <c r="J1045" s="35" t="n">
        <f aca="false">(IF(J$43&gt;=1,(Quesería!$B$21+Quesería!$B$54)*Quesería!$F$82*$Y$11+Quesería!$B$22+'Beneficios y costos'!$B$118,0)+IF(J$43&gt;=2,((Quesería!$B$21+Quesería!$B$54)*Quesería!$F$83*$Y$11+'Beneficios y costos'!$C$118)*$Y$21,0))*$Y$12</f>
        <v>36.8921528634167</v>
      </c>
      <c r="K1045" s="35" t="n">
        <f aca="false">(IF(K$43&gt;=1,(Quesería!$B$21+Quesería!$B$54)*Quesería!$F$82*$Y$11+Quesería!$B$22+'Beneficios y costos'!$B$118,0)+IF(K$43&gt;=2,((Quesería!$B$21+Quesería!$B$54)*Quesería!$F$83*$Y$11+'Beneficios y costos'!$C$118)*$Y$21,0))*$Y$12</f>
        <v>36.8921528634167</v>
      </c>
      <c r="L1045" s="35" t="n">
        <f aca="false">(IF(L$43&gt;=1,(Quesería!$B$21+Quesería!$B$54)*Quesería!$F$82*$Y$11+Quesería!$B$22+'Beneficios y costos'!$B$118,0)+IF(L$43&gt;=2,((Quesería!$B$21+Quesería!$B$54)*Quesería!$F$83*$Y$11+'Beneficios y costos'!$C$118)*$Y$21,0))*$Y$12</f>
        <v>36.8921528634167</v>
      </c>
    </row>
    <row r="1046" customFormat="false" ht="15" hidden="false" customHeight="false" outlineLevel="0" collapsed="false">
      <c r="A1046" s="6" t="s">
        <v>289</v>
      </c>
      <c r="B1046" s="35" t="n">
        <f aca="false">IF(B$43=1,2*Quesería!$B$33*Quesería!$B$34/12*B1037,0)*$Y$21</f>
        <v>0</v>
      </c>
      <c r="C1046" s="35" t="n">
        <f aca="false">IF(C$43=1,2*Quesería!$B$33*Quesería!$B$34/12*C1037,0)*$Y$21</f>
        <v>0</v>
      </c>
      <c r="D1046" s="35" t="n">
        <f aca="false">IF(D$43=1,2*Quesería!$B$33*Quesería!$B$34/12*D1037,0)*$Y$21</f>
        <v>0</v>
      </c>
      <c r="E1046" s="35" t="n">
        <f aca="false">IF(E$43=1,2*Quesería!$B$33*Quesería!$B$34/12*E1037,0)*$Y$21</f>
        <v>0</v>
      </c>
      <c r="F1046" s="35" t="n">
        <f aca="false">IF(F$43=1,2*Quesería!$B$33*Quesería!$B$34/12*F1037,0)*$Y$21</f>
        <v>0</v>
      </c>
      <c r="G1046" s="35" t="n">
        <f aca="false">IF(G$43=1,2*Quesería!$B$33*Quesería!$B$34/12*G1037,0)*$Y$21</f>
        <v>0</v>
      </c>
      <c r="H1046" s="35" t="n">
        <f aca="false">IF(H$43=1,2*Quesería!$B$33*Quesería!$B$34/12*H1037,0)*$Y$21</f>
        <v>0</v>
      </c>
      <c r="I1046" s="35" t="n">
        <f aca="false">IF(I$43=1,2*Quesería!$B$33*Quesería!$B$34/12*I1037,0)*$Y$21</f>
        <v>0</v>
      </c>
      <c r="J1046" s="35" t="n">
        <f aca="false">IF(J$43=1,2*Quesería!$B$33*Quesería!$B$34/12*J1037,0)*$Y$21</f>
        <v>0</v>
      </c>
      <c r="K1046" s="35" t="n">
        <f aca="false">IF(K$43=1,2*Quesería!$B$33*Quesería!$B$34/12*K1037,0)*$Y$21</f>
        <v>0</v>
      </c>
      <c r="L1046" s="35" t="n">
        <f aca="false">IF(L$43=1,2*Quesería!$B$33*Quesería!$B$34/12*L1037,0)*$Y$21</f>
        <v>0</v>
      </c>
    </row>
    <row r="1047" customFormat="false" ht="15" hidden="false" customHeight="false" outlineLevel="0" collapsed="false">
      <c r="A1047" s="6" t="s">
        <v>290</v>
      </c>
      <c r="B1047" s="35" t="n">
        <f aca="false">Quesería!$B$45*(B1039+B1040+B1041+B1045+B1046)</f>
        <v>2.88636599924197</v>
      </c>
      <c r="C1047" s="35" t="n">
        <f aca="false">Quesería!$B$45*(C1039+C1040+C1041+C1045+C1046)</f>
        <v>0.147568611453667</v>
      </c>
      <c r="D1047" s="35" t="n">
        <f aca="false">Quesería!$B$45*(D1039+D1040+D1041+D1045+D1046)</f>
        <v>0.147568611453667</v>
      </c>
      <c r="E1047" s="35" t="n">
        <f aca="false">Quesería!$B$45*(E1039+E1040+E1041+E1045+E1046)</f>
        <v>0.147568611453667</v>
      </c>
      <c r="F1047" s="35" t="n">
        <f aca="false">Quesería!$B$45*(F1039+F1040+F1041+F1045+F1046)</f>
        <v>0.147568611453667</v>
      </c>
      <c r="G1047" s="35" t="n">
        <f aca="false">Quesería!$B$45*(G1039+G1040+G1041+G1045+G1046)</f>
        <v>0.274501944787</v>
      </c>
      <c r="H1047" s="35" t="n">
        <f aca="false">Quesería!$B$45*(H1039+H1040+H1041+H1045+H1046)</f>
        <v>0.3156182840034</v>
      </c>
      <c r="I1047" s="35" t="n">
        <f aca="false">Quesería!$B$45*(I1039+I1040+I1041+I1045+I1046)</f>
        <v>0.147568611453667</v>
      </c>
      <c r="J1047" s="35" t="n">
        <f aca="false">Quesería!$B$45*(J1039+J1040+J1041+J1045+J1046)</f>
        <v>0.147568611453667</v>
      </c>
      <c r="K1047" s="35" t="n">
        <f aca="false">Quesería!$B$45*(K1039+K1040+K1041+K1045+K1046)</f>
        <v>0.147568611453667</v>
      </c>
      <c r="L1047" s="35" t="n">
        <f aca="false">Quesería!$B$45*(L1039+L1040+L1041+L1045+L1046)</f>
        <v>0.147568611453667</v>
      </c>
    </row>
    <row r="1048" customFormat="false" ht="15" hidden="false" customHeight="false" outlineLevel="0" collapsed="false">
      <c r="A1048" s="6" t="s">
        <v>291</v>
      </c>
      <c r="B1048" s="35" t="n">
        <f aca="false">(IF($Y$19=1,(SUMPRODUCT((Quesería!$C$62:$C$77=0)*(Quesería!$J$62:$J$77&gt;0)*(B$43&gt;=1)*(B$43&lt;=Quesería!$J$62:$J$77)*(Quesería!$H$62:$H$77&gt;0)*Quesería!$F$62:$F$77*(1+Quesería!$I$62:$I$77)/(Quesería!$J$62:$J$77+(Quesería!$J$62:$J$77=0)))+SUMPRODUCT((Quesería!$C$62:$C$77=0)*(Quesería!$J$62:$J$77=0)*(B$43=0)*(Quesería!$H$62:$H$77&gt;0)*Quesería!$F$62:$F$77*(1+Quesería!$I$62:$I$77)))*$B$1036+(SUMPRODUCT((Quesería!$C$62:$C$77=1)*(Quesería!$J$62:$J$77&gt;0)*(B$43&gt;=2)*(B$43&lt;=Quesería!$J$62:$J$77+1)*(Quesería!$H$62:$H$77&gt;0)*Quesería!$F$62:$F$77*(1+Quesería!$I$62:$I$77)/(Quesería!$J$62:$J$77+(Quesería!$J$62:$J$77=0)))+SUMPRODUCT((Quesería!$C$62:$C$77=1)*(Quesería!$J$62:$J$77=0)*(B$43=1)*(Quesería!$H$62:$H$77&gt;0)*Quesería!$F$62:$F$77*(1+Quesería!$I$62:$I$77)))*$C$1036*$Y$21,IF(AND(B$43&gt;=1,B$43&lt;=Quesería!$B$11),Quesería!$F$80/Quesería!$B$11,0)*$B$1036+IF(AND(B$43&gt;=2,B$43&lt;=Quesería!$B$11+1),Quesería!$F$81/Quesería!$B$11,0)*$C$1036*$Y$21)*$Y$11+IF(AND(B$43&gt;=6,B$43&lt;=10),$G1040*$G1036/5,0)+IF(AND(B$43&gt;=7,B$43&lt;=11),$H1040*$H1036/5,0))*B1038</f>
        <v>99.3600691219113</v>
      </c>
      <c r="C1048" s="35" t="n">
        <f aca="false">(IF($Y$19=1,(SUMPRODUCT((Quesería!$C$62:$C$77=0)*(Quesería!$J$62:$J$77&gt;0)*(C$43&gt;=1)*(C$43&lt;=Quesería!$J$62:$J$77)*(Quesería!$H$62:$H$77&gt;0)*Quesería!$F$62:$F$77*(1+Quesería!$I$62:$I$77)/(Quesería!$J$62:$J$77+(Quesería!$J$62:$J$77=0)))+SUMPRODUCT((Quesería!$C$62:$C$77=0)*(Quesería!$J$62:$J$77=0)*(C$43=0)*(Quesería!$H$62:$H$77&gt;0)*Quesería!$F$62:$F$77*(1+Quesería!$I$62:$I$77)))*$B$1036+(SUMPRODUCT((Quesería!$C$62:$C$77=1)*(Quesería!$J$62:$J$77&gt;0)*(C$43&gt;=2)*(C$43&lt;=Quesería!$J$62:$J$77+1)*(Quesería!$H$62:$H$77&gt;0)*Quesería!$F$62:$F$77*(1+Quesería!$I$62:$I$77)/(Quesería!$J$62:$J$77+(Quesería!$J$62:$J$77=0)))+SUMPRODUCT((Quesería!$C$62:$C$77=1)*(Quesería!$J$62:$J$77=0)*(C$43=1)*(Quesería!$H$62:$H$77&gt;0)*Quesería!$F$62:$F$77*(1+Quesería!$I$62:$I$77)))*$C$1036*$Y$21,IF(AND(C$43&gt;=1,C$43&lt;=Quesería!$B$11),Quesería!$F$80/Quesería!$B$11,0)*$B$1036+IF(AND(C$43&gt;=2,C$43&lt;=Quesería!$B$11+1),Quesería!$F$81/Quesería!$B$11,0)*$C$1036*$Y$21)*$Y$11+IF(AND(C$43&gt;=6,C$43&lt;=10),$G1040*$G1036/5,0)+IF(AND(C$43&gt;=7,C$43&lt;=11),$H1040*$H1036/5,0))*C1038</f>
        <v>57.1000211302053</v>
      </c>
      <c r="D1048" s="35" t="n">
        <f aca="false">(IF($Y$19=1,(SUMPRODUCT((Quesería!$C$62:$C$77=0)*(Quesería!$J$62:$J$77&gt;0)*(D$43&gt;=1)*(D$43&lt;=Quesería!$J$62:$J$77)*(Quesería!$H$62:$H$77&gt;0)*Quesería!$F$62:$F$77*(1+Quesería!$I$62:$I$77)/(Quesería!$J$62:$J$77+(Quesería!$J$62:$J$77=0)))+SUMPRODUCT((Quesería!$C$62:$C$77=0)*(Quesería!$J$62:$J$77=0)*(D$43=0)*(Quesería!$H$62:$H$77&gt;0)*Quesería!$F$62:$F$77*(1+Quesería!$I$62:$I$77)))*$B$1036+(SUMPRODUCT((Quesería!$C$62:$C$77=1)*(Quesería!$J$62:$J$77&gt;0)*(D$43&gt;=2)*(D$43&lt;=Quesería!$J$62:$J$77+1)*(Quesería!$H$62:$H$77&gt;0)*Quesería!$F$62:$F$77*(1+Quesería!$I$62:$I$77)/(Quesería!$J$62:$J$77+(Quesería!$J$62:$J$77=0)))+SUMPRODUCT((Quesería!$C$62:$C$77=1)*(Quesería!$J$62:$J$77=0)*(D$43=1)*(Quesería!$H$62:$H$77&gt;0)*Quesería!$F$62:$F$77*(1+Quesería!$I$62:$I$77)))*$C$1036*$Y$21,IF(AND(D$43&gt;=1,D$43&lt;=Quesería!$B$11),Quesería!$F$80/Quesería!$B$11,0)*$B$1036+IF(AND(D$43&gt;=2,D$43&lt;=Quesería!$B$11+1),Quesería!$F$81/Quesería!$B$11,0)*$C$1036*$Y$21)*$Y$11+IF(AND(D$43&gt;=6,D$43&lt;=10),$G1040*$G1036/5,0)+IF(AND(D$43&gt;=7,D$43&lt;=11),$H1040*$H1036/5,0))*D1038</f>
        <v>54.641168545651</v>
      </c>
      <c r="E1048" s="35" t="n">
        <f aca="false">(IF($Y$19=1,(SUMPRODUCT((Quesería!$C$62:$C$77=0)*(Quesería!$J$62:$J$77&gt;0)*(E$43&gt;=1)*(E$43&lt;=Quesería!$J$62:$J$77)*(Quesería!$H$62:$H$77&gt;0)*Quesería!$F$62:$F$77*(1+Quesería!$I$62:$I$77)/(Quesería!$J$62:$J$77+(Quesería!$J$62:$J$77=0)))+SUMPRODUCT((Quesería!$C$62:$C$77=0)*(Quesería!$J$62:$J$77=0)*(E$43=0)*(Quesería!$H$62:$H$77&gt;0)*Quesería!$F$62:$F$77*(1+Quesería!$I$62:$I$77)))*$B$1036+(SUMPRODUCT((Quesería!$C$62:$C$77=1)*(Quesería!$J$62:$J$77&gt;0)*(E$43&gt;=2)*(E$43&lt;=Quesería!$J$62:$J$77+1)*(Quesería!$H$62:$H$77&gt;0)*Quesería!$F$62:$F$77*(1+Quesería!$I$62:$I$77)/(Quesería!$J$62:$J$77+(Quesería!$J$62:$J$77=0)))+SUMPRODUCT((Quesería!$C$62:$C$77=1)*(Quesería!$J$62:$J$77=0)*(E$43=1)*(Quesería!$H$62:$H$77&gt;0)*Quesería!$F$62:$F$77*(1+Quesería!$I$62:$I$77)))*$C$1036*$Y$21,IF(AND(E$43&gt;=1,E$43&lt;=Quesería!$B$11),Quesería!$F$80/Quesería!$B$11,0)*$B$1036+IF(AND(E$43&gt;=2,E$43&lt;=Quesería!$B$11+1),Quesería!$F$81/Quesería!$B$11,0)*$C$1036*$Y$21)*$Y$11+IF(AND(E$43&gt;=6,E$43&lt;=10),$G1040*$G1036/5,0)+IF(AND(E$43&gt;=7,E$43&lt;=11),$H1040*$H1036/5,0))*E1038</f>
        <v>52.5395851400491</v>
      </c>
      <c r="F1048" s="35" t="n">
        <f aca="false">(IF($Y$19=1,(SUMPRODUCT((Quesería!$C$62:$C$77=0)*(Quesería!$J$62:$J$77&gt;0)*(F$43&gt;=1)*(F$43&lt;=Quesería!$J$62:$J$77)*(Quesería!$H$62:$H$77&gt;0)*Quesería!$F$62:$F$77*(1+Quesería!$I$62:$I$77)/(Quesería!$J$62:$J$77+(Quesería!$J$62:$J$77=0)))+SUMPRODUCT((Quesería!$C$62:$C$77=0)*(Quesería!$J$62:$J$77=0)*(F$43=0)*(Quesería!$H$62:$H$77&gt;0)*Quesería!$F$62:$F$77*(1+Quesería!$I$62:$I$77)))*$B$1036+(SUMPRODUCT((Quesería!$C$62:$C$77=1)*(Quesería!$J$62:$J$77&gt;0)*(F$43&gt;=2)*(F$43&lt;=Quesería!$J$62:$J$77+1)*(Quesería!$H$62:$H$77&gt;0)*Quesería!$F$62:$F$77*(1+Quesería!$I$62:$I$77)/(Quesería!$J$62:$J$77+(Quesería!$J$62:$J$77=0)))+SUMPRODUCT((Quesería!$C$62:$C$77=1)*(Quesería!$J$62:$J$77=0)*(F$43=1)*(Quesería!$H$62:$H$77&gt;0)*Quesería!$F$62:$F$77*(1+Quesería!$I$62:$I$77)))*$C$1036*$Y$21,IF(AND(F$43&gt;=1,F$43&lt;=Quesería!$B$11),Quesería!$F$80/Quesería!$B$11,0)*$B$1036+IF(AND(F$43&gt;=2,F$43&lt;=Quesería!$B$11+1),Quesería!$F$81/Quesería!$B$11,0)*$C$1036*$Y$21)*$Y$11+IF(AND(F$43&gt;=6,F$43&lt;=10),$G1040*$G1036/5,0)+IF(AND(F$43&gt;=7,F$43&lt;=11),$H1040*$H1036/5,0))*F1038</f>
        <v>50.5188318654318</v>
      </c>
      <c r="G1048" s="35" t="n">
        <f aca="false">(IF($Y$19=1,(SUMPRODUCT((Quesería!$C$62:$C$77=0)*(Quesería!$J$62:$J$77&gt;0)*(G$43&gt;=1)*(G$43&lt;=Quesería!$J$62:$J$77)*(Quesería!$H$62:$H$77&gt;0)*Quesería!$F$62:$F$77*(1+Quesería!$I$62:$I$77)/(Quesería!$J$62:$J$77+(Quesería!$J$62:$J$77=0)))+SUMPRODUCT((Quesería!$C$62:$C$77=0)*(Quesería!$J$62:$J$77=0)*(G$43=0)*(Quesería!$H$62:$H$77&gt;0)*Quesería!$F$62:$F$77*(1+Quesería!$I$62:$I$77)))*$B$1036+(SUMPRODUCT((Quesería!$C$62:$C$77=1)*(Quesería!$J$62:$J$77&gt;0)*(G$43&gt;=2)*(G$43&lt;=Quesería!$J$62:$J$77+1)*(Quesería!$H$62:$H$77&gt;0)*Quesería!$F$62:$F$77*(1+Quesería!$I$62:$I$77)/(Quesería!$J$62:$J$77+(Quesería!$J$62:$J$77=0)))+SUMPRODUCT((Quesería!$C$62:$C$77=1)*(Quesería!$J$62:$J$77=0)*(G$43=1)*(Quesería!$H$62:$H$77&gt;0)*Quesería!$F$62:$F$77*(1+Quesería!$I$62:$I$77)))*$C$1036*$Y$21,IF(AND(G$43&gt;=1,G$43&lt;=Quesería!$B$11),Quesería!$F$80/Quesería!$B$11,0)*$B$1036+IF(AND(G$43&gt;=2,G$43&lt;=Quesería!$B$11+1),Quesería!$F$81/Quesería!$B$11,0)*$C$1036*$Y$21)*$Y$11+IF(AND(G$43&gt;=6,G$43&lt;=10),$G1040*$G1036/5,0)+IF(AND(G$43&gt;=7,G$43&lt;=11),$H1040*$H1036/5,0))*G1038</f>
        <v>48.5757998706075</v>
      </c>
      <c r="H1048" s="35" t="n">
        <f aca="false">(IF($Y$19=1,(SUMPRODUCT((Quesería!$C$62:$C$77=0)*(Quesería!$J$62:$J$77&gt;0)*(H$43&gt;=1)*(H$43&lt;=Quesería!$J$62:$J$77)*(Quesería!$H$62:$H$77&gt;0)*Quesería!$F$62:$F$77*(1+Quesería!$I$62:$I$77)/(Quesería!$J$62:$J$77+(Quesería!$J$62:$J$77=0)))+SUMPRODUCT((Quesería!$C$62:$C$77=0)*(Quesería!$J$62:$J$77=0)*(H$43=0)*(Quesería!$H$62:$H$77&gt;0)*Quesería!$F$62:$F$77*(1+Quesería!$I$62:$I$77)))*$B$1036+(SUMPRODUCT((Quesería!$C$62:$C$77=1)*(Quesería!$J$62:$J$77&gt;0)*(H$43&gt;=2)*(H$43&lt;=Quesería!$J$62:$J$77+1)*(Quesería!$H$62:$H$77&gt;0)*Quesería!$F$62:$F$77*(1+Quesería!$I$62:$I$77)/(Quesería!$J$62:$J$77+(Quesería!$J$62:$J$77=0)))+SUMPRODUCT((Quesería!$C$62:$C$77=1)*(Quesería!$J$62:$J$77=0)*(H$43=1)*(Quesería!$H$62:$H$77&gt;0)*Quesería!$F$62:$F$77*(1+Quesería!$I$62:$I$77)))*$C$1036*$Y$21,IF(AND(H$43&gt;=1,H$43&lt;=Quesería!$B$11),Quesería!$F$80/Quesería!$B$11,0)*$B$1036+IF(AND(H$43&gt;=2,H$43&lt;=Quesería!$B$11+1),Quesería!$F$81/Quesería!$B$11,0)*$C$1036*$Y$21)*$Y$11+IF(AND(H$43&gt;=6,H$43&lt;=10),$G1040*$G1036/5,0)+IF(AND(H$43&gt;=7,H$43&lt;=11),$H1040*$H1036/5,0))*H1038</f>
        <v>39.8903893548586</v>
      </c>
      <c r="I1048" s="35" t="n">
        <f aca="false">(IF($Y$19=1,(SUMPRODUCT((Quesería!$C$62:$C$77=0)*(Quesería!$J$62:$J$77&gt;0)*(I$43&gt;=1)*(I$43&lt;=Quesería!$J$62:$J$77)*(Quesería!$H$62:$H$77&gt;0)*Quesería!$F$62:$F$77*(1+Quesería!$I$62:$I$77)/(Quesería!$J$62:$J$77+(Quesería!$J$62:$J$77=0)))+SUMPRODUCT((Quesería!$C$62:$C$77=0)*(Quesería!$J$62:$J$77=0)*(I$43=0)*(Quesería!$H$62:$H$77&gt;0)*Quesería!$F$62:$F$77*(1+Quesería!$I$62:$I$77)))*$B$1036+(SUMPRODUCT((Quesería!$C$62:$C$77=1)*(Quesería!$J$62:$J$77&gt;0)*(I$43&gt;=2)*(I$43&lt;=Quesería!$J$62:$J$77+1)*(Quesería!$H$62:$H$77&gt;0)*Quesería!$F$62:$F$77*(1+Quesería!$I$62:$I$77)/(Quesería!$J$62:$J$77+(Quesería!$J$62:$J$77=0)))+SUMPRODUCT((Quesería!$C$62:$C$77=1)*(Quesería!$J$62:$J$77=0)*(I$43=1)*(Quesería!$H$62:$H$77&gt;0)*Quesería!$F$62:$F$77*(1+Quesería!$I$62:$I$77)))*$C$1036*$Y$21,IF(AND(I$43&gt;=1,I$43&lt;=Quesería!$B$11),Quesería!$F$80/Quesería!$B$11,0)*$B$1036+IF(AND(I$43&gt;=2,I$43&lt;=Quesería!$B$11+1),Quesería!$F$81/Quesería!$B$11,0)*$C$1036*$Y$21)*$Y$11+IF(AND(I$43&gt;=6,I$43&lt;=10),$G1040*$G1036/5,0)+IF(AND(I$43&gt;=7,I$43&lt;=11),$H1040*$H1036/5,0))*I1038</f>
        <v>45.145480736723</v>
      </c>
      <c r="J1048" s="35" t="n">
        <f aca="false">(IF($Y$19=1,(SUMPRODUCT((Quesería!$C$62:$C$77=0)*(Quesería!$J$62:$J$77&gt;0)*(J$43&gt;=1)*(J$43&lt;=Quesería!$J$62:$J$77)*(Quesería!$H$62:$H$77&gt;0)*Quesería!$F$62:$F$77*(1+Quesería!$I$62:$I$77)/(Quesería!$J$62:$J$77+(Quesería!$J$62:$J$77=0)))+SUMPRODUCT((Quesería!$C$62:$C$77=0)*(Quesería!$J$62:$J$77=0)*(J$43=0)*(Quesería!$H$62:$H$77&gt;0)*Quesería!$F$62:$F$77*(1+Quesería!$I$62:$I$77)))*$B$1036+(SUMPRODUCT((Quesería!$C$62:$C$77=1)*(Quesería!$J$62:$J$77&gt;0)*(J$43&gt;=2)*(J$43&lt;=Quesería!$J$62:$J$77+1)*(Quesería!$H$62:$H$77&gt;0)*Quesería!$F$62:$F$77*(1+Quesería!$I$62:$I$77)/(Quesería!$J$62:$J$77+(Quesería!$J$62:$J$77=0)))+SUMPRODUCT((Quesería!$C$62:$C$77=1)*(Quesería!$J$62:$J$77=0)*(J$43=1)*(Quesería!$H$62:$H$77&gt;0)*Quesería!$F$62:$F$77*(1+Quesería!$I$62:$I$77)))*$C$1036*$Y$21,IF(AND(J$43&gt;=1,J$43&lt;=Quesería!$B$11),Quesería!$F$80/Quesería!$B$11,0)*$B$1036+IF(AND(J$43&gt;=2,J$43&lt;=Quesería!$B$11+1),Quesería!$F$81/Quesería!$B$11,0)*$C$1036*$Y$21)*$Y$11+IF(AND(J$43&gt;=6,J$43&lt;=10),$G1040*$G1036/5,0)+IF(AND(J$43&gt;=7,J$43&lt;=11),$H1040*$H1036/5,0))*J1038</f>
        <v>43.4091160930029</v>
      </c>
      <c r="K1048" s="35" t="n">
        <f aca="false">(IF($Y$19=1,(SUMPRODUCT((Quesería!$C$62:$C$77=0)*(Quesería!$J$62:$J$77&gt;0)*(K$43&gt;=1)*(K$43&lt;=Quesería!$J$62:$J$77)*(Quesería!$H$62:$H$77&gt;0)*Quesería!$F$62:$F$77*(1+Quesería!$I$62:$I$77)/(Quesería!$J$62:$J$77+(Quesería!$J$62:$J$77=0)))+SUMPRODUCT((Quesería!$C$62:$C$77=0)*(Quesería!$J$62:$J$77=0)*(K$43=0)*(Quesería!$H$62:$H$77&gt;0)*Quesería!$F$62:$F$77*(1+Quesería!$I$62:$I$77)))*$B$1036+(SUMPRODUCT((Quesería!$C$62:$C$77=1)*(Quesería!$J$62:$J$77&gt;0)*(K$43&gt;=2)*(K$43&lt;=Quesería!$J$62:$J$77+1)*(Quesería!$H$62:$H$77&gt;0)*Quesería!$F$62:$F$77*(1+Quesería!$I$62:$I$77)/(Quesería!$J$62:$J$77+(Quesería!$J$62:$J$77=0)))+SUMPRODUCT((Quesería!$C$62:$C$77=1)*(Quesería!$J$62:$J$77=0)*(K$43=1)*(Quesería!$H$62:$H$77&gt;0)*Quesería!$F$62:$F$77*(1+Quesería!$I$62:$I$77)))*$C$1036*$Y$21,IF(AND(K$43&gt;=1,K$43&lt;=Quesería!$B$11),Quesería!$F$80/Quesería!$B$11,0)*$B$1036+IF(AND(K$43&gt;=2,K$43&lt;=Quesería!$B$11+1),Quesería!$F$81/Quesería!$B$11,0)*$C$1036*$Y$21)*$Y$11+IF(AND(K$43&gt;=6,K$43&lt;=10),$G1040*$G1036/5,0)+IF(AND(K$43&gt;=7,K$43&lt;=11),$H1040*$H1036/5,0))*K1038</f>
        <v>41.7395347048105</v>
      </c>
      <c r="L1048" s="35" t="n">
        <f aca="false">(IF($Y$19=1,(SUMPRODUCT((Quesería!$C$62:$C$77=0)*(Quesería!$J$62:$J$77&gt;0)*(L$43&gt;=1)*(L$43&lt;=Quesería!$J$62:$J$77)*(Quesería!$H$62:$H$77&gt;0)*Quesería!$F$62:$F$77*(1+Quesería!$I$62:$I$77)/(Quesería!$J$62:$J$77+(Quesería!$J$62:$J$77=0)))+SUMPRODUCT((Quesería!$C$62:$C$77=0)*(Quesería!$J$62:$J$77=0)*(L$43=0)*(Quesería!$H$62:$H$77&gt;0)*Quesería!$F$62:$F$77*(1+Quesería!$I$62:$I$77)))*$B$1036+(SUMPRODUCT((Quesería!$C$62:$C$77=1)*(Quesería!$J$62:$J$77&gt;0)*(L$43&gt;=2)*(L$43&lt;=Quesería!$J$62:$J$77+1)*(Quesería!$H$62:$H$77&gt;0)*Quesería!$F$62:$F$77*(1+Quesería!$I$62:$I$77)/(Quesería!$J$62:$J$77+(Quesería!$J$62:$J$77=0)))+SUMPRODUCT((Quesería!$C$62:$C$77=1)*(Quesería!$J$62:$J$77=0)*(L$43=1)*(Quesería!$H$62:$H$77&gt;0)*Quesería!$F$62:$F$77*(1+Quesería!$I$62:$I$77)))*$C$1036*$Y$21,IF(AND(L$43&gt;=1,L$43&lt;=Quesería!$B$11),Quesería!$F$80/Quesería!$B$11,0)*$B$1036+IF(AND(L$43&gt;=2,L$43&lt;=Quesería!$B$11+1),Quesería!$F$81/Quesería!$B$11,0)*$C$1036*$Y$21)*$Y$11+IF(AND(L$43&gt;=6,L$43&lt;=10),$G1040*$G1036/5,0)+IF(AND(L$43&gt;=7,L$43&lt;=11),$H1040*$H1036/5,0))*L1038</f>
        <v>40.1341679853947</v>
      </c>
    </row>
    <row r="1049" customFormat="false" ht="15" hidden="false" customHeight="false" outlineLevel="0" collapsed="false">
      <c r="A1049" s="9" t="s">
        <v>292</v>
      </c>
      <c r="B1049" s="36" t="n">
        <f aca="false">IF(B$43=1,MIN($Y$7*Quesería!$B$35*Quesería!$F$75*$Y$11*$Y$21,Quesería!$B$50*Quesería!$B$51),0)</f>
        <v>0</v>
      </c>
      <c r="C1049" s="36" t="n">
        <f aca="false">IF(C$43=1,MIN($Y$7*Quesería!$B$35*Quesería!$F$75*$Y$11*$Y$21,Quesería!$B$50*Quesería!$B$51),0)</f>
        <v>0</v>
      </c>
      <c r="D1049" s="36" t="n">
        <f aca="false">IF(D$43=1,MIN($Y$7*Quesería!$B$35*Quesería!$F$75*$Y$11*$Y$21,Quesería!$B$50*Quesería!$B$51),0)</f>
        <v>0</v>
      </c>
      <c r="E1049" s="36" t="n">
        <f aca="false">IF(E$43=1,MIN($Y$7*Quesería!$B$35*Quesería!$F$75*$Y$11*$Y$21,Quesería!$B$50*Quesería!$B$51),0)</f>
        <v>0</v>
      </c>
      <c r="F1049" s="36" t="n">
        <f aca="false">IF(F$43=1,MIN($Y$7*Quesería!$B$35*Quesería!$F$75*$Y$11*$Y$21,Quesería!$B$50*Quesería!$B$51),0)</f>
        <v>0</v>
      </c>
      <c r="G1049" s="36" t="n">
        <f aca="false">IF(G$43=1,MIN($Y$7*Quesería!$B$35*Quesería!$F$75*$Y$11*$Y$21,Quesería!$B$50*Quesería!$B$51),0)</f>
        <v>0</v>
      </c>
      <c r="H1049" s="36" t="n">
        <f aca="false">IF(H$43=1,MIN($Y$7*Quesería!$B$35*Quesería!$F$75*$Y$11*$Y$21,Quesería!$B$50*Quesería!$B$51),0)</f>
        <v>0</v>
      </c>
      <c r="I1049" s="36" t="n">
        <f aca="false">IF(I$43=1,MIN($Y$7*Quesería!$B$35*Quesería!$F$75*$Y$11*$Y$21,Quesería!$B$50*Quesería!$B$51),0)</f>
        <v>0</v>
      </c>
      <c r="J1049" s="36" t="n">
        <f aca="false">IF(J$43=1,MIN($Y$7*Quesería!$B$35*Quesería!$F$75*$Y$11*$Y$21,Quesería!$B$50*Quesería!$B$51),0)</f>
        <v>0</v>
      </c>
      <c r="K1049" s="36" t="n">
        <f aca="false">IF(K$43=1,MIN($Y$7*Quesería!$B$35*Quesería!$F$75*$Y$11*$Y$21,Quesería!$B$50*Quesería!$B$51),0)</f>
        <v>0</v>
      </c>
      <c r="L1049" s="36" t="n">
        <f aca="false">IF(L$43=1,MIN($Y$7*Quesería!$B$35*Quesería!$F$75*$Y$11*$Y$21,Quesería!$B$50*Quesería!$B$51),0)</f>
        <v>0</v>
      </c>
    </row>
    <row r="1050" customFormat="false" ht="15" hidden="false" customHeight="false" outlineLevel="0" collapsed="false">
      <c r="A1050" s="9" t="s">
        <v>293</v>
      </c>
      <c r="B1050" s="36" t="n">
        <v>0</v>
      </c>
      <c r="C1050" s="36" t="n">
        <f aca="false">$Y$20*Quesería!$B$52*Quesería!$F$86*$Y$11*$B$1036/C1036</f>
        <v>166.879881289715</v>
      </c>
      <c r="D1050" s="36" t="n">
        <v>0</v>
      </c>
      <c r="E1050" s="36" t="n">
        <v>0</v>
      </c>
      <c r="F1050" s="36" t="n">
        <v>0</v>
      </c>
      <c r="G1050" s="36" t="n">
        <v>0</v>
      </c>
      <c r="H1050" s="36" t="n">
        <v>0</v>
      </c>
      <c r="I1050" s="36" t="n">
        <v>0</v>
      </c>
      <c r="J1050" s="36" t="n">
        <v>0</v>
      </c>
      <c r="K1050" s="36" t="n">
        <v>0</v>
      </c>
      <c r="L1050" s="36" t="n">
        <v>0</v>
      </c>
    </row>
    <row r="1051" customFormat="false" ht="15" hidden="false" customHeight="false" outlineLevel="0" collapsed="false">
      <c r="A1051" s="9" t="s">
        <v>294</v>
      </c>
      <c r="B1051" s="36" t="n">
        <f aca="false">0</f>
        <v>0</v>
      </c>
      <c r="C1051" s="36" t="n">
        <f aca="false">B1041*B1036/C1036</f>
        <v>94.6170242743742</v>
      </c>
      <c r="D1051" s="36" t="n">
        <f aca="false">C1041*C1036/D1036</f>
        <v>0</v>
      </c>
      <c r="E1051" s="36" t="n">
        <f aca="false">D1041*D1036/E1036</f>
        <v>0</v>
      </c>
      <c r="F1051" s="36" t="n">
        <f aca="false">E1041*E1036/F1036</f>
        <v>0</v>
      </c>
      <c r="G1051" s="36" t="n">
        <f aca="false">F1041*F1036/G1036</f>
        <v>0</v>
      </c>
      <c r="H1051" s="36" t="n">
        <f aca="false">G1041*G1036/H1036</f>
        <v>4.87179487179487</v>
      </c>
      <c r="I1051" s="36" t="n">
        <f aca="false">H1041*H1036/I1036</f>
        <v>6.44987026996795</v>
      </c>
      <c r="J1051" s="36" t="n">
        <f aca="false">I1041*I1036/J1036</f>
        <v>0</v>
      </c>
      <c r="K1051" s="36" t="n">
        <f aca="false">J1041*J1036/K1036</f>
        <v>0</v>
      </c>
      <c r="L1051" s="36" t="n">
        <f aca="false">K1041*K1036/L1036</f>
        <v>0</v>
      </c>
    </row>
    <row r="1052" customFormat="false" ht="15" hidden="false" customHeight="false" outlineLevel="0" collapsed="false">
      <c r="A1052" s="6" t="s">
        <v>86</v>
      </c>
      <c r="B1052" s="35" t="n">
        <f aca="false">$Y$17*(B1044-B1045-B1046-0.5*B1047-B1048)-B1049-B1050-B1051</f>
        <v>-19.3080576189439</v>
      </c>
      <c r="C1052" s="35" t="n">
        <f aca="false">$Y$17*(C1044-C1045-C1046-0.5*C1047-C1048)-C1049-C1050-C1051</f>
        <v>-246.412143461292</v>
      </c>
      <c r="D1052" s="35" t="n">
        <f aca="false">$Y$17*(D1044-D1045-D1046-0.5*D1047-D1048)-D1049-D1050-D1051</f>
        <v>31.9691470474932</v>
      </c>
      <c r="E1052" s="35" t="n">
        <f aca="false">$Y$17*(E1044-E1045-E1046-0.5*E1047-E1048)-E1049-E1050-E1051</f>
        <v>32.7259777972204</v>
      </c>
      <c r="F1052" s="35" t="n">
        <f aca="false">$Y$17*(F1044-F1045-F1046-0.5*F1047-F1048)-F1049-F1050-F1051</f>
        <v>33.4546243838918</v>
      </c>
      <c r="G1052" s="35" t="n">
        <f aca="false">$Y$17*(G1044-G1045-G1046-0.5*G1047-G1048)-G1049-G1050-G1051</f>
        <v>34.1339621040051</v>
      </c>
      <c r="H1052" s="35" t="n">
        <f aca="false">$Y$17*(H1044-H1045-H1046-0.5*H1047-H1048)-H1049-H1050-H1051</f>
        <v>32.3164628578939</v>
      </c>
      <c r="I1052" s="35" t="n">
        <f aca="false">$Y$17*(I1044-I1045-I1046-0.5*I1047-I1048)-I1049-I1050-I1051</f>
        <v>28.9502194598215</v>
      </c>
      <c r="J1052" s="35" t="n">
        <f aca="false">$Y$17*(J1044-J1045-J1046-0.5*J1047-J1048)-J1049-J1050-J1051</f>
        <v>36.0296311726039</v>
      </c>
      <c r="K1052" s="35" t="n">
        <f aca="false">$Y$17*(K1044-K1045-K1046-0.5*K1047-K1048)-K1049-K1050-K1051</f>
        <v>36.6359075450712</v>
      </c>
      <c r="L1052" s="35" t="n">
        <f aca="false">$Y$17*(L1044-L1045-L1046-0.5*L1047-L1048)-L1049-L1050-L1051</f>
        <v>37.2198183978996</v>
      </c>
    </row>
    <row r="1053" customFormat="false" ht="15" hidden="false" customHeight="false" outlineLevel="0" collapsed="false">
      <c r="A1053" s="9" t="s">
        <v>295</v>
      </c>
      <c r="B1053" s="36" t="n">
        <f aca="false">(IF(B$43&gt;=1,Quesería!$G$107*IF(B$43=1,Quesería!$B$12,1),Quesería!$G$107*Quesería!$B$12*Quesería!$B$13/12*$Y$23)+IF(B$43&gt;=2,Quesería!$G$108*$Y$21*IF(B$43=2,Quesería!$B$12,1),0))*$Y$10</f>
        <v>26.8516916045565</v>
      </c>
      <c r="C1053" s="36" t="n">
        <f aca="false">(IF(C$43&gt;=1,Quesería!$G$107*IF(C$43=1,Quesería!$B$12,1),Quesería!$G$107*Quesería!$B$12*Quesería!$B$13/12*$Y$23)+IF(C$43&gt;=2,Quesería!$G$108*$Y$21*IF(C$43=2,Quesería!$B$12,1),0))*$Y$10</f>
        <v>80.5550748136695</v>
      </c>
      <c r="D1053" s="36" t="n">
        <f aca="false">(IF(D$43&gt;=1,Quesería!$G$107*IF(D$43=1,Quesería!$B$12,1),Quesería!$G$107*Quesería!$B$12*Quesería!$B$13/12*$Y$23)+IF(D$43&gt;=2,Quesería!$G$108*$Y$21*IF(D$43=2,Quesería!$B$12,1),0))*$Y$10</f>
        <v>107.406766418226</v>
      </c>
      <c r="E1053" s="36" t="n">
        <f aca="false">(IF(E$43&gt;=1,Quesería!$G$107*IF(E$43=1,Quesería!$B$12,1),Quesería!$G$107*Quesería!$B$12*Quesería!$B$13/12*$Y$23)+IF(E$43&gt;=2,Quesería!$G$108*$Y$21*IF(E$43=2,Quesería!$B$12,1),0))*$Y$10</f>
        <v>107.406766418226</v>
      </c>
      <c r="F1053" s="36" t="n">
        <f aca="false">(IF(F$43&gt;=1,Quesería!$G$107*IF(F$43=1,Quesería!$B$12,1),Quesería!$G$107*Quesería!$B$12*Quesería!$B$13/12*$Y$23)+IF(F$43&gt;=2,Quesería!$G$108*$Y$21*IF(F$43=2,Quesería!$B$12,1),0))*$Y$10</f>
        <v>107.406766418226</v>
      </c>
      <c r="G1053" s="36" t="n">
        <f aca="false">(IF(G$43&gt;=1,Quesería!$G$107*IF(G$43=1,Quesería!$B$12,1),Quesería!$G$107*Quesería!$B$12*Quesería!$B$13/12*$Y$23)+IF(G$43&gt;=2,Quesería!$G$108*$Y$21*IF(G$43=2,Quesería!$B$12,1),0))*$Y$10</f>
        <v>107.406766418226</v>
      </c>
      <c r="H1053" s="36" t="n">
        <f aca="false">(IF(H$43&gt;=1,Quesería!$G$107*IF(H$43=1,Quesería!$B$12,1),Quesería!$G$107*Quesería!$B$12*Quesería!$B$13/12*$Y$23)+IF(H$43&gt;=2,Quesería!$G$108*$Y$21*IF(H$43=2,Quesería!$B$12,1),0))*$Y$10</f>
        <v>107.406766418226</v>
      </c>
      <c r="I1053" s="36" t="n">
        <f aca="false">(IF(I$43&gt;=1,Quesería!$G$107*IF(I$43=1,Quesería!$B$12,1),Quesería!$G$107*Quesería!$B$12*Quesería!$B$13/12*$Y$23)+IF(I$43&gt;=2,Quesería!$G$108*$Y$21*IF(I$43=2,Quesería!$B$12,1),0))*$Y$10</f>
        <v>107.406766418226</v>
      </c>
      <c r="J1053" s="36" t="n">
        <f aca="false">(IF(J$43&gt;=1,Quesería!$G$107*IF(J$43=1,Quesería!$B$12,1),Quesería!$G$107*Quesería!$B$12*Quesería!$B$13/12*$Y$23)+IF(J$43&gt;=2,Quesería!$G$108*$Y$21*IF(J$43=2,Quesería!$B$12,1),0))*$Y$10</f>
        <v>107.406766418226</v>
      </c>
      <c r="K1053" s="36" t="n">
        <f aca="false">(IF(K$43&gt;=1,Quesería!$G$107*IF(K$43=1,Quesería!$B$12,1),Quesería!$G$107*Quesería!$B$12*Quesería!$B$13/12*$Y$23)+IF(K$43&gt;=2,Quesería!$G$108*$Y$21*IF(K$43=2,Quesería!$B$12,1),0))*$Y$10</f>
        <v>107.406766418226</v>
      </c>
      <c r="L1053" s="36" t="n">
        <f aca="false">(IF(L$43&gt;=1,Quesería!$G$107*IF(L$43=1,Quesería!$B$12,1),Quesería!$G$107*Quesería!$B$12*Quesería!$B$13/12*$Y$23)+IF(L$43&gt;=2,Quesería!$G$108*$Y$21*IF(L$43=2,Quesería!$B$12,1),0))*$Y$10</f>
        <v>107.406766418226</v>
      </c>
    </row>
    <row r="1054" customFormat="false" ht="15" hidden="false" customHeight="false" outlineLevel="0" collapsed="false">
      <c r="A1054" s="6" t="s">
        <v>296</v>
      </c>
      <c r="B1054" s="35" t="n">
        <f aca="false">(B1053*(Quesería!$B$23+Quesería!$B$25*Quesería!$B$24)/365-B1045*Quesería!$B$26/365)</f>
        <v>2.50861009237089</v>
      </c>
      <c r="C1054" s="35" t="n">
        <f aca="false">(C1053*(Quesería!$B$23+Quesería!$B$25*Quesería!$B$24)/365-C1045*Quesería!$B$26/365)-(B1053*(Quesería!$B$23+Quesería!$B$25*Quesería!$B$24)/365-B1045*Quesería!$B$26/365)*B1036/C1036</f>
        <v>2.91304119724236</v>
      </c>
      <c r="D1054" s="35" t="n">
        <f aca="false">(D1053*(Quesería!$B$23+Quesería!$B$25*Quesería!$B$24)/365-D1045*Quesería!$B$26/365)-(C1053*(Quesería!$B$23+Quesería!$B$25*Quesería!$B$24)/365-C1045*Quesería!$B$26/365)*C1036/D1036</f>
        <v>2.73693422153598</v>
      </c>
      <c r="E1054" s="35" t="n">
        <f aca="false">(E1053*(Quesería!$B$23+Quesería!$B$25*Quesería!$B$24)/365-E1045*Quesería!$B$26/365)-(D1053*(Quesería!$B$23+Quesería!$B$25*Quesería!$B$24)/365-D1045*Quesería!$B$26/365)*D1036/E1036</f>
        <v>0.300415529174535</v>
      </c>
      <c r="F1054" s="35" t="n">
        <f aca="false">(F1053*(Quesería!$B$23+Quesería!$B$25*Quesería!$B$24)/365-F1045*Quesería!$B$26/365)-(E1053*(Quesería!$B$23+Quesería!$B$25*Quesería!$B$24)/365-E1045*Quesería!$B$26/365)*E1036/F1036</f>
        <v>0.300415529174535</v>
      </c>
      <c r="G1054" s="35" t="n">
        <f aca="false">(G1053*(Quesería!$B$23+Quesería!$B$25*Quesería!$B$24)/365-G1045*Quesería!$B$26/365)-(F1053*(Quesería!$B$23+Quesería!$B$25*Quesería!$B$24)/365-F1045*Quesería!$B$26/365)*F1036/G1036</f>
        <v>0.300415529174535</v>
      </c>
      <c r="H1054" s="35" t="n">
        <f aca="false">(H1053*(Quesería!$B$23+Quesería!$B$25*Quesería!$B$24)/365-H1045*Quesería!$B$26/365)-(G1053*(Quesería!$B$23+Quesería!$B$25*Quesería!$B$24)/365-G1045*Quesería!$B$26/365)*G1036/H1036</f>
        <v>0.300415529174535</v>
      </c>
      <c r="I1054" s="35" t="n">
        <f aca="false">(I1053*(Quesería!$B$23+Quesería!$B$25*Quesería!$B$24)/365-I1045*Quesería!$B$26/365)-(H1053*(Quesería!$B$23+Quesería!$B$25*Quesería!$B$24)/365-H1045*Quesería!$B$26/365)*H1036/I1036</f>
        <v>0.300415529174535</v>
      </c>
      <c r="J1054" s="35" t="n">
        <f aca="false">(J1053*(Quesería!$B$23+Quesería!$B$25*Quesería!$B$24)/365-J1045*Quesería!$B$26/365)-(I1053*(Quesería!$B$23+Quesería!$B$25*Quesería!$B$24)/365-I1045*Quesería!$B$26/365)*I1036/J1036</f>
        <v>0.300415529174535</v>
      </c>
      <c r="K1054" s="35" t="n">
        <f aca="false">(K1053*(Quesería!$B$23+Quesería!$B$25*Quesería!$B$24)/365-K1045*Quesería!$B$26/365)-(J1053*(Quesería!$B$23+Quesería!$B$25*Quesería!$B$24)/365-J1045*Quesería!$B$26/365)*J1036/K1036</f>
        <v>0.300415529174535</v>
      </c>
      <c r="L1054" s="35" t="n">
        <f aca="false">-(K1053*(Quesería!$B$23+Quesería!$B$25*Quesería!$B$24)/365-K1045*Quesería!$B$26/365)*K1036/L1036</f>
        <v>-7.51038822936338</v>
      </c>
    </row>
    <row r="1055" customFormat="false" ht="15" hidden="false" customHeight="false" outlineLevel="0" collapsed="false">
      <c r="A1055" s="6" t="s">
        <v>297</v>
      </c>
      <c r="B1055" s="35" t="n">
        <v>0</v>
      </c>
      <c r="C1055" s="35" t="n">
        <v>0</v>
      </c>
      <c r="D1055" s="35" t="n">
        <v>0</v>
      </c>
      <c r="E1055" s="35" t="n">
        <v>0</v>
      </c>
      <c r="F1055" s="35" t="n">
        <v>0</v>
      </c>
      <c r="G1055" s="35" t="n">
        <v>0</v>
      </c>
      <c r="H1055" s="35" t="n">
        <v>0</v>
      </c>
      <c r="I1055" s="35" t="n">
        <v>0</v>
      </c>
      <c r="J1055" s="35" t="n">
        <v>0</v>
      </c>
      <c r="K1055" s="35" t="n">
        <v>0</v>
      </c>
      <c r="L1055" s="35" t="n">
        <f aca="false">$Y$8*Quesería!$B$39*(Quesería!$F$82+Quesería!$F$83*$Y$21)*$Y$11*(1-$Y$17)</f>
        <v>22.9479594868333</v>
      </c>
    </row>
    <row r="1056" customFormat="false" ht="15" hidden="false" customHeight="false" outlineLevel="0" collapsed="false">
      <c r="A1056" s="5" t="s">
        <v>298</v>
      </c>
      <c r="B1056" s="37" t="n">
        <f aca="false">B1044-B1045-B1046-B1047-B1052-B1039-B1040-B1041-B1054+B1055</f>
        <v>-662.041045072899</v>
      </c>
      <c r="C1056" s="37" t="n">
        <f aca="false">C1044-C1045-C1046-C1047-C1052-C1039-C1040-C1041-C1054+C1055</f>
        <v>343.624659382235</v>
      </c>
      <c r="D1056" s="37" t="n">
        <f aca="false">D1044-D1045-D1046-D1047-D1052-D1039-D1040-D1041-D1054+D1055</f>
        <v>111.20172310659</v>
      </c>
      <c r="E1056" s="37" t="n">
        <f aca="false">E1044-E1045-E1046-E1047-E1052-E1039-E1040-E1041-E1054+E1055</f>
        <v>112.942201214271</v>
      </c>
      <c r="F1056" s="37" t="n">
        <f aca="false">F1044-F1045-F1046-F1047-F1052-F1039-F1040-F1041-F1054+F1055</f>
        <v>112.274648743472</v>
      </c>
      <c r="G1056" s="37" t="n">
        <f aca="false">G1044-G1045-G1046-G1047-G1052-G1039-G1040-G1041-G1054+G1055</f>
        <v>79.7964439431442</v>
      </c>
      <c r="H1056" s="37" t="n">
        <f aca="false">H1044-H1045-H1046-H1047-H1052-H1039-H1040-H1041-H1054+H1055</f>
        <v>71.355448630323</v>
      </c>
      <c r="I1056" s="37" t="n">
        <f aca="false">I1044-I1045-I1046-I1047-I1052-I1039-I1040-I1041-I1054+I1055</f>
        <v>116.964174955684</v>
      </c>
      <c r="J1056" s="37" t="n">
        <f aca="false">J1044-J1045-J1046-J1047-J1052-J1039-J1040-J1041-J1054+J1055</f>
        <v>109.947088435795</v>
      </c>
      <c r="K1056" s="37" t="n">
        <f aca="false">K1044-K1045-K1046-K1047-K1052-K1039-K1040-K1041-K1054+K1055</f>
        <v>109.403448882184</v>
      </c>
      <c r="L1056" s="37" t="n">
        <f aca="false">L1044-L1045-L1046-L1047-L1052-L1039-L1040-L1041-L1054+L1055</f>
        <v>139.641251277678</v>
      </c>
    </row>
    <row r="1057" customFormat="false" ht="15" hidden="false" customHeight="false" outlineLevel="0" collapsed="false">
      <c r="A1057" s="9" t="s">
        <v>299</v>
      </c>
      <c r="B1057" s="36" t="n">
        <f aca="false">B1056*B1036</f>
        <v>-701.763507777273</v>
      </c>
      <c r="C1057" s="36" t="n">
        <f aca="false">C1056*C1036</f>
        <v>382.454245892428</v>
      </c>
      <c r="D1057" s="36" t="n">
        <f aca="false">D1056*D1036</f>
        <v>129.337056119428</v>
      </c>
      <c r="E1057" s="36" t="n">
        <f aca="false">E1056*E1036</f>
        <v>136.615835303273</v>
      </c>
      <c r="F1057" s="36" t="n">
        <f aca="false">F1056*F1036</f>
        <v>141.24069255624</v>
      </c>
      <c r="G1057" s="36" t="n">
        <f aca="false">G1056*G1036</f>
        <v>104.398680712671</v>
      </c>
      <c r="H1057" s="36" t="n">
        <f aca="false">H1056*H1036</f>
        <v>97.0894303527265</v>
      </c>
      <c r="I1057" s="36" t="n">
        <f aca="false">I1056*I1036</f>
        <v>165.512581723579</v>
      </c>
      <c r="J1057" s="36" t="n">
        <f aca="false">J1056*J1036</f>
        <v>161.806224218395</v>
      </c>
      <c r="K1057" s="36" t="n">
        <f aca="false">K1056*K1036</f>
        <v>167.446410825614</v>
      </c>
      <c r="L1057" s="36" t="n">
        <f aca="false">L1056*L1036</f>
        <v>222.275656126877</v>
      </c>
    </row>
    <row r="1058" customFormat="false" ht="15" hidden="false" customHeight="false" outlineLevel="0" collapsed="false">
      <c r="A1058" s="6" t="s">
        <v>300</v>
      </c>
      <c r="B1058" s="35" t="n">
        <f aca="false">B1056</f>
        <v>-662.041045072899</v>
      </c>
      <c r="C1058" s="35" t="n">
        <f aca="false">B1058+C1056</f>
        <v>-318.416385690663</v>
      </c>
      <c r="D1058" s="35" t="n">
        <f aca="false">C1058+D1056</f>
        <v>-207.214662584073</v>
      </c>
      <c r="E1058" s="35" t="n">
        <f aca="false">D1058+E1056</f>
        <v>-94.272461369802</v>
      </c>
      <c r="F1058" s="35" t="n">
        <f aca="false">E1058+F1056</f>
        <v>18.0021873736704</v>
      </c>
      <c r="G1058" s="35" t="n">
        <f aca="false">F1058+G1056</f>
        <v>97.7986313168145</v>
      </c>
      <c r="H1058" s="35" t="n">
        <f aca="false">G1058+H1056</f>
        <v>169.154079947138</v>
      </c>
      <c r="I1058" s="35" t="n">
        <f aca="false">H1058+I1056</f>
        <v>286.118254902822</v>
      </c>
      <c r="J1058" s="35" t="n">
        <f aca="false">I1058+J1056</f>
        <v>396.065343338616</v>
      </c>
      <c r="K1058" s="35" t="n">
        <f aca="false">J1058+K1056</f>
        <v>505.468792220801</v>
      </c>
      <c r="L1058" s="35" t="n">
        <f aca="false">K1058+L1056</f>
        <v>645.110043498479</v>
      </c>
    </row>
    <row r="1059" customFormat="false" ht="15" hidden="false" customHeight="false" outlineLevel="0" collapsed="false">
      <c r="A1059" s="9" t="s">
        <v>301</v>
      </c>
      <c r="B1059" s="38" t="n">
        <v>0</v>
      </c>
      <c r="C1059" s="38" t="n">
        <f aca="false">IF(AND(B1058&lt;0,C1058&gt;=0),B$43+(-B1058)/C1056,0)</f>
        <v>0</v>
      </c>
      <c r="D1059" s="38" t="n">
        <f aca="false">IF(AND(C1058&lt;0,D1058&gt;=0),C$43+(-C1058)/D1056,0)</f>
        <v>0</v>
      </c>
      <c r="E1059" s="38" t="n">
        <f aca="false">IF(AND(D1058&lt;0,E1058&gt;=0),D$43+(-D1058)/E1056,0)</f>
        <v>0</v>
      </c>
      <c r="F1059" s="38" t="n">
        <f aca="false">IF(AND(E1058&lt;0,F1058&gt;=0),E$43+(-E1058)/F1056,0)</f>
        <v>3.83965937479972</v>
      </c>
      <c r="G1059" s="38" t="n">
        <f aca="false">IF(AND(F1058&lt;0,G1058&gt;=0),F$43+(-F1058)/G1056,0)</f>
        <v>0</v>
      </c>
      <c r="H1059" s="38" t="n">
        <f aca="false">IF(AND(G1058&lt;0,H1058&gt;=0),G$43+(-G1058)/H1056,0)</f>
        <v>0</v>
      </c>
      <c r="I1059" s="38" t="n">
        <f aca="false">IF(AND(H1058&lt;0,I1058&gt;=0),H$43+(-H1058)/I1056,0)</f>
        <v>0</v>
      </c>
      <c r="J1059" s="38" t="n">
        <f aca="false">IF(AND(I1058&lt;0,J1058&gt;=0),I$43+(-I1058)/J1056,0)</f>
        <v>0</v>
      </c>
      <c r="K1059" s="38" t="n">
        <f aca="false">IF(AND(J1058&lt;0,K1058&gt;=0),J$43+(-J1058)/K1056,0)</f>
        <v>0</v>
      </c>
      <c r="L1059" s="38" t="n">
        <f aca="false">IF(AND(K1058&lt;0,L1058&gt;=0),K$43+(-K1058)/L1056,0)</f>
        <v>0</v>
      </c>
    </row>
    <row r="1060" customFormat="false" ht="15" hidden="false" customHeight="false" outlineLevel="0" collapsed="false">
      <c r="A1060" s="9" t="s">
        <v>302</v>
      </c>
      <c r="B1060" s="34" t="n">
        <f aca="false">(B1036/$B$1036)/(1+$Y$25)^B$43</f>
        <v>1</v>
      </c>
      <c r="C1060" s="34" t="n">
        <f aca="false">(C1036/$B$1036)/(1+$Y$25)^C$43</f>
        <v>0.921735848062819</v>
      </c>
      <c r="D1060" s="34" t="n">
        <f aca="false">(D1036/$B$1036)/(1+$Y$25)^D$43</f>
        <v>0.845551273729778</v>
      </c>
      <c r="E1060" s="34" t="n">
        <f aca="false">(E1036/$B$1036)/(1+$Y$25)^E$43</f>
        <v>0.771952302082657</v>
      </c>
      <c r="F1060" s="34" t="n">
        <f aca="false">(F1036/$B$1036)/(1+$Y$25)^F$43</f>
        <v>0.704759575444925</v>
      </c>
      <c r="G1060" s="34" t="n">
        <f aca="false">(G1036/$B$1036)/(1+$Y$25)^G$43</f>
        <v>0.643415477667852</v>
      </c>
      <c r="H1060" s="34" t="n">
        <f aca="false">(H1036/$B$1036)/(1+$Y$25)^H$43</f>
        <v>0.587410928955732</v>
      </c>
      <c r="I1060" s="34" t="n">
        <f aca="false">(I1036/$B$1036)/(1+$Y$25)^I$43</f>
        <v>0.536281161136071</v>
      </c>
      <c r="J1060" s="34" t="n">
        <f aca="false">(J1036/$B$1036)/(1+$Y$25)^J$43</f>
        <v>0.489601860661204</v>
      </c>
      <c r="K1060" s="34" t="n">
        <f aca="false">(K1036/$B$1036)/(1+$Y$25)^K$43</f>
        <v>0.446985647333025</v>
      </c>
      <c r="L1060" s="34" t="n">
        <f aca="false">(L1036/$B$1036)/(1+$Y$25)^L$43</f>
        <v>0.408078859528639</v>
      </c>
    </row>
    <row r="1061" customFormat="false" ht="15" hidden="false" customHeight="false" outlineLevel="0" collapsed="false">
      <c r="A1061" s="9" t="s">
        <v>303</v>
      </c>
      <c r="B1061" s="36" t="n">
        <f aca="false">B1056*B1060</f>
        <v>-662.041045072899</v>
      </c>
      <c r="C1061" s="36" t="n">
        <f aca="false">C1056*C1060</f>
        <v>316.731166830982</v>
      </c>
      <c r="D1061" s="36" t="n">
        <f aca="false">D1056*D1060</f>
        <v>94.0267586137232</v>
      </c>
      <c r="E1061" s="36" t="n">
        <f aca="false">E1056*E1060</f>
        <v>87.1859922296395</v>
      </c>
      <c r="F1061" s="36" t="n">
        <f aca="false">F1056*F1060</f>
        <v>79.1266337816777</v>
      </c>
      <c r="G1061" s="36" t="n">
        <f aca="false">G1056*G1060</f>
        <v>51.3422670958741</v>
      </c>
      <c r="H1061" s="36" t="n">
        <f aca="false">H1056*H1060</f>
        <v>41.914970365991</v>
      </c>
      <c r="I1061" s="36" t="n">
        <f aca="false">I1056*I1060</f>
        <v>62.725683556557</v>
      </c>
      <c r="J1061" s="36" t="n">
        <f aca="false">J1056*J1060</f>
        <v>53.8302990724469</v>
      </c>
      <c r="K1061" s="36" t="n">
        <f aca="false">K1056*K1060</f>
        <v>48.9017714190686</v>
      </c>
      <c r="L1061" s="36" t="n">
        <f aca="false">L1056*L1060</f>
        <v>56.9846425645469</v>
      </c>
    </row>
    <row r="1062" customFormat="false" ht="15" hidden="false" customHeight="false" outlineLevel="0" collapsed="false">
      <c r="A1062" s="9" t="s">
        <v>304</v>
      </c>
      <c r="B1062" s="36" t="n">
        <f aca="false">B1061</f>
        <v>-662.041045072899</v>
      </c>
      <c r="C1062" s="36" t="n">
        <f aca="false">B1062+C1061</f>
        <v>-345.309878241917</v>
      </c>
      <c r="D1062" s="36" t="n">
        <f aca="false">C1062+D1061</f>
        <v>-251.283119628194</v>
      </c>
      <c r="E1062" s="36" t="n">
        <f aca="false">D1062+E1061</f>
        <v>-164.097127398554</v>
      </c>
      <c r="F1062" s="36" t="n">
        <f aca="false">E1062+F1061</f>
        <v>-84.9704936168764</v>
      </c>
      <c r="G1062" s="36" t="n">
        <f aca="false">F1062+G1061</f>
        <v>-33.6282265210023</v>
      </c>
      <c r="H1062" s="36" t="n">
        <f aca="false">G1062+H1061</f>
        <v>8.28674384498876</v>
      </c>
      <c r="I1062" s="36" t="n">
        <f aca="false">H1062+I1061</f>
        <v>71.0124274015457</v>
      </c>
      <c r="J1062" s="36" t="n">
        <f aca="false">I1062+J1061</f>
        <v>124.842726473993</v>
      </c>
      <c r="K1062" s="36" t="n">
        <f aca="false">J1062+K1061</f>
        <v>173.744497893061</v>
      </c>
      <c r="L1062" s="36" t="n">
        <f aca="false">K1062+L1061</f>
        <v>230.729140457608</v>
      </c>
    </row>
    <row r="1063" customFormat="false" ht="15" hidden="false" customHeight="false" outlineLevel="0" collapsed="false">
      <c r="A1063" s="9" t="s">
        <v>305</v>
      </c>
      <c r="B1063" s="38" t="n">
        <v>0</v>
      </c>
      <c r="C1063" s="38" t="n">
        <f aca="false">IF(AND(B1062&lt;0,C1062&gt;=0),B$43+(-B1062)/C1061,0)</f>
        <v>0</v>
      </c>
      <c r="D1063" s="38" t="n">
        <f aca="false">IF(AND(C1062&lt;0,D1062&gt;=0),C$43+(-C1062)/D1061,0)</f>
        <v>0</v>
      </c>
      <c r="E1063" s="38" t="n">
        <f aca="false">IF(AND(D1062&lt;0,E1062&gt;=0),D$43+(-D1062)/E1061,0)</f>
        <v>0</v>
      </c>
      <c r="F1063" s="38" t="n">
        <f aca="false">IF(AND(E1062&lt;0,F1062&gt;=0),E$43+(-E1062)/F1061,0)</f>
        <v>0</v>
      </c>
      <c r="G1063" s="38" t="n">
        <f aca="false">IF(AND(F1062&lt;0,G1062&gt;=0),F$43+(-F1062)/G1061,0)</f>
        <v>0</v>
      </c>
      <c r="H1063" s="38" t="n">
        <f aca="false">IF(AND(G1062&lt;0,H1062&gt;=0),G$43+(-G1062)/H1061,0)</f>
        <v>5.80229632103683</v>
      </c>
      <c r="I1063" s="38" t="n">
        <f aca="false">IF(AND(H1062&lt;0,I1062&gt;=0),H$43+(-H1062)/I1061,0)</f>
        <v>0</v>
      </c>
      <c r="J1063" s="38" t="n">
        <f aca="false">IF(AND(I1062&lt;0,J1062&gt;=0),I$43+(-I1062)/J1061,0)</f>
        <v>0</v>
      </c>
      <c r="K1063" s="38" t="n">
        <f aca="false">IF(AND(J1062&lt;0,K1062&gt;=0),J$43+(-J1062)/K1061,0)</f>
        <v>0</v>
      </c>
      <c r="L1063" s="38" t="n">
        <f aca="false">IF(AND(K1062&lt;0,L1062&gt;=0),K$43+(-K1062)/L1061,0)</f>
        <v>0</v>
      </c>
    </row>
    <row r="1064" customFormat="false" ht="15" hidden="false" customHeight="false" outlineLevel="0" collapsed="false">
      <c r="A1064" s="9" t="s">
        <v>306</v>
      </c>
      <c r="B1064" s="36" t="n">
        <f aca="false">IF(B$43&lt;0,0,(Quesería!$B$40*$B$1039*$B$1036)*(1-MAX(0,MIN(B$43-0-Quesería!$B$43,(Quesería!$B$42-Quesería!$B$43)))/(Quesería!$B$42-Quesería!$B$43)))+IF(B$43&lt;1,0,(Quesería!$B$40*$C$1039*$C$1036)*(1-MAX(0,MIN(B$43-1-Quesería!$B$43,(Quesería!$B$42-Quesería!$B$43)))/(Quesería!$B$42-Quesería!$B$43)))</f>
        <v>461.704769247221</v>
      </c>
      <c r="C1064" s="36" t="n">
        <f aca="false">IF(C$43&lt;0,0,(Quesería!$B$40*$B$1039*$B$1036)*(1-MAX(0,MIN(C$43-0-Quesería!$B$43,(Quesería!$B$42-Quesería!$B$43)))/(Quesería!$B$42-Quesería!$B$43)))+IF(C$43&lt;1,0,(Quesería!$B$40*$C$1039*$C$1036)*(1-MAX(0,MIN(C$43-1-Quesería!$B$43,(Quesería!$B$42-Quesería!$B$43)))/(Quesería!$B$42-Quesería!$B$43)))</f>
        <v>461.704769247221</v>
      </c>
      <c r="D1064" s="36" t="n">
        <f aca="false">IF(D$43&lt;0,0,(Quesería!$B$40*$B$1039*$B$1036)*(1-MAX(0,MIN(D$43-0-Quesería!$B$43,(Quesería!$B$42-Quesería!$B$43)))/(Quesería!$B$42-Quesería!$B$43)))+IF(D$43&lt;1,0,(Quesería!$B$40*$C$1039*$C$1036)*(1-MAX(0,MIN(D$43-1-Quesería!$B$43,(Quesería!$B$42-Quesería!$B$43)))/(Quesería!$B$42-Quesería!$B$43)))</f>
        <v>384.753974372684</v>
      </c>
      <c r="E1064" s="36" t="n">
        <f aca="false">IF(E$43&lt;0,0,(Quesería!$B$40*$B$1039*$B$1036)*(1-MAX(0,MIN(E$43-0-Quesería!$B$43,(Quesería!$B$42-Quesería!$B$43)))/(Quesería!$B$42-Quesería!$B$43)))+IF(E$43&lt;1,0,(Quesería!$B$40*$C$1039*$C$1036)*(1-MAX(0,MIN(E$43-1-Quesería!$B$43,(Quesería!$B$42-Quesería!$B$43)))/(Quesería!$B$42-Quesería!$B$43)))</f>
        <v>307.803179498148</v>
      </c>
      <c r="F1064" s="36" t="n">
        <f aca="false">IF(F$43&lt;0,0,(Quesería!$B$40*$B$1039*$B$1036)*(1-MAX(0,MIN(F$43-0-Quesería!$B$43,(Quesería!$B$42-Quesería!$B$43)))/(Quesería!$B$42-Quesería!$B$43)))+IF(F$43&lt;1,0,(Quesería!$B$40*$C$1039*$C$1036)*(1-MAX(0,MIN(F$43-1-Quesería!$B$43,(Quesería!$B$42-Quesería!$B$43)))/(Quesería!$B$42-Quesería!$B$43)))</f>
        <v>230.852384623611</v>
      </c>
      <c r="G1064" s="36" t="n">
        <f aca="false">IF(G$43&lt;0,0,(Quesería!$B$40*$B$1039*$B$1036)*(1-MAX(0,MIN(G$43-0-Quesería!$B$43,(Quesería!$B$42-Quesería!$B$43)))/(Quesería!$B$42-Quesería!$B$43)))+IF(G$43&lt;1,0,(Quesería!$B$40*$C$1039*$C$1036)*(1-MAX(0,MIN(G$43-1-Quesería!$B$43,(Quesería!$B$42-Quesería!$B$43)))/(Quesería!$B$42-Quesería!$B$43)))</f>
        <v>153.901589749074</v>
      </c>
      <c r="H1064" s="36" t="n">
        <f aca="false">IF(H$43&lt;0,0,(Quesería!$B$40*$B$1039*$B$1036)*(1-MAX(0,MIN(H$43-0-Quesería!$B$43,(Quesería!$B$42-Quesería!$B$43)))/(Quesería!$B$42-Quesería!$B$43)))+IF(H$43&lt;1,0,(Quesería!$B$40*$C$1039*$C$1036)*(1-MAX(0,MIN(H$43-1-Quesería!$B$43,(Quesería!$B$42-Quesería!$B$43)))/(Quesería!$B$42-Quesería!$B$43)))</f>
        <v>76.9507948745369</v>
      </c>
      <c r="I1064" s="36" t="n">
        <f aca="false">IF(I$43&lt;0,0,(Quesería!$B$40*$B$1039*$B$1036)*(1-MAX(0,MIN(I$43-0-Quesería!$B$43,(Quesería!$B$42-Quesería!$B$43)))/(Quesería!$B$42-Quesería!$B$43)))+IF(I$43&lt;1,0,(Quesería!$B$40*$C$1039*$C$1036)*(1-MAX(0,MIN(I$43-1-Quesería!$B$43,(Quesería!$B$42-Quesería!$B$43)))/(Quesería!$B$42-Quesería!$B$43)))</f>
        <v>0</v>
      </c>
      <c r="J1064" s="36" t="n">
        <f aca="false">IF(J$43&lt;0,0,(Quesería!$B$40*$B$1039*$B$1036)*(1-MAX(0,MIN(J$43-0-Quesería!$B$43,(Quesería!$B$42-Quesería!$B$43)))/(Quesería!$B$42-Quesería!$B$43)))+IF(J$43&lt;1,0,(Quesería!$B$40*$C$1039*$C$1036)*(1-MAX(0,MIN(J$43-1-Quesería!$B$43,(Quesería!$B$42-Quesería!$B$43)))/(Quesería!$B$42-Quesería!$B$43)))</f>
        <v>0</v>
      </c>
      <c r="K1064" s="36" t="n">
        <f aca="false">IF(K$43&lt;0,0,(Quesería!$B$40*$B$1039*$B$1036)*(1-MAX(0,MIN(K$43-0-Quesería!$B$43,(Quesería!$B$42-Quesería!$B$43)))/(Quesería!$B$42-Quesería!$B$43)))+IF(K$43&lt;1,0,(Quesería!$B$40*$C$1039*$C$1036)*(1-MAX(0,MIN(K$43-1-Quesería!$B$43,(Quesería!$B$42-Quesería!$B$43)))/(Quesería!$B$42-Quesería!$B$43)))</f>
        <v>0</v>
      </c>
      <c r="L1064" s="36" t="n">
        <f aca="false">IF(L$43&lt;0,0,(Quesería!$B$40*$B$1039*$B$1036)*(1-MAX(0,MIN(L$43-0-Quesería!$B$43,(Quesería!$B$42-Quesería!$B$43)))/(Quesería!$B$42-Quesería!$B$43)))+IF(L$43&lt;1,0,(Quesería!$B$40*$C$1039*$C$1036)*(1-MAX(0,MIN(L$43-1-Quesería!$B$43,(Quesería!$B$42-Quesería!$B$43)))/(Quesería!$B$42-Quesería!$B$43)))</f>
        <v>0</v>
      </c>
    </row>
    <row r="1065" customFormat="false" ht="15" hidden="false" customHeight="false" outlineLevel="0" collapsed="false">
      <c r="A1065" s="6" t="s">
        <v>307</v>
      </c>
      <c r="B1065" s="35" t="n">
        <f aca="false">Quesería!$B$40*B1039</f>
        <v>435.57053702568</v>
      </c>
      <c r="C1065" s="35" t="n">
        <f aca="false">Quesería!$B$40*C1039</f>
        <v>0</v>
      </c>
      <c r="D1065" s="35" t="n">
        <f aca="false">Quesería!$B$40*D1039</f>
        <v>0</v>
      </c>
      <c r="E1065" s="35" t="n">
        <f aca="false">Quesería!$B$40*E1039</f>
        <v>0</v>
      </c>
      <c r="F1065" s="35" t="n">
        <f aca="false">Quesería!$B$40*F1039</f>
        <v>0</v>
      </c>
      <c r="G1065" s="35" t="n">
        <f aca="false">Quesería!$B$40*G1039</f>
        <v>0</v>
      </c>
      <c r="H1065" s="35" t="n">
        <f aca="false">Quesería!$B$40*H1039</f>
        <v>0</v>
      </c>
      <c r="I1065" s="35" t="n">
        <f aca="false">Quesería!$B$40*I1039</f>
        <v>0</v>
      </c>
      <c r="J1065" s="35" t="n">
        <f aca="false">Quesería!$B$40*J1039</f>
        <v>0</v>
      </c>
      <c r="K1065" s="35" t="n">
        <f aca="false">Quesería!$B$40*K1039</f>
        <v>0</v>
      </c>
      <c r="L1065" s="35" t="n">
        <f aca="false">Quesería!$B$40*L1039</f>
        <v>0</v>
      </c>
    </row>
    <row r="1066" customFormat="false" ht="15" hidden="false" customHeight="false" outlineLevel="0" collapsed="false">
      <c r="A1066" s="6" t="s">
        <v>308</v>
      </c>
      <c r="B1066" s="35" t="n">
        <f aca="false">(IF(AND(B$43&gt;0,B$43&lt;=0+Quesería!$B$42),($Y$14+$Y$24)*((Quesería!$B$40*$B$1039*$B$1036)-(Quesería!$B$40*$B$1039*$B$1036)/(Quesería!$B$42-Quesería!$B$43)*MAX(0,MIN(B$43-1-0-Quesería!$B$43,(Quesería!$B$42-Quesería!$B$43)))),0)+IF(AND(B$43&gt;1,B$43&lt;=1+Quesería!$B$42),($Y$14+$Y$24)*((Quesería!$B$40*$C$1039*$C$1036)-(Quesería!$B$40*$C$1039*$C$1036)/(Quesería!$B$42-Quesería!$B$43)*MAX(0,MIN(B$43-1-1-Quesería!$B$43,(Quesería!$B$42-Quesería!$B$43)))),0))*B1038</f>
        <v>0</v>
      </c>
      <c r="C1066" s="35" t="n">
        <f aca="false">(IF(AND(C$43&gt;0,C$43&lt;=0+Quesería!$B$42),($Y$14+$Y$24)*((Quesería!$B$40*$B$1039*$B$1036)-(Quesería!$B$40*$B$1039*$B$1036)/(Quesería!$B$42-Quesería!$B$43)*MAX(0,MIN(C$43-1-0-Quesería!$B$43,(Quesería!$B$42-Quesería!$B$43)))),0)+IF(AND(C$43&gt;1,C$43&lt;=1+Quesería!$B$42),($Y$14+$Y$24)*((Quesería!$B$40*$C$1039*$C$1036)-(Quesería!$B$40*$C$1039*$C$1036)/(Quesería!$B$42-Quesería!$B$43)*MAX(0,MIN(C$43-1-1-Quesería!$B$43,(Quesería!$B$42-Quesería!$B$43)))),0))*C1038</f>
        <v>58.4909006863056</v>
      </c>
      <c r="D1066" s="35" t="n">
        <f aca="false">(IF(AND(D$43&gt;0,D$43&lt;=0+Quesería!$B$42),($Y$14+$Y$24)*((Quesería!$B$40*$B$1039*$B$1036)-(Quesería!$B$40*$B$1039*$B$1036)/(Quesería!$B$42-Quesería!$B$43)*MAX(0,MIN(D$43-1-0-Quesería!$B$43,(Quesería!$B$42-Quesería!$B$43)))),0)+IF(AND(D$43&gt;1,D$43&lt;=1+Quesería!$B$42),($Y$14+$Y$24)*((Quesería!$B$40*$C$1039*$C$1036)-(Quesería!$B$40*$C$1039*$C$1036)/(Quesería!$B$42-Quesería!$B$43)*MAX(0,MIN(D$43-1-1-Quesería!$B$43,(Quesería!$B$42-Quesería!$B$43)))),0))*D1038</f>
        <v>55.9721537667997</v>
      </c>
      <c r="E1066" s="35" t="n">
        <f aca="false">(IF(AND(E$43&gt;0,E$43&lt;=0+Quesería!$B$42),($Y$14+$Y$24)*((Quesería!$B$40*$B$1039*$B$1036)-(Quesería!$B$40*$B$1039*$B$1036)/(Quesería!$B$42-Quesería!$B$43)*MAX(0,MIN(E$43-1-0-Quesería!$B$43,(Quesería!$B$42-Quesería!$B$43)))),0)+IF(AND(E$43&gt;1,E$43&lt;=1+Quesería!$B$42),($Y$14+$Y$24)*((Quesería!$B$40*$C$1039*$C$1036)-(Quesería!$B$40*$C$1039*$C$1036)/(Quesería!$B$42-Quesería!$B$43)*MAX(0,MIN(E$43-1-1-Quesería!$B$43,(Quesería!$B$42-Quesería!$B$43)))),0))*E1038</f>
        <v>44.8494821849356</v>
      </c>
      <c r="F1066" s="35" t="n">
        <f aca="false">(IF(AND(F$43&gt;0,F$43&lt;=0+Quesería!$B$42),($Y$14+$Y$24)*((Quesería!$B$40*$B$1039*$B$1036)-(Quesería!$B$40*$B$1039*$B$1036)/(Quesería!$B$42-Quesería!$B$43)*MAX(0,MIN(F$43-1-0-Quesería!$B$43,(Quesería!$B$42-Quesería!$B$43)))),0)+IF(AND(F$43&gt;1,F$43&lt;=1+Quesería!$B$42),($Y$14+$Y$24)*((Quesería!$B$40*$C$1039*$C$1036)-(Quesería!$B$40*$C$1039*$C$1036)/(Quesería!$B$42-Quesería!$B$43)*MAX(0,MIN(F$43-1-1-Quesería!$B$43,(Quesería!$B$42-Quesería!$B$43)))),0))*F1038</f>
        <v>34.4996016807197</v>
      </c>
      <c r="G1066" s="35" t="n">
        <f aca="false">(IF(AND(G$43&gt;0,G$43&lt;=0+Quesería!$B$42),($Y$14+$Y$24)*((Quesería!$B$40*$B$1039*$B$1036)-(Quesería!$B$40*$B$1039*$B$1036)/(Quesería!$B$42-Quesería!$B$43)*MAX(0,MIN(G$43-1-0-Quesería!$B$43,(Quesería!$B$42-Quesería!$B$43)))),0)+IF(AND(G$43&gt;1,G$43&lt;=1+Quesería!$B$42),($Y$14+$Y$24)*((Quesería!$B$40*$C$1039*$C$1036)-(Quesería!$B$40*$C$1039*$C$1036)/(Quesería!$B$42-Quesería!$B$43)*MAX(0,MIN(G$43-1-1-Quesería!$B$43,(Quesería!$B$42-Quesería!$B$43)))),0))*G1038</f>
        <v>24.8795204428267</v>
      </c>
      <c r="H1066" s="35" t="n">
        <f aca="false">(IF(AND(H$43&gt;0,H$43&lt;=0+Quesería!$B$42),($Y$14+$Y$24)*((Quesería!$B$40*$B$1039*$B$1036)-(Quesería!$B$40*$B$1039*$B$1036)/(Quesería!$B$42-Quesería!$B$43)*MAX(0,MIN(H$43-1-0-Quesería!$B$43,(Quesería!$B$42-Quesería!$B$43)))),0)+IF(AND(H$43&gt;1,H$43&lt;=1+Quesería!$B$42),($Y$14+$Y$24)*((Quesería!$B$40*$C$1039*$C$1036)-(Quesería!$B$40*$C$1039*$C$1036)/(Quesería!$B$42-Quesería!$B$43)*MAX(0,MIN(H$43-1-1-Quesería!$B$43,(Quesería!$B$42-Quesería!$B$43)))),0))*H1038</f>
        <v>15.9484105402735</v>
      </c>
      <c r="I1066" s="35" t="n">
        <f aca="false">(IF(AND(I$43&gt;0,I$43&lt;=0+Quesería!$B$42),($Y$14+$Y$24)*((Quesería!$B$40*$B$1039*$B$1036)-(Quesería!$B$40*$B$1039*$B$1036)/(Quesería!$B$42-Quesería!$B$43)*MAX(0,MIN(I$43-1-0-Quesería!$B$43,(Quesería!$B$42-Quesería!$B$43)))),0)+IF(AND(I$43&gt;1,I$43&lt;=1+Quesería!$B$42),($Y$14+$Y$24)*((Quesería!$B$40*$C$1039*$C$1036)-(Quesería!$B$40*$C$1039*$C$1036)/(Quesería!$B$42-Quesería!$B$43)*MAX(0,MIN(I$43-1-1-Quesería!$B$43,(Quesería!$B$42-Quesería!$B$43)))),0))*I1038</f>
        <v>7.6675050674392</v>
      </c>
      <c r="J1066" s="35" t="n">
        <f aca="false">(IF(AND(J$43&gt;0,J$43&lt;=0+Quesería!$B$42),($Y$14+$Y$24)*((Quesería!$B$40*$B$1039*$B$1036)-(Quesería!$B$40*$B$1039*$B$1036)/(Quesería!$B$42-Quesería!$B$43)*MAX(0,MIN(J$43-1-0-Quesería!$B$43,(Quesería!$B$42-Quesería!$B$43)))),0)+IF(AND(J$43&gt;1,J$43&lt;=1+Quesería!$B$42),($Y$14+$Y$24)*((Quesería!$B$40*$C$1039*$C$1036)-(Quesería!$B$40*$C$1039*$C$1036)/(Quesería!$B$42-Quesería!$B$43)*MAX(0,MIN(J$43-1-1-Quesería!$B$43,(Quesería!$B$42-Quesería!$B$43)))),0))*J1038</f>
        <v>0</v>
      </c>
      <c r="K1066" s="35" t="n">
        <f aca="false">(IF(AND(K$43&gt;0,K$43&lt;=0+Quesería!$B$42),($Y$14+$Y$24)*((Quesería!$B$40*$B$1039*$B$1036)-(Quesería!$B$40*$B$1039*$B$1036)/(Quesería!$B$42-Quesería!$B$43)*MAX(0,MIN(K$43-1-0-Quesería!$B$43,(Quesería!$B$42-Quesería!$B$43)))),0)+IF(AND(K$43&gt;1,K$43&lt;=1+Quesería!$B$42),($Y$14+$Y$24)*((Quesería!$B$40*$C$1039*$C$1036)-(Quesería!$B$40*$C$1039*$C$1036)/(Quesería!$B$42-Quesería!$B$43)*MAX(0,MIN(K$43-1-1-Quesería!$B$43,(Quesería!$B$42-Quesería!$B$43)))),0))*K1038</f>
        <v>0</v>
      </c>
      <c r="L1066" s="35" t="n">
        <f aca="false">(IF(AND(L$43&gt;0,L$43&lt;=0+Quesería!$B$42),($Y$14+$Y$24)*((Quesería!$B$40*$B$1039*$B$1036)-(Quesería!$B$40*$B$1039*$B$1036)/(Quesería!$B$42-Quesería!$B$43)*MAX(0,MIN(L$43-1-0-Quesería!$B$43,(Quesería!$B$42-Quesería!$B$43)))),0)+IF(AND(L$43&gt;1,L$43&lt;=1+Quesería!$B$42),($Y$14+$Y$24)*((Quesería!$B$40*$C$1039*$C$1036)-(Quesería!$B$40*$C$1039*$C$1036)/(Quesería!$B$42-Quesería!$B$43)*MAX(0,MIN(L$43-1-1-Quesería!$B$43,(Quesería!$B$42-Quesería!$B$43)))),0))*L1038</f>
        <v>0</v>
      </c>
    </row>
    <row r="1067" customFormat="false" ht="15" hidden="false" customHeight="false" outlineLevel="0" collapsed="false">
      <c r="A1067" s="6" t="s">
        <v>309</v>
      </c>
      <c r="B1067" s="35" t="n">
        <f aca="false">(IF(AND(B$43&gt;0+Quesería!$B$43,B$43&lt;=0+Quesería!$B$42),(Quesería!$B$40*$B$1039*$B$1036)/(Quesería!$B$42-Quesería!$B$43),0)+IF(AND(B$43&gt;1+Quesería!$B$43,B$43&lt;=1+Quesería!$B$42),(Quesería!$B$40*$C$1039*$C$1036)/(Quesería!$B$42-Quesería!$B$43),0))*B1038</f>
        <v>0</v>
      </c>
      <c r="C1067" s="35" t="n">
        <f aca="false">(IF(AND(C$43&gt;0+Quesería!$B$43,C$43&lt;=0+Quesería!$B$42),(Quesería!$B$40*$B$1039*$B$1036)/(Quesería!$B$42-Quesería!$B$43),0)+IF(AND(C$43&gt;1+Quesería!$B$43,C$43&lt;=1+Quesería!$B$42),(Quesería!$B$40*$C$1039*$C$1036)/(Quesería!$B$42-Quesería!$B$43),0))*C1038</f>
        <v>0</v>
      </c>
      <c r="D1067" s="35" t="n">
        <f aca="false">(IF(AND(D$43&gt;0+Quesería!$B$43,D$43&lt;=0+Quesería!$B$42),(Quesería!$B$40*$B$1039*$B$1036)/(Quesería!$B$42-Quesería!$B$43),0)+IF(AND(D$43&gt;1+Quesería!$B$43,D$43&lt;=1+Quesería!$B$42),(Quesería!$B$40*$C$1039*$C$1036)/(Quesería!$B$42-Quesería!$B$43),0))*D1038</f>
        <v>66.1609382586284</v>
      </c>
      <c r="E1067" s="35" t="n">
        <f aca="false">(IF(AND(E$43&gt;0+Quesería!$B$43,E$43&lt;=0+Quesería!$B$42),(Quesería!$B$40*$B$1039*$B$1036)/(Quesería!$B$42-Quesería!$B$43),0)+IF(AND(E$43&gt;1+Quesería!$B$43,E$43&lt;=1+Quesería!$B$42),(Quesería!$B$40*$C$1039*$C$1036)/(Quesería!$B$42-Quesería!$B$43),0))*E1038</f>
        <v>63.6162867871427</v>
      </c>
      <c r="F1067" s="35" t="n">
        <f aca="false">(IF(AND(F$43&gt;0+Quesería!$B$43,F$43&lt;=0+Quesería!$B$42),(Quesería!$B$40*$B$1039*$B$1036)/(Quesería!$B$42-Quesería!$B$43),0)+IF(AND(F$43&gt;1+Quesería!$B$43,F$43&lt;=1+Quesería!$B$42),(Quesería!$B$40*$C$1039*$C$1036)/(Quesería!$B$42-Quesería!$B$43),0))*F1038</f>
        <v>61.1695065260988</v>
      </c>
      <c r="G1067" s="35" t="n">
        <f aca="false">(IF(AND(G$43&gt;0+Quesería!$B$43,G$43&lt;=0+Quesería!$B$42),(Quesería!$B$40*$B$1039*$B$1036)/(Quesería!$B$42-Quesería!$B$43),0)+IF(AND(G$43&gt;1+Quesería!$B$43,G$43&lt;=1+Quesería!$B$42),(Quesería!$B$40*$C$1039*$C$1036)/(Quesería!$B$42-Quesería!$B$43),0))*G1038</f>
        <v>58.8168331981719</v>
      </c>
      <c r="H1067" s="35" t="n">
        <f aca="false">(IF(AND(H$43&gt;0+Quesería!$B$43,H$43&lt;=0+Quesería!$B$42),(Quesería!$B$40*$B$1039*$B$1036)/(Quesería!$B$42-Quesería!$B$43),0)+IF(AND(H$43&gt;1+Quesería!$B$43,H$43&lt;=1+Quesería!$B$42),(Quesería!$B$40*$C$1039*$C$1036)/(Quesería!$B$42-Quesería!$B$43),0))*H1038</f>
        <v>56.5546473059345</v>
      </c>
      <c r="I1067" s="35" t="n">
        <f aca="false">(IF(AND(I$43&gt;0+Quesería!$B$43,I$43&lt;=0+Quesería!$B$42),(Quesería!$B$40*$B$1039*$B$1036)/(Quesería!$B$42-Quesería!$B$43),0)+IF(AND(I$43&gt;1+Quesería!$B$43,I$43&lt;=1+Quesería!$B$42),(Quesería!$B$40*$C$1039*$C$1036)/(Quesería!$B$42-Quesería!$B$43),0))*I1038</f>
        <v>54.3794685633986</v>
      </c>
      <c r="J1067" s="35" t="n">
        <f aca="false">(IF(AND(J$43&gt;0+Quesería!$B$43,J$43&lt;=0+Quesería!$B$42),(Quesería!$B$40*$B$1039*$B$1036)/(Quesería!$B$42-Quesería!$B$43),0)+IF(AND(J$43&gt;1+Quesería!$B$43,J$43&lt;=1+Quesería!$B$42),(Quesería!$B$40*$C$1039*$C$1036)/(Quesería!$B$42-Quesería!$B$43),0))*J1038</f>
        <v>0</v>
      </c>
      <c r="K1067" s="35" t="n">
        <f aca="false">(IF(AND(K$43&gt;0+Quesería!$B$43,K$43&lt;=0+Quesería!$B$42),(Quesería!$B$40*$B$1039*$B$1036)/(Quesería!$B$42-Quesería!$B$43),0)+IF(AND(K$43&gt;1+Quesería!$B$43,K$43&lt;=1+Quesería!$B$42),(Quesería!$B$40*$C$1039*$C$1036)/(Quesería!$B$42-Quesería!$B$43),0))*K1038</f>
        <v>0</v>
      </c>
      <c r="L1067" s="35" t="n">
        <f aca="false">(IF(AND(L$43&gt;0+Quesería!$B$43,L$43&lt;=0+Quesería!$B$42),(Quesería!$B$40*$B$1039*$B$1036)/(Quesería!$B$42-Quesería!$B$43),0)+IF(AND(L$43&gt;1+Quesería!$B$43,L$43&lt;=1+Quesería!$B$42),(Quesería!$B$40*$C$1039*$C$1036)/(Quesería!$B$42-Quesería!$B$43),0))*L1038</f>
        <v>0</v>
      </c>
    </row>
    <row r="1068" customFormat="false" ht="15" hidden="false" customHeight="false" outlineLevel="0" collapsed="false">
      <c r="A1068" s="6" t="s">
        <v>310</v>
      </c>
      <c r="B1068" s="35" t="n">
        <f aca="false">$Y$13*Quesería!$B$44*(1+0.19)*B1064*B1038+(1-$Y$13)*IF(B$43=0,Quesería!$B$53,0)</f>
        <v>4</v>
      </c>
      <c r="C1068" s="35" t="n">
        <f aca="false">$Y$13*Quesería!$B$44*(1+0.19)*C1064*C1038+(1-$Y$13)*IF(C$43=0,Quesería!$B$53,0)</f>
        <v>0</v>
      </c>
      <c r="D1068" s="35" t="n">
        <f aca="false">$Y$13*Quesería!$B$44*(1+0.19)*D1064*D1038+(1-$Y$13)*IF(D$43=0,Quesería!$B$53,0)</f>
        <v>0</v>
      </c>
      <c r="E1068" s="35" t="n">
        <f aca="false">$Y$13*Quesería!$B$44*(1+0.19)*E1064*E1038+(1-$Y$13)*IF(E$43=0,Quesería!$B$53,0)</f>
        <v>0</v>
      </c>
      <c r="F1068" s="35" t="n">
        <f aca="false">$Y$13*Quesería!$B$44*(1+0.19)*F1064*F1038+(1-$Y$13)*IF(F$43=0,Quesería!$B$53,0)</f>
        <v>0</v>
      </c>
      <c r="G1068" s="35" t="n">
        <f aca="false">$Y$13*Quesería!$B$44*(1+0.19)*G1064*G1038+(1-$Y$13)*IF(G$43=0,Quesería!$B$53,0)</f>
        <v>0</v>
      </c>
      <c r="H1068" s="35" t="n">
        <f aca="false">$Y$13*Quesería!$B$44*(1+0.19)*H1064*H1038+(1-$Y$13)*IF(H$43=0,Quesería!$B$53,0)</f>
        <v>0</v>
      </c>
      <c r="I1068" s="35" t="n">
        <f aca="false">$Y$13*Quesería!$B$44*(1+0.19)*I1064*I1038+(1-$Y$13)*IF(I$43=0,Quesería!$B$53,0)</f>
        <v>0</v>
      </c>
      <c r="J1068" s="35" t="n">
        <f aca="false">$Y$13*Quesería!$B$44*(1+0.19)*J1064*J1038+(1-$Y$13)*IF(J$43=0,Quesería!$B$53,0)</f>
        <v>0</v>
      </c>
      <c r="K1068" s="35" t="n">
        <f aca="false">$Y$13*Quesería!$B$44*(1+0.19)*K1064*K1038+(1-$Y$13)*IF(K$43=0,Quesería!$B$53,0)</f>
        <v>0</v>
      </c>
      <c r="L1068" s="35" t="n">
        <f aca="false">$Y$13*Quesería!$B$44*(1+0.19)*L1064*L1038+(1-$Y$13)*IF(L$43=0,Quesería!$B$53,0)</f>
        <v>0</v>
      </c>
    </row>
    <row r="1069" customFormat="false" ht="15" hidden="false" customHeight="false" outlineLevel="0" collapsed="false">
      <c r="A1069" s="6" t="s">
        <v>311</v>
      </c>
      <c r="B1069" s="35" t="n">
        <f aca="false">Quesería!$B$45*(B1066+B1067+B1068)</f>
        <v>0.016</v>
      </c>
      <c r="C1069" s="35" t="n">
        <f aca="false">Quesería!$B$45*(C1066+C1067+C1068)</f>
        <v>0.233963602745223</v>
      </c>
      <c r="D1069" s="35" t="n">
        <f aca="false">Quesería!$B$45*(D1066+D1067+D1068)</f>
        <v>0.488532368101712</v>
      </c>
      <c r="E1069" s="35" t="n">
        <f aca="false">Quesería!$B$45*(E1066+E1067+E1068)</f>
        <v>0.433863075888313</v>
      </c>
      <c r="F1069" s="35" t="n">
        <f aca="false">Quesería!$B$45*(F1066+F1067+F1068)</f>
        <v>0.382676432827274</v>
      </c>
      <c r="G1069" s="35" t="n">
        <f aca="false">Quesería!$B$45*(G1066+G1067+G1068)</f>
        <v>0.334785414563994</v>
      </c>
      <c r="H1069" s="35" t="n">
        <f aca="false">Quesería!$B$45*(H1066+H1067+H1068)</f>
        <v>0.290012231384832</v>
      </c>
      <c r="I1069" s="35" t="n">
        <f aca="false">Quesería!$B$45*(I1066+I1067+I1068)</f>
        <v>0.248187894523351</v>
      </c>
      <c r="J1069" s="35" t="n">
        <f aca="false">Quesería!$B$45*(J1066+J1067+J1068)</f>
        <v>0</v>
      </c>
      <c r="K1069" s="35" t="n">
        <f aca="false">Quesería!$B$45*(K1066+K1067+K1068)</f>
        <v>0</v>
      </c>
      <c r="L1069" s="35" t="n">
        <f aca="false">Quesería!$B$45*(L1066+L1067+L1068)</f>
        <v>0</v>
      </c>
    </row>
    <row r="1070" customFormat="false" ht="15" hidden="false" customHeight="false" outlineLevel="0" collapsed="false">
      <c r="A1070" s="6" t="s">
        <v>312</v>
      </c>
      <c r="B1070" s="35" t="n">
        <f aca="false">$Y$17*(B1066+B1068+0.5*B1069)</f>
        <v>1.4028</v>
      </c>
      <c r="C1070" s="35" t="n">
        <f aca="false">$Y$17*(C1066+C1068+0.5*C1069)</f>
        <v>20.5127588706874</v>
      </c>
      <c r="D1070" s="35" t="n">
        <f aca="false">$Y$17*(D1066+D1068+0.5*D1069)</f>
        <v>19.6757469827977</v>
      </c>
      <c r="E1070" s="35" t="n">
        <f aca="false">$Y$17*(E1066+E1068+0.5*E1069)</f>
        <v>15.7732448030079</v>
      </c>
      <c r="F1070" s="35" t="n">
        <f aca="false">$Y$17*(F1066+F1068+0.5*F1069)</f>
        <v>12.1418289639967</v>
      </c>
      <c r="G1070" s="35" t="n">
        <f aca="false">$Y$17*(G1066+G1068+0.5*G1069)</f>
        <v>8.76641960253805</v>
      </c>
      <c r="H1070" s="35" t="n">
        <f aca="false">$Y$17*(H1066+H1068+0.5*H1069)</f>
        <v>5.63269582958808</v>
      </c>
      <c r="I1070" s="35" t="n">
        <f aca="false">$Y$17*(I1066+I1068+0.5*I1069)</f>
        <v>2.72705965514531</v>
      </c>
      <c r="J1070" s="35" t="n">
        <f aca="false">$Y$17*(J1066+J1068+0.5*J1069)</f>
        <v>0</v>
      </c>
      <c r="K1070" s="35" t="n">
        <f aca="false">$Y$17*(K1066+K1068+0.5*K1069)</f>
        <v>0</v>
      </c>
      <c r="L1070" s="35" t="n">
        <f aca="false">$Y$17*(L1066+L1068+0.5*L1069)</f>
        <v>0</v>
      </c>
    </row>
    <row r="1071" customFormat="false" ht="15" hidden="false" customHeight="false" outlineLevel="0" collapsed="false">
      <c r="A1071" s="5" t="s">
        <v>313</v>
      </c>
      <c r="B1071" s="37" t="n">
        <f aca="false">B1056+B1065-B1066-B1067-B1068-B1069+B1070</f>
        <v>-229.083708047218</v>
      </c>
      <c r="C1071" s="37" t="n">
        <f aca="false">C1056+C1065-C1066-C1067-C1068-C1069+C1070</f>
        <v>305.412553963872</v>
      </c>
      <c r="D1071" s="37" t="n">
        <f aca="false">D1056+D1065-D1066-D1067-D1068-D1069+D1070</f>
        <v>8.25584569585781</v>
      </c>
      <c r="E1071" s="37" t="n">
        <f aca="false">E1056+E1065-E1066-E1067-E1068-E1069+E1070</f>
        <v>19.8158139693126</v>
      </c>
      <c r="F1071" s="37" t="n">
        <f aca="false">F1056+F1065-F1066-F1067-F1068-F1069+F1070</f>
        <v>28.3646930678233</v>
      </c>
      <c r="G1071" s="37" t="n">
        <f aca="false">G1056+G1065-G1066-G1067-G1068-G1069+G1070</f>
        <v>4.53172449011962</v>
      </c>
      <c r="H1071" s="37" t="n">
        <f aca="false">H1056+H1065-H1066-H1067-H1068-H1069+H1070</f>
        <v>4.19507438231824</v>
      </c>
      <c r="I1071" s="37" t="n">
        <f aca="false">I1056+I1065-I1066-I1067-I1068-I1069+I1070</f>
        <v>57.3960730854686</v>
      </c>
      <c r="J1071" s="37" t="n">
        <f aca="false">J1056+J1065-J1066-J1067-J1068-J1069+J1070</f>
        <v>109.947088435795</v>
      </c>
      <c r="K1071" s="37" t="n">
        <f aca="false">K1056+K1065-K1066-K1067-K1068-K1069+K1070</f>
        <v>109.403448882184</v>
      </c>
      <c r="L1071" s="37" t="n">
        <f aca="false">L1056+L1065-L1066-L1067-L1068-L1069+L1070</f>
        <v>139.641251277678</v>
      </c>
    </row>
    <row r="1072" customFormat="false" ht="15" hidden="false" customHeight="false" outlineLevel="0" collapsed="false">
      <c r="A1072" s="9" t="s">
        <v>314</v>
      </c>
      <c r="B1072" s="36" t="n">
        <f aca="false">B1071*B1036</f>
        <v>-242.828730530051</v>
      </c>
      <c r="C1072" s="36" t="n">
        <f aca="false">C1071*C1036</f>
        <v>339.924172561789</v>
      </c>
      <c r="D1072" s="36" t="n">
        <f aca="false">D1071*D1036</f>
        <v>9.60225029116678</v>
      </c>
      <c r="E1072" s="36" t="n">
        <f aca="false">E1071*E1036</f>
        <v>23.9693750301179</v>
      </c>
      <c r="F1072" s="36" t="n">
        <f aca="false">F1071*F1036</f>
        <v>35.6825778381913</v>
      </c>
      <c r="G1072" s="36" t="n">
        <f aca="false">G1071*G1036</f>
        <v>5.92891154972874</v>
      </c>
      <c r="H1072" s="36" t="n">
        <f aca="false">H1071*H1036</f>
        <v>5.70800674489081</v>
      </c>
      <c r="I1072" s="36" t="n">
        <f aca="false">I1071*I1036</f>
        <v>81.21950367085</v>
      </c>
      <c r="J1072" s="36" t="n">
        <f aca="false">J1071*J1036</f>
        <v>161.806224218395</v>
      </c>
      <c r="K1072" s="36" t="n">
        <f aca="false">K1071*K1036</f>
        <v>167.446410825614</v>
      </c>
      <c r="L1072" s="36" t="n">
        <f aca="false">L1071*L1036</f>
        <v>222.275656126877</v>
      </c>
    </row>
    <row r="1073" customFormat="false" ht="15" hidden="false" customHeight="false" outlineLevel="0" collapsed="false">
      <c r="A1073" s="9" t="s">
        <v>315</v>
      </c>
      <c r="B1073" s="34" t="n">
        <f aca="false">(B1036/$B$1036)/(1+Quesería!$B$46+$Y$24)^B$43</f>
        <v>1</v>
      </c>
      <c r="C1073" s="34" t="n">
        <f aca="false">(C1036/$B$1036)/(1+Quesería!$B$46+$Y$24)^C$43</f>
        <v>0.84</v>
      </c>
      <c r="D1073" s="34" t="n">
        <f aca="false">(D1036/$B$1036)/(1+Quesería!$B$46+$Y$24)^D$43</f>
        <v>0.70224</v>
      </c>
      <c r="E1073" s="34" t="n">
        <f aca="false">(E1036/$B$1036)/(1+Quesería!$B$46+$Y$24)^E$43</f>
        <v>0.58426368</v>
      </c>
      <c r="F1073" s="34" t="n">
        <f aca="false">(F1036/$B$1036)/(1+Quesería!$B$46+$Y$24)^F$43</f>
        <v>0.48610738176</v>
      </c>
      <c r="G1073" s="34" t="n">
        <f aca="false">(G1036/$B$1036)/(1+Quesería!$B$46+$Y$24)^G$43</f>
        <v>0.40444134162432</v>
      </c>
      <c r="H1073" s="34" t="n">
        <f aca="false">(H1036/$B$1036)/(1+Quesería!$B$46+$Y$24)^H$43</f>
        <v>0.336495196231434</v>
      </c>
      <c r="I1073" s="34" t="n">
        <f aca="false">(I1036/$B$1036)/(1+Quesería!$B$46+$Y$24)^I$43</f>
        <v>0.279964003264553</v>
      </c>
      <c r="J1073" s="34" t="n">
        <f aca="false">(J1036/$B$1036)/(1+Quesería!$B$46+$Y$24)^J$43</f>
        <v>0.232930050716108</v>
      </c>
      <c r="K1073" s="34" t="n">
        <f aca="false">(K1036/$B$1036)/(1+Quesería!$B$46+$Y$24)^K$43</f>
        <v>0.193797802195802</v>
      </c>
      <c r="L1073" s="34" t="n">
        <f aca="false">(L1036/$B$1036)/(1+Quesería!$B$46+$Y$24)^L$43</f>
        <v>0.161239771426907</v>
      </c>
    </row>
    <row r="1074" customFormat="false" ht="15" hidden="false" customHeight="false" outlineLevel="0" collapsed="false">
      <c r="A1074" s="9" t="s">
        <v>316</v>
      </c>
      <c r="B1074" s="36" t="n">
        <f aca="false">B1056+B1039+B1041+B1070</f>
        <v>60.9532547375949</v>
      </c>
      <c r="C1074" s="36" t="n">
        <f aca="false">C1056+C1039+C1041+C1070</f>
        <v>364.137418252923</v>
      </c>
      <c r="D1074" s="36" t="n">
        <f aca="false">D1056+D1039+D1041+D1070</f>
        <v>130.877470089388</v>
      </c>
      <c r="E1074" s="36" t="n">
        <f aca="false">E1056+E1039+E1041+E1070</f>
        <v>128.715446017279</v>
      </c>
      <c r="F1074" s="36" t="n">
        <f aca="false">F1056+F1039+F1041+F1070</f>
        <v>124.416477707469</v>
      </c>
      <c r="G1074" s="36" t="n">
        <f aca="false">G1056+G1039+G1041+G1070</f>
        <v>93.6295302123489</v>
      </c>
      <c r="H1074" s="36" t="n">
        <f aca="false">H1056+H1039+H1041+H1070</f>
        <v>83.6960095406778</v>
      </c>
      <c r="I1074" s="36" t="n">
        <f aca="false">I1056+I1039+I1041+I1070</f>
        <v>119.69123461083</v>
      </c>
      <c r="J1074" s="36" t="n">
        <f aca="false">J1056+J1039+J1041+J1070</f>
        <v>109.947088435795</v>
      </c>
      <c r="K1074" s="36" t="n">
        <f aca="false">K1056+K1039+K1041+K1070</f>
        <v>109.403448882184</v>
      </c>
      <c r="L1074" s="36" t="n">
        <f aca="false">L1056+L1039+L1041+L1070</f>
        <v>139.641251277678</v>
      </c>
    </row>
    <row r="1075" customFormat="false" ht="15" hidden="false" customHeight="false" outlineLevel="0" collapsed="false">
      <c r="A1075" s="5" t="s">
        <v>317</v>
      </c>
      <c r="B1075" s="12" t="str">
        <f aca="false">IF(AND(B$43&gt;=1,(B1066+B1067+B1068)&gt;0.001),B1074/(B1066+B1067+B1068),"")</f>
        <v/>
      </c>
      <c r="C1075" s="12" t="n">
        <f aca="false">IF(AND(C$43&gt;=1,(C1066+C1067+C1068)&gt;0.001),C1074/(C1066+C1067+C1068),"")</f>
        <v>6.22553959642098</v>
      </c>
      <c r="D1075" s="12" t="n">
        <f aca="false">IF(AND(D$43&gt;=1,(D1066+D1067+D1068)&gt;0.001),D1074/(D1066+D1067+D1068),"")</f>
        <v>1.07159712342449</v>
      </c>
      <c r="E1075" s="12" t="n">
        <f aca="false">IF(AND(E$43&gt;=1,(E1066+E1067+E1068)&gt;0.001),E1074/(E1066+E1067+E1068),"")</f>
        <v>1.1866918682005</v>
      </c>
      <c r="F1075" s="12" t="n">
        <f aca="false">IF(AND(F$43&gt;=1,(F1066+F1067+F1068)&gt;0.001),F1074/(F1066+F1067+F1068),"")</f>
        <v>1.30048748273585</v>
      </c>
      <c r="G1075" s="12" t="n">
        <f aca="false">IF(AND(G$43&gt;=1,(G1066+G1067+G1068)&gt;0.001),G1074/(G1066+G1067+G1068),"")</f>
        <v>1.11868111499764</v>
      </c>
      <c r="H1075" s="12" t="n">
        <f aca="false">IF(AND(H$43&gt;=1,(H1066+H1067+H1068)&gt;0.001),H1074/(H1066+H1067+H1068),"")</f>
        <v>1.15437902933987</v>
      </c>
      <c r="I1075" s="12" t="n">
        <f aca="false">IF(AND(I$43&gt;=1,(I1066+I1067+I1068)&gt;0.001),I1074/(I1066+I1067+I1068),"")</f>
        <v>1.92904226599285</v>
      </c>
      <c r="J1075" s="12" t="str">
        <f aca="false">IF(AND(J$43&gt;=1,(J1066+J1067+J1068)&gt;0.001),J1074/(J1066+J1067+J1068),"")</f>
        <v/>
      </c>
      <c r="K1075" s="12" t="str">
        <f aca="false">IF(AND(K$43&gt;=1,(K1066+K1067+K1068)&gt;0.001),K1074/(K1066+K1067+K1068),"")</f>
        <v/>
      </c>
      <c r="L1075" s="12" t="str">
        <f aca="false">IF(AND(L$43&gt;=1,(L1066+L1067+L1068)&gt;0.001),L1074/(L1066+L1067+L1068),"")</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4"/>
    <col collapsed="false" customWidth="true" hidden="false" outlineLevel="0" max="6" min="6" style="0" width="62"/>
  </cols>
  <sheetData>
    <row r="1" customFormat="false" ht="17.35" hidden="false" customHeight="false" outlineLevel="0" collapsed="false">
      <c r="A1" s="16" t="s">
        <v>675</v>
      </c>
    </row>
    <row r="2" customFormat="false" ht="15" hidden="false" customHeight="false" outlineLevel="0" collapsed="false">
      <c r="A2" s="9" t="s">
        <v>676</v>
      </c>
    </row>
    <row r="4" customFormat="false" ht="15" hidden="false" customHeight="false" outlineLevel="0" collapsed="false">
      <c r="A4" s="3" t="s">
        <v>677</v>
      </c>
      <c r="B4" s="4"/>
      <c r="C4" s="4"/>
      <c r="D4" s="4"/>
      <c r="E4" s="4"/>
      <c r="F4" s="4"/>
    </row>
    <row r="5" customFormat="false" ht="23.85" hidden="false" customHeight="false" outlineLevel="0" collapsed="false">
      <c r="A5" s="17" t="s">
        <v>73</v>
      </c>
      <c r="B5" s="18" t="s">
        <v>678</v>
      </c>
      <c r="C5" s="18" t="s">
        <v>679</v>
      </c>
      <c r="D5" s="18" t="s">
        <v>680</v>
      </c>
      <c r="E5" s="18"/>
      <c r="F5" s="18" t="s">
        <v>595</v>
      </c>
    </row>
    <row r="6" customFormat="false" ht="15" hidden="false" customHeight="false" outlineLevel="0" collapsed="false">
      <c r="A6" s="6" t="s">
        <v>681</v>
      </c>
      <c r="B6" s="39" t="n">
        <f aca="false">-0.2*Escenarios!$B$33/(Escenarios!$B$33-Escenarios!$G$33)</f>
        <v>-0.235924878579799</v>
      </c>
      <c r="C6" s="35" t="n">
        <f aca="false">D6*(1+B6)</f>
        <v>316.11582374515</v>
      </c>
      <c r="D6" s="35" t="n">
        <f aca="false">Quesería!$E$111</f>
        <v>413.723487237197</v>
      </c>
      <c r="F6" s="9" t="s">
        <v>682</v>
      </c>
    </row>
    <row r="7" customFormat="false" ht="15" hidden="false" customHeight="false" outlineLevel="0" collapsed="false">
      <c r="A7" s="6" t="s">
        <v>202</v>
      </c>
      <c r="B7" s="39" t="n">
        <f aca="false">0.2*Escenarios!$B$33/(Escenarios!$B$33-Escenarios!$I$33)</f>
        <v>0.386705676227152</v>
      </c>
      <c r="C7" s="35" t="n">
        <f aca="false">D7*(1+B7)</f>
        <v>1757.6684603756</v>
      </c>
      <c r="D7" s="35" t="n">
        <f aca="false">Quesería!$F$85</f>
        <v>1267.51371290102</v>
      </c>
      <c r="F7" s="9" t="s">
        <v>683</v>
      </c>
    </row>
    <row r="8" customFormat="false" ht="15" hidden="false" customHeight="false" outlineLevel="0" collapsed="false">
      <c r="A8" s="6" t="s">
        <v>288</v>
      </c>
      <c r="B8" s="39" t="n">
        <f aca="false">0.3*Escenarios!$B$33/(Escenarios!$B$33-Escenarios!$K$33)</f>
        <v>1.10023477951639</v>
      </c>
      <c r="C8" s="35" t="n">
        <f aca="false">D8*(1+B8)</f>
        <v>186.514509113886</v>
      </c>
      <c r="D8" s="35" t="n">
        <f aca="false">Quesería!$E$112</f>
        <v>88.8065043646377</v>
      </c>
      <c r="F8" s="9" t="s">
        <v>684</v>
      </c>
    </row>
    <row r="9" customFormat="false" ht="15" hidden="false" customHeight="false" outlineLevel="0" collapsed="false">
      <c r="A9" s="9" t="s">
        <v>685</v>
      </c>
    </row>
    <row r="11" customFormat="false" ht="15" hidden="false" customHeight="false" outlineLevel="0" collapsed="false">
      <c r="A11" s="3" t="s">
        <v>686</v>
      </c>
      <c r="B11" s="4"/>
      <c r="C11" s="4"/>
      <c r="D11" s="4"/>
      <c r="E11" s="4"/>
      <c r="F11" s="4"/>
    </row>
    <row r="12" customFormat="false" ht="35.05" hidden="false" customHeight="false" outlineLevel="0" collapsed="false">
      <c r="A12" s="17" t="s">
        <v>73</v>
      </c>
      <c r="B12" s="18" t="s">
        <v>687</v>
      </c>
      <c r="C12" s="18" t="s">
        <v>688</v>
      </c>
      <c r="D12" s="18" t="s">
        <v>689</v>
      </c>
      <c r="E12" s="18" t="s">
        <v>690</v>
      </c>
      <c r="F12" s="18" t="s">
        <v>691</v>
      </c>
    </row>
    <row r="13" customFormat="false" ht="15" hidden="false" customHeight="false" outlineLevel="0" collapsed="false">
      <c r="A13" s="6" t="s">
        <v>681</v>
      </c>
      <c r="B13" s="35" t="n">
        <f aca="false">MIN(Escenarios!$G$33,Escenarios!$H$33)</f>
        <v>55.9479494453091</v>
      </c>
      <c r="C13" s="35" t="n">
        <f aca="false">MAX(Escenarios!$G$33,Escenarios!$H$33)</f>
        <v>678.891732773998</v>
      </c>
      <c r="D13" s="35" t="n">
        <f aca="false">B13-Escenarios!$B$33</f>
        <v>-311.471891664345</v>
      </c>
      <c r="E13" s="35" t="n">
        <f aca="false">C13-Escenarios!$B$33</f>
        <v>311.471891664344</v>
      </c>
      <c r="F13" s="9" t="s">
        <v>692</v>
      </c>
    </row>
    <row r="14" customFormat="false" ht="15" hidden="false" customHeight="false" outlineLevel="0" collapsed="false">
      <c r="A14" s="6" t="s">
        <v>693</v>
      </c>
      <c r="B14" s="35" t="n">
        <f aca="false">MIN(Escenarios!$F$33,Escenarios!$B$33)</f>
        <v>97.9362351257031</v>
      </c>
      <c r="C14" s="35" t="n">
        <f aca="false">MAX(Escenarios!$F$33,Escenarios!$B$33)</f>
        <v>367.419841109654</v>
      </c>
      <c r="D14" s="35" t="n">
        <f aca="false">B14-Escenarios!$B$33</f>
        <v>-269.483605983951</v>
      </c>
      <c r="E14" s="35" t="n">
        <f aca="false">C14-Escenarios!$B$33</f>
        <v>0</v>
      </c>
      <c r="F14" s="9" t="s">
        <v>694</v>
      </c>
    </row>
    <row r="15" customFormat="false" ht="15" hidden="false" customHeight="false" outlineLevel="0" collapsed="false">
      <c r="A15" s="6" t="s">
        <v>202</v>
      </c>
      <c r="B15" s="35" t="n">
        <f aca="false">MIN(Escenarios!$I$33,Escenarios!$J$33)</f>
        <v>177.394266779149</v>
      </c>
      <c r="C15" s="35" t="n">
        <f aca="false">MAX(Escenarios!$I$33,Escenarios!$J$33)</f>
        <v>557.445415440158</v>
      </c>
      <c r="D15" s="35" t="n">
        <f aca="false">B15-Escenarios!$B$33</f>
        <v>-190.025574330505</v>
      </c>
      <c r="E15" s="35" t="n">
        <f aca="false">C15-Escenarios!$B$33</f>
        <v>190.025574330505</v>
      </c>
      <c r="F15" s="9" t="s">
        <v>695</v>
      </c>
    </row>
    <row r="16" customFormat="false" ht="15" hidden="false" customHeight="false" outlineLevel="0" collapsed="false">
      <c r="A16" s="6" t="s">
        <v>288</v>
      </c>
      <c r="B16" s="35" t="n">
        <f aca="false">MIN(Escenarios!$K$33,Escenarios!$L$33)</f>
        <v>267.235812768588</v>
      </c>
      <c r="C16" s="35" t="n">
        <f aca="false">MAX(Escenarios!$K$33,Escenarios!$L$33)</f>
        <v>467.60386945072</v>
      </c>
      <c r="D16" s="35" t="n">
        <f aca="false">B16-Escenarios!$B$33</f>
        <v>-100.184028341066</v>
      </c>
      <c r="E16" s="35" t="n">
        <f aca="false">C16-Escenarios!$B$33</f>
        <v>100.184028341066</v>
      </c>
      <c r="F16" s="9" t="s">
        <v>696</v>
      </c>
    </row>
    <row r="17" customFormat="false" ht="15" hidden="false" customHeight="false" outlineLevel="0" collapsed="false">
      <c r="A17" s="6" t="s">
        <v>697</v>
      </c>
      <c r="B17" s="35" t="n">
        <f aca="false">MIN(Escenarios!$C$33,Escenarios!$B$33)</f>
        <v>-396.60213383892</v>
      </c>
      <c r="C17" s="35" t="n">
        <f aca="false">MAX(Escenarios!$C$33,Escenarios!$B$33)</f>
        <v>367.419841109654</v>
      </c>
      <c r="D17" s="35" t="n">
        <f aca="false">B17-Escenarios!$B$33</f>
        <v>-764.021974948574</v>
      </c>
      <c r="E17" s="35" t="n">
        <f aca="false">C17-Escenarios!$B$33</f>
        <v>0</v>
      </c>
      <c r="F17" s="9" t="s">
        <v>698</v>
      </c>
    </row>
    <row r="18" customFormat="false" ht="15" hidden="false" customHeight="false" outlineLevel="0" collapsed="false">
      <c r="A18" s="6" t="s">
        <v>699</v>
      </c>
      <c r="B18" s="35" t="n">
        <f aca="false">MIN(Escenarios!$M$33,Escenarios!$N$33)</f>
        <v>359.364818861828</v>
      </c>
      <c r="C18" s="35" t="n">
        <f aca="false">MAX(Escenarios!$M$33,Escenarios!$N$33)</f>
        <v>391.671160413346</v>
      </c>
      <c r="D18" s="35" t="n">
        <f aca="false">B18-Escenarios!$B$33</f>
        <v>-8.05502224782583</v>
      </c>
      <c r="E18" s="35" t="n">
        <f aca="false">C18-Escenarios!$B$33</f>
        <v>24.2513193036924</v>
      </c>
      <c r="F18" s="9" t="s">
        <v>700</v>
      </c>
    </row>
    <row r="19" customFormat="false" ht="15" hidden="false" customHeight="false" outlineLevel="0" collapsed="false">
      <c r="A19" s="6" t="s">
        <v>701</v>
      </c>
      <c r="B19" s="35" t="n">
        <f aca="false">MIN(Escenarios!$O$33,Escenarios!$P$33)</f>
        <v>362.588569542721</v>
      </c>
      <c r="C19" s="35" t="n">
        <f aca="false">MAX(Escenarios!$O$33,Escenarios!$P$33)</f>
        <v>372.251112676587</v>
      </c>
      <c r="D19" s="35" t="n">
        <f aca="false">B19-Escenarios!$B$33</f>
        <v>-4.83127156693297</v>
      </c>
      <c r="E19" s="35" t="n">
        <f aca="false">C19-Escenarios!$B$33</f>
        <v>4.83127156693303</v>
      </c>
      <c r="F19" s="9" t="s">
        <v>702</v>
      </c>
    </row>
    <row r="20" customFormat="false" ht="15" hidden="false" customHeight="false" outlineLevel="0" collapsed="false">
      <c r="A20" s="6" t="s">
        <v>703</v>
      </c>
      <c r="B20" s="35" t="n">
        <f aca="false">MIN(Escenarios!$U$33,Escenarios!$B$33)</f>
        <v>150.264375399152</v>
      </c>
      <c r="C20" s="35" t="n">
        <f aca="false">MAX(Escenarios!$U$33,Escenarios!$B$33)</f>
        <v>367.419841109654</v>
      </c>
      <c r="D20" s="35" t="n">
        <f aca="false">B20-Escenarios!$B$33</f>
        <v>-217.155465710502</v>
      </c>
      <c r="E20" s="35" t="n">
        <f aca="false">C20-Escenarios!$B$33</f>
        <v>0</v>
      </c>
      <c r="F20" s="9" t="s">
        <v>704</v>
      </c>
    </row>
    <row r="21" customFormat="false" ht="15" hidden="false" customHeight="false" outlineLevel="0" collapsed="false">
      <c r="A21" s="5" t="s">
        <v>705</v>
      </c>
      <c r="B21" s="40" t="n">
        <f aca="false">Escenarios!$B$33</f>
        <v>367.419841109654</v>
      </c>
    </row>
    <row r="22" customFormat="false" ht="15" hidden="false" customHeight="false" outlineLevel="0" collapsed="false">
      <c r="A22" s="9" t="s">
        <v>706</v>
      </c>
    </row>
    <row r="41" customFormat="false" ht="15" hidden="false" customHeight="false" outlineLevel="0" collapsed="false">
      <c r="A41" s="3" t="s">
        <v>668</v>
      </c>
      <c r="B41" s="4"/>
      <c r="C41" s="4"/>
      <c r="D41" s="4"/>
      <c r="E41" s="4"/>
      <c r="F41" s="4"/>
    </row>
    <row r="42" customFormat="false" ht="23.85" hidden="false" customHeight="false" outlineLevel="0" collapsed="false">
      <c r="A42" s="17" t="s">
        <v>707</v>
      </c>
      <c r="B42" s="18" t="s">
        <v>708</v>
      </c>
      <c r="C42" s="18" t="s">
        <v>709</v>
      </c>
      <c r="D42" s="18" t="s">
        <v>710</v>
      </c>
      <c r="E42" s="18" t="s">
        <v>711</v>
      </c>
      <c r="F42" s="18" t="s">
        <v>595</v>
      </c>
    </row>
    <row r="43" customFormat="false" ht="15" hidden="false" customHeight="false" outlineLevel="0" collapsed="false">
      <c r="A43" s="6" t="s">
        <v>626</v>
      </c>
      <c r="B43" s="22" t="n">
        <f aca="false">Escenarios!$B$31</f>
        <v>0.214213873656107</v>
      </c>
      <c r="C43" s="35" t="n">
        <f aca="false">Escenarios!$B$33</f>
        <v>367.419841109654</v>
      </c>
      <c r="D43" s="22" t="n">
        <f aca="false">Escenarios!$B$37</f>
        <v>0.412209259873484</v>
      </c>
      <c r="E43" s="65" t="n">
        <f aca="false">Escenarios!$B$39</f>
        <v>1.20942669960017</v>
      </c>
      <c r="F43" s="9"/>
    </row>
    <row r="44" customFormat="false" ht="15" hidden="false" customHeight="false" outlineLevel="0" collapsed="false">
      <c r="A44" s="6" t="s">
        <v>627</v>
      </c>
      <c r="B44" s="22" t="n">
        <f aca="false">Escenarios!$C$31</f>
        <v>0.0629526815277698</v>
      </c>
      <c r="C44" s="35" t="n">
        <f aca="false">Escenarios!$C$33</f>
        <v>-396.60213383892</v>
      </c>
      <c r="D44" s="22" t="n">
        <f aca="false">Escenarios!$C$37</f>
        <v>0.0161399757897506</v>
      </c>
      <c r="E44" s="65" t="n">
        <f aca="false">Escenarios!$C$39</f>
        <v>0.795465389948783</v>
      </c>
      <c r="F44" s="9" t="s">
        <v>712</v>
      </c>
    </row>
    <row r="45" customFormat="false" ht="15" hidden="false" customHeight="false" outlineLevel="0" collapsed="false">
      <c r="A45" s="6" t="s">
        <v>628</v>
      </c>
      <c r="B45" s="22" t="n">
        <f aca="false">Escenarios!$D$31</f>
        <v>0.0579372076211447</v>
      </c>
      <c r="C45" s="35" t="n">
        <f aca="false">Escenarios!$D$33</f>
        <v>-209.228176750512</v>
      </c>
      <c r="D45" s="22" t="n">
        <f aca="false">Escenarios!$D$37</f>
        <v>0.00649630281133183</v>
      </c>
      <c r="E45" s="65" t="n">
        <f aca="false">Escenarios!$D$39</f>
        <v>0.590616503541992</v>
      </c>
      <c r="F45" s="9" t="s">
        <v>713</v>
      </c>
    </row>
    <row r="46" customFormat="false" ht="15" hidden="false" customHeight="false" outlineLevel="0" collapsed="false">
      <c r="A46" s="6" t="s">
        <v>646</v>
      </c>
      <c r="B46" s="22" t="n">
        <f aca="false">Escenarios!$V$31</f>
        <v>0.0930027300885147</v>
      </c>
      <c r="C46" s="35" t="n">
        <f aca="false">Escenarios!$V$33</f>
        <v>-240.578764495635</v>
      </c>
      <c r="D46" s="22" t="n">
        <f aca="false">Escenarios!$V$37</f>
        <v>0.0923233048176287</v>
      </c>
      <c r="E46" s="65" t="n">
        <f aca="false">Escenarios!$V$39</f>
        <v>0.789439474701862</v>
      </c>
      <c r="F46" s="9" t="s">
        <v>714</v>
      </c>
    </row>
    <row r="47" customFormat="false" ht="15" hidden="false" customHeight="false" outlineLevel="0" collapsed="false">
      <c r="A47" s="6" t="s">
        <v>638</v>
      </c>
      <c r="B47" s="22" t="n">
        <f aca="false">Escenarios!$N$31</f>
        <v>0.235251233871516</v>
      </c>
      <c r="C47" s="35" t="n">
        <f aca="false">Escenarios!$N$33</f>
        <v>391.671160413346</v>
      </c>
      <c r="D47" s="22" t="n">
        <f aca="false">Escenarios!$N$37</f>
        <v>0.427609887701487</v>
      </c>
      <c r="E47" s="65" t="n">
        <f aca="false">Escenarios!$N$39</f>
        <v>1.19451775240829</v>
      </c>
      <c r="F47" s="9" t="s">
        <v>715</v>
      </c>
    </row>
    <row r="48" customFormat="false" ht="15" hidden="false" customHeight="false" outlineLevel="0" collapsed="false">
      <c r="A48" s="6" t="s">
        <v>641</v>
      </c>
      <c r="B48" s="22" t="n">
        <f aca="false">Escenarios!$Q$31</f>
        <v>0.2250889020618</v>
      </c>
      <c r="C48" s="35" t="n">
        <f aca="false">Escenarios!$Q$33</f>
        <v>396.092834823858</v>
      </c>
      <c r="D48" s="22" t="n">
        <f aca="false">Escenarios!$Q$37</f>
        <v>0.424325341192845</v>
      </c>
      <c r="E48" s="65" t="n">
        <f aca="false">Escenarios!$Q$39</f>
        <v>1.23325491962565</v>
      </c>
      <c r="F48" s="9" t="s">
        <v>716</v>
      </c>
    </row>
    <row r="49" customFormat="false" ht="15" hidden="false" customHeight="false" outlineLevel="0" collapsed="false">
      <c r="A49" s="6" t="s">
        <v>642</v>
      </c>
      <c r="B49" s="22" t="n">
        <f aca="false">Escenarios!$R$31</f>
        <v>0.214213873656107</v>
      </c>
      <c r="C49" s="35" t="n">
        <f aca="false">Escenarios!$R$33</f>
        <v>323.125915493794</v>
      </c>
      <c r="D49" s="22" t="n">
        <f aca="false">Escenarios!$R$37</f>
        <v>0.391823722122711</v>
      </c>
      <c r="E49" s="65" t="n">
        <f aca="false">Escenarios!$R$39</f>
        <v>1.16879107523402</v>
      </c>
      <c r="F49" s="9" t="s">
        <v>717</v>
      </c>
    </row>
    <row r="50" customFormat="false" ht="15" hidden="false" customHeight="false" outlineLevel="0" collapsed="false">
      <c r="A50" s="6" t="s">
        <v>643</v>
      </c>
      <c r="B50" s="22" t="n">
        <f aca="false">Escenarios!$S$31</f>
        <v>0.214213873656107</v>
      </c>
      <c r="C50" s="35" t="n">
        <f aca="false">Escenarios!$S$33</f>
        <v>302.642257051943</v>
      </c>
      <c r="D50" s="22" t="n">
        <f aca="false">Escenarios!$S$37</f>
        <v>0.37457396829981</v>
      </c>
      <c r="E50" s="65" t="n">
        <f aca="false">Escenarios!$S$39</f>
        <v>1.16066561468141</v>
      </c>
      <c r="F50" s="9" t="s">
        <v>718</v>
      </c>
    </row>
    <row r="51" customFormat="false" ht="15" hidden="false" customHeight="false" outlineLevel="0" collapsed="false">
      <c r="A51" s="6" t="s">
        <v>644</v>
      </c>
      <c r="B51" s="22" t="n">
        <f aca="false">Escenarios!$T$31</f>
        <v>0.179268045803668</v>
      </c>
      <c r="C51" s="35" t="n">
        <f aca="false">Escenarios!$T$33</f>
        <v>213.600672204455</v>
      </c>
      <c r="D51" s="22" t="n">
        <f aca="false">Escenarios!$T$37</f>
        <v>0.280380840817553</v>
      </c>
      <c r="E51" s="65" t="n">
        <f aca="false">Escenarios!$T$39</f>
        <v>1.20942669960017</v>
      </c>
      <c r="F51" s="9" t="s">
        <v>719</v>
      </c>
    </row>
    <row r="52" customFormat="false" ht="15" hidden="false" customHeight="false" outlineLevel="0" collapsed="false">
      <c r="A52" s="6" t="s">
        <v>645</v>
      </c>
      <c r="B52" s="22" t="n">
        <f aca="false">Escenarios!$U$31</f>
        <v>0.179268045803668</v>
      </c>
      <c r="C52" s="35" t="n">
        <f aca="false">Escenarios!$U$33</f>
        <v>150.264375399152</v>
      </c>
      <c r="D52" s="22" t="n">
        <f aca="false">Escenarios!$U$37</f>
        <v>0.256812936073973</v>
      </c>
      <c r="E52" s="65" t="n">
        <f aca="false">Escenarios!$U$39</f>
        <v>1.16066561468141</v>
      </c>
      <c r="F52" s="9" t="s">
        <v>720</v>
      </c>
    </row>
    <row r="53" customFormat="false" ht="15" hidden="false" customHeight="false" outlineLevel="0" collapsed="false">
      <c r="A53" s="6" t="s">
        <v>721</v>
      </c>
      <c r="C53" s="35" t="n">
        <f aca="false">Herramientas!B36</f>
        <v>84.5687047164901</v>
      </c>
      <c r="F53" s="9" t="s">
        <v>722</v>
      </c>
    </row>
    <row r="55" customFormat="false" ht="15" hidden="false" customHeight="false" outlineLevel="0" collapsed="false">
      <c r="A55" s="3" t="s">
        <v>723</v>
      </c>
      <c r="B55" s="4"/>
      <c r="C55" s="4"/>
      <c r="D55" s="4"/>
      <c r="E55" s="4"/>
      <c r="F55" s="4"/>
    </row>
    <row r="56" customFormat="false" ht="23.85" hidden="false" customHeight="false" outlineLevel="0" collapsed="false">
      <c r="A56" s="17" t="s">
        <v>51</v>
      </c>
      <c r="B56" s="18" t="s">
        <v>724</v>
      </c>
      <c r="C56" s="18"/>
      <c r="D56" s="18"/>
      <c r="E56" s="18"/>
      <c r="F56" s="18" t="s">
        <v>725</v>
      </c>
    </row>
    <row r="57" customFormat="false" ht="30" hidden="false" customHeight="true" outlineLevel="0" collapsed="false">
      <c r="A57" s="55" t="s">
        <v>726</v>
      </c>
      <c r="B57" s="68" t="s">
        <v>727</v>
      </c>
      <c r="C57" s="68"/>
      <c r="D57" s="68"/>
      <c r="E57" s="68"/>
      <c r="F57" s="57" t="s">
        <v>728</v>
      </c>
    </row>
    <row r="58" customFormat="false" ht="30" hidden="false" customHeight="true" outlineLevel="0" collapsed="false">
      <c r="A58" s="55" t="s">
        <v>729</v>
      </c>
      <c r="B58" s="68" t="s">
        <v>730</v>
      </c>
      <c r="C58" s="68"/>
      <c r="D58" s="68"/>
      <c r="E58" s="68"/>
      <c r="F58" s="57" t="s">
        <v>731</v>
      </c>
    </row>
    <row r="59" customFormat="false" ht="30" hidden="false" customHeight="true" outlineLevel="0" collapsed="false">
      <c r="A59" s="55" t="s">
        <v>732</v>
      </c>
      <c r="B59" s="68" t="s">
        <v>733</v>
      </c>
      <c r="C59" s="68"/>
      <c r="D59" s="68"/>
      <c r="E59" s="68"/>
      <c r="F59" s="57" t="s">
        <v>734</v>
      </c>
    </row>
    <row r="60" customFormat="false" ht="30" hidden="false" customHeight="true" outlineLevel="0" collapsed="false">
      <c r="A60" s="55" t="s">
        <v>735</v>
      </c>
      <c r="B60" s="68" t="s">
        <v>693</v>
      </c>
      <c r="C60" s="68"/>
      <c r="D60" s="68"/>
      <c r="E60" s="68"/>
      <c r="F60" s="57" t="s">
        <v>736</v>
      </c>
    </row>
    <row r="61" customFormat="false" ht="30" hidden="false" customHeight="true" outlineLevel="0" collapsed="false">
      <c r="A61" s="55" t="s">
        <v>737</v>
      </c>
      <c r="B61" s="68" t="s">
        <v>288</v>
      </c>
      <c r="C61" s="68"/>
      <c r="D61" s="68"/>
      <c r="E61" s="68"/>
      <c r="F61" s="57" t="s">
        <v>738</v>
      </c>
    </row>
    <row r="62" customFormat="false" ht="30" hidden="false" customHeight="true" outlineLevel="0" collapsed="false">
      <c r="A62" s="55" t="s">
        <v>739</v>
      </c>
      <c r="B62" s="68" t="s">
        <v>740</v>
      </c>
      <c r="C62" s="68"/>
      <c r="D62" s="68"/>
      <c r="E62" s="68"/>
      <c r="F62" s="57" t="s">
        <v>741</v>
      </c>
    </row>
    <row r="63" customFormat="false" ht="30" hidden="false" customHeight="true" outlineLevel="0" collapsed="false">
      <c r="A63" s="55" t="s">
        <v>742</v>
      </c>
      <c r="B63" s="68" t="s">
        <v>743</v>
      </c>
      <c r="C63" s="68"/>
      <c r="D63" s="68"/>
      <c r="E63" s="68"/>
      <c r="F63" s="57" t="s">
        <v>744</v>
      </c>
    </row>
    <row r="64" customFormat="false" ht="30" hidden="false" customHeight="true" outlineLevel="0" collapsed="false">
      <c r="A64" s="55" t="s">
        <v>745</v>
      </c>
      <c r="B64" s="68" t="s">
        <v>746</v>
      </c>
      <c r="C64" s="68"/>
      <c r="D64" s="68"/>
      <c r="E64" s="68"/>
      <c r="F64" s="57" t="s">
        <v>747</v>
      </c>
    </row>
    <row r="65" customFormat="false" ht="30" hidden="false" customHeight="true" outlineLevel="0" collapsed="false">
      <c r="A65" s="55" t="s">
        <v>748</v>
      </c>
      <c r="B65" s="68" t="s">
        <v>310</v>
      </c>
      <c r="C65" s="68"/>
      <c r="D65" s="68"/>
      <c r="E65" s="68"/>
      <c r="F65" s="57" t="s">
        <v>749</v>
      </c>
    </row>
    <row r="66" customFormat="false" ht="30" hidden="false" customHeight="true" outlineLevel="0" collapsed="false">
      <c r="A66" s="55" t="s">
        <v>750</v>
      </c>
      <c r="B66" s="68" t="s">
        <v>751</v>
      </c>
      <c r="C66" s="68"/>
      <c r="D66" s="68"/>
      <c r="E66" s="68"/>
      <c r="F66" s="57" t="s">
        <v>752</v>
      </c>
    </row>
  </sheetData>
  <mergeCells count="10">
    <mergeCell ref="B57:E57"/>
    <mergeCell ref="B58:E58"/>
    <mergeCell ref="B59:E59"/>
    <mergeCell ref="B60:E60"/>
    <mergeCell ref="B61:E61"/>
    <mergeCell ref="B62:E62"/>
    <mergeCell ref="B63:E63"/>
    <mergeCell ref="B64:E64"/>
    <mergeCell ref="B65:E65"/>
    <mergeCell ref="B66:E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12" min="2" style="0" width="12"/>
  </cols>
  <sheetData>
    <row r="1" customFormat="false" ht="17.35" hidden="false" customHeight="false" outlineLevel="0" collapsed="false">
      <c r="A1" s="16" t="s">
        <v>753</v>
      </c>
    </row>
    <row r="2" customFormat="false" ht="15" hidden="false" customHeight="false" outlineLevel="0" collapsed="false">
      <c r="A2" s="9" t="s">
        <v>754</v>
      </c>
    </row>
    <row r="4" customFormat="false" ht="15" hidden="false" customHeight="false" outlineLevel="0" collapsed="false">
      <c r="A4" s="3" t="s">
        <v>755</v>
      </c>
      <c r="B4" s="4"/>
      <c r="C4" s="4"/>
      <c r="D4" s="4"/>
      <c r="E4" s="4"/>
      <c r="F4" s="4"/>
      <c r="G4" s="4"/>
      <c r="H4" s="4"/>
      <c r="I4" s="4"/>
      <c r="J4" s="4"/>
      <c r="K4" s="4"/>
      <c r="L4" s="4"/>
    </row>
    <row r="5" customFormat="false" ht="30" hidden="false" customHeight="true" outlineLevel="0" collapsed="false">
      <c r="A5" s="17" t="s">
        <v>756</v>
      </c>
      <c r="B5" s="18" t="s">
        <v>757</v>
      </c>
      <c r="C5" s="18" t="s">
        <v>758</v>
      </c>
      <c r="D5" s="18" t="s">
        <v>708</v>
      </c>
      <c r="E5" s="18" t="s">
        <v>710</v>
      </c>
      <c r="F5" s="18" t="s">
        <v>711</v>
      </c>
      <c r="G5" s="18" t="s">
        <v>759</v>
      </c>
    </row>
    <row r="6" customFormat="false" ht="15" hidden="false" customHeight="false" outlineLevel="0" collapsed="false">
      <c r="A6" s="6" t="s">
        <v>760</v>
      </c>
      <c r="B6" s="22" t="n">
        <f aca="false">Escenarios!$W$25</f>
        <v>0.16</v>
      </c>
      <c r="C6" s="35" t="n">
        <f aca="false">Escenarios!$W$33</f>
        <v>72.6658822921514</v>
      </c>
      <c r="D6" s="22" t="n">
        <f aca="false">Escenarios!$W$31</f>
        <v>0.174270087015974</v>
      </c>
      <c r="E6" s="22" t="n">
        <f aca="false">Escenarios!$W$37</f>
        <v>0.240524872120554</v>
      </c>
      <c r="F6" s="65" t="n">
        <f aca="false">Escenarios!$W$39</f>
        <v>1.16344347214106</v>
      </c>
      <c r="G6" s="9" t="s">
        <v>761</v>
      </c>
    </row>
    <row r="7" customFormat="false" ht="15" hidden="false" customHeight="false" outlineLevel="0" collapsed="false">
      <c r="A7" s="6" t="s">
        <v>762</v>
      </c>
      <c r="B7" s="22" t="n">
        <f aca="false">Escenarios!$X$25</f>
        <v>0.149929855</v>
      </c>
      <c r="C7" s="35" t="n">
        <f aca="false">Escenarios!$X$33</f>
        <v>128.424043592762</v>
      </c>
      <c r="D7" s="22" t="n">
        <f aca="false">Escenarios!$X$31</f>
        <v>0.174270087015974</v>
      </c>
      <c r="E7" s="22" t="n">
        <f aca="false">Escenarios!$X$37</f>
        <v>0.240524872120554</v>
      </c>
      <c r="F7" s="65" t="n">
        <f aca="false">Escenarios!$X$39</f>
        <v>1.16344347214106</v>
      </c>
      <c r="G7" s="9" t="s">
        <v>763</v>
      </c>
    </row>
    <row r="8" customFormat="false" ht="15" hidden="false" customHeight="false" outlineLevel="0" collapsed="false">
      <c r="A8" s="6" t="s">
        <v>764</v>
      </c>
      <c r="B8" s="22" t="n">
        <f aca="false">Escenarios!$U$25</f>
        <v>0.149929855</v>
      </c>
      <c r="C8" s="35" t="n">
        <f aca="false">Escenarios!$U$33</f>
        <v>150.264375399152</v>
      </c>
      <c r="D8" s="22" t="n">
        <f aca="false">Escenarios!$U$31</f>
        <v>0.179268045803668</v>
      </c>
      <c r="E8" s="22" t="n">
        <f aca="false">Escenarios!$U$37</f>
        <v>0.256812936073973</v>
      </c>
      <c r="F8" s="65" t="n">
        <f aca="false">Escenarios!$U$39</f>
        <v>1.16066561468141</v>
      </c>
      <c r="G8" s="9" t="s">
        <v>765</v>
      </c>
    </row>
    <row r="9" customFormat="false" ht="15" hidden="false" customHeight="false" outlineLevel="0" collapsed="false">
      <c r="A9" s="6" t="s">
        <v>766</v>
      </c>
      <c r="B9" s="22" t="n">
        <f aca="false">Escenarios!$T$25</f>
        <v>0.139155</v>
      </c>
      <c r="C9" s="35" t="n">
        <f aca="false">Escenarios!$T$33</f>
        <v>213.600672204455</v>
      </c>
      <c r="D9" s="22" t="n">
        <f aca="false">Escenarios!$T$31</f>
        <v>0.179268045803668</v>
      </c>
      <c r="E9" s="22" t="n">
        <f aca="false">Escenarios!$T$37</f>
        <v>0.280380840817553</v>
      </c>
      <c r="F9" s="65" t="n">
        <f aca="false">Escenarios!$T$39</f>
        <v>1.20942669960017</v>
      </c>
      <c r="G9" s="9" t="s">
        <v>767</v>
      </c>
    </row>
    <row r="10" customFormat="false" ht="15" hidden="false" customHeight="false" outlineLevel="0" collapsed="false">
      <c r="A10" s="5" t="s">
        <v>768</v>
      </c>
      <c r="B10" s="22" t="n">
        <f aca="false">Escenarios!$B$25</f>
        <v>0.139155</v>
      </c>
      <c r="C10" s="40" t="n">
        <f aca="false">Escenarios!$B$33</f>
        <v>367.419841109654</v>
      </c>
      <c r="D10" s="39" t="n">
        <f aca="false">Escenarios!$B$31</f>
        <v>0.214213873656107</v>
      </c>
      <c r="E10" s="39" t="n">
        <f aca="false">Escenarios!$B$37</f>
        <v>0.412209259873484</v>
      </c>
      <c r="F10" s="44" t="n">
        <f aca="false">Escenarios!$B$39</f>
        <v>1.20942669960017</v>
      </c>
      <c r="G10" s="9" t="s">
        <v>769</v>
      </c>
    </row>
    <row r="11" customFormat="false" ht="15" hidden="false" customHeight="false" outlineLevel="0" collapsed="false">
      <c r="A11" s="9" t="s">
        <v>770</v>
      </c>
    </row>
    <row r="13" customFormat="false" ht="15" hidden="false" customHeight="false" outlineLevel="0" collapsed="false">
      <c r="A13" s="3" t="s">
        <v>771</v>
      </c>
      <c r="B13" s="4"/>
      <c r="C13" s="4"/>
      <c r="D13" s="4"/>
      <c r="E13" s="4"/>
      <c r="F13" s="4"/>
      <c r="G13" s="4"/>
      <c r="H13" s="4"/>
      <c r="I13" s="4"/>
      <c r="J13" s="4"/>
      <c r="K13" s="4"/>
      <c r="L13" s="4"/>
    </row>
    <row r="14" customFormat="false" ht="15" hidden="false" customHeight="false" outlineLevel="0" collapsed="false">
      <c r="A14" s="9" t="s">
        <v>772</v>
      </c>
    </row>
    <row r="15" customFormat="false" ht="15" hidden="false" customHeight="false" outlineLevel="0" collapsed="false">
      <c r="A15" s="9" t="s">
        <v>773</v>
      </c>
    </row>
    <row r="16" customFormat="false" ht="15" hidden="false" customHeight="false" outlineLevel="0" collapsed="false">
      <c r="A16" s="9" t="s">
        <v>774</v>
      </c>
    </row>
    <row r="18" customFormat="false" ht="15" hidden="false" customHeight="false" outlineLevel="0" collapsed="false">
      <c r="A18" s="3" t="s">
        <v>775</v>
      </c>
      <c r="B18" s="4"/>
      <c r="C18" s="4"/>
      <c r="D18" s="4"/>
      <c r="E18" s="4"/>
      <c r="F18" s="4"/>
      <c r="G18" s="4"/>
      <c r="H18" s="4"/>
      <c r="I18" s="4"/>
      <c r="J18" s="4"/>
      <c r="K18" s="4"/>
      <c r="L18" s="4"/>
    </row>
    <row r="19" customFormat="false" ht="23.85" hidden="false" customHeight="false" outlineLevel="0" collapsed="false">
      <c r="A19" s="17" t="s">
        <v>776</v>
      </c>
      <c r="B19" s="18" t="s">
        <v>777</v>
      </c>
      <c r="C19" s="18"/>
      <c r="D19" s="18"/>
      <c r="E19" s="18"/>
      <c r="F19" s="18"/>
      <c r="G19" s="18" t="s">
        <v>778</v>
      </c>
    </row>
    <row r="20" customFormat="false" ht="15" hidden="false" customHeight="false" outlineLevel="0" collapsed="false">
      <c r="A20" s="55" t="s">
        <v>779</v>
      </c>
      <c r="B20" s="10" t="n">
        <f aca="false">Escenarios!$B$33-Escenarios!$E$33</f>
        <v>29.3578499713962</v>
      </c>
      <c r="G20" s="9" t="s">
        <v>780</v>
      </c>
    </row>
    <row r="21" customFormat="false" ht="15" hidden="false" customHeight="false" outlineLevel="0" collapsed="false">
      <c r="A21" s="55" t="s">
        <v>781</v>
      </c>
      <c r="G21" s="9" t="s">
        <v>782</v>
      </c>
    </row>
    <row r="22" customFormat="false" ht="15" hidden="false" customHeight="false" outlineLevel="0" collapsed="false">
      <c r="A22" s="55" t="s">
        <v>783</v>
      </c>
      <c r="B22" s="10" t="n">
        <f aca="false">Quesería!$B$14*Quesería!$E$102</f>
        <v>21.6</v>
      </c>
      <c r="G22" s="9" t="s">
        <v>784</v>
      </c>
    </row>
    <row r="23" customFormat="false" ht="15" hidden="false" customHeight="false" outlineLevel="0" collapsed="false">
      <c r="A23" s="55" t="s">
        <v>785</v>
      </c>
      <c r="G23" s="9" t="s">
        <v>786</v>
      </c>
    </row>
    <row r="24" customFormat="false" ht="15" hidden="false" customHeight="false" outlineLevel="0" collapsed="false">
      <c r="A24" s="55" t="s">
        <v>787</v>
      </c>
      <c r="G24" s="9" t="s">
        <v>788</v>
      </c>
    </row>
    <row r="25" customFormat="false" ht="15" hidden="false" customHeight="false" outlineLevel="0" collapsed="false">
      <c r="A25" s="55" t="s">
        <v>789</v>
      </c>
      <c r="G25" s="9" t="s">
        <v>790</v>
      </c>
    </row>
    <row r="26" customFormat="false" ht="15" hidden="false" customHeight="false" outlineLevel="0" collapsed="false">
      <c r="A26" s="6" t="s">
        <v>791</v>
      </c>
      <c r="B26" s="35" t="n">
        <f aca="false">Escenarios!$D$33</f>
        <v>-209.228176750512</v>
      </c>
      <c r="G26" s="9" t="s">
        <v>792</v>
      </c>
    </row>
    <row r="27" customFormat="false" ht="15" hidden="false" customHeight="false" outlineLevel="0" collapsed="false">
      <c r="A27" s="6" t="s">
        <v>793</v>
      </c>
      <c r="B27" s="35" t="n">
        <f aca="false">Escenarios!$C$33</f>
        <v>-396.60213383892</v>
      </c>
      <c r="G27" s="9" t="s">
        <v>794</v>
      </c>
    </row>
    <row r="29" customFormat="false" ht="15" hidden="false" customHeight="false" outlineLevel="0" collapsed="false">
      <c r="A29" s="3" t="s">
        <v>795</v>
      </c>
      <c r="B29" s="4"/>
      <c r="C29" s="4"/>
      <c r="D29" s="4"/>
      <c r="E29" s="4"/>
      <c r="F29" s="4"/>
      <c r="G29" s="4"/>
      <c r="H29" s="4"/>
      <c r="I29" s="4"/>
      <c r="J29" s="4"/>
      <c r="K29" s="4"/>
      <c r="L29" s="4"/>
    </row>
    <row r="30" customFormat="false" ht="15" hidden="false" customHeight="false" outlineLevel="0" collapsed="false">
      <c r="A30" s="9" t="s">
        <v>796</v>
      </c>
    </row>
    <row r="31" customFormat="false" ht="15" hidden="false" customHeight="false" outlineLevel="0" collapsed="false">
      <c r="A31" s="17" t="s">
        <v>797</v>
      </c>
      <c r="B31" s="18" t="s">
        <v>269</v>
      </c>
      <c r="C31" s="18" t="s">
        <v>270</v>
      </c>
      <c r="D31" s="18" t="s">
        <v>271</v>
      </c>
      <c r="E31" s="18" t="s">
        <v>272</v>
      </c>
      <c r="F31" s="18" t="s">
        <v>273</v>
      </c>
      <c r="G31" s="18" t="s">
        <v>274</v>
      </c>
      <c r="H31" s="18" t="s">
        <v>275</v>
      </c>
      <c r="I31" s="18" t="s">
        <v>276</v>
      </c>
      <c r="J31" s="18" t="s">
        <v>277</v>
      </c>
      <c r="K31" s="18" t="s">
        <v>278</v>
      </c>
      <c r="L31" s="18" t="s">
        <v>279</v>
      </c>
    </row>
    <row r="32" customFormat="false" ht="15" hidden="false" customHeight="false" outlineLevel="0" collapsed="false">
      <c r="A32" s="6" t="s">
        <v>798</v>
      </c>
      <c r="B32" s="35" t="n">
        <f aca="false">Quesería!$F$62*(1+Quesería!$I$62)+Quesería!$F$69*(1+Quesería!$I$69)</f>
        <v>73.6100691219113</v>
      </c>
      <c r="C32" s="35" t="n">
        <v>0</v>
      </c>
      <c r="D32" s="35" t="n">
        <v>0</v>
      </c>
      <c r="E32" s="35" t="n">
        <v>0</v>
      </c>
      <c r="F32" s="35" t="n">
        <v>0</v>
      </c>
      <c r="G32" s="35" t="n">
        <v>0</v>
      </c>
      <c r="H32" s="35" t="n">
        <v>0</v>
      </c>
      <c r="I32" s="35" t="n">
        <v>0</v>
      </c>
      <c r="J32" s="35" t="n">
        <v>0</v>
      </c>
      <c r="K32" s="35" t="n">
        <v>0</v>
      </c>
      <c r="L32" s="35" t="n">
        <v>0</v>
      </c>
    </row>
    <row r="33" customFormat="false" ht="15" hidden="false" customHeight="false" outlineLevel="0" collapsed="false">
      <c r="A33" s="6" t="s">
        <v>799</v>
      </c>
      <c r="B33" s="35" t="n">
        <v>0</v>
      </c>
      <c r="C33" s="35" t="n">
        <f aca="false">(Quesería!$J$92+Quesería!$J$96)*Quesería!$B$12*1</f>
        <v>25.1235</v>
      </c>
      <c r="D33" s="35" t="n">
        <f aca="false">(Quesería!$J$92+Quesería!$J$96)*1</f>
        <v>33.498</v>
      </c>
      <c r="E33" s="35" t="n">
        <f aca="false">(Quesería!$J$92+Quesería!$J$96)*1</f>
        <v>33.498</v>
      </c>
      <c r="F33" s="35" t="n">
        <f aca="false">(Quesería!$J$92+Quesería!$J$96)*1</f>
        <v>33.498</v>
      </c>
      <c r="G33" s="35" t="n">
        <f aca="false">(Quesería!$J$92+Quesería!$J$96)*1</f>
        <v>33.498</v>
      </c>
      <c r="H33" s="35" t="n">
        <f aca="false">(Quesería!$J$92+Quesería!$J$96)*1</f>
        <v>33.498</v>
      </c>
      <c r="I33" s="35" t="n">
        <f aca="false">(Quesería!$J$92+Quesería!$J$96)*1</f>
        <v>33.498</v>
      </c>
      <c r="J33" s="35" t="n">
        <f aca="false">(Quesería!$J$92+Quesería!$J$96)*1</f>
        <v>33.498</v>
      </c>
      <c r="K33" s="35" t="n">
        <f aca="false">(Quesería!$J$92+Quesería!$J$96)*1</f>
        <v>33.498</v>
      </c>
      <c r="L33" s="35" t="n">
        <f aca="false">(Quesería!$J$92+Quesería!$J$96)*1</f>
        <v>33.498</v>
      </c>
    </row>
    <row r="34" customFormat="false" ht="15" hidden="false" customHeight="false" outlineLevel="0" collapsed="false">
      <c r="A34" s="6" t="s">
        <v>800</v>
      </c>
      <c r="B34" s="35" t="n">
        <v>0</v>
      </c>
      <c r="C34" s="35" t="n">
        <f aca="false">Quesería!$B$10*(B33-B32)*Escenarios!B90/Escenarios!C90</f>
        <v>-24.5366897073038</v>
      </c>
      <c r="D34" s="35" t="n">
        <f aca="false">Quesería!$B$10*(C33-C32)*Escenarios!C90/Escenarios!D90</f>
        <v>8.41456937799043</v>
      </c>
      <c r="E34" s="35" t="n">
        <f aca="false">Quesería!$B$10*(D33-D32)*Escenarios!D90/Escenarios!E90</f>
        <v>11.2733653846154</v>
      </c>
      <c r="F34" s="35" t="n">
        <f aca="false">Quesería!$B$10*(E33-E32)*Escenarios!E90/Escenarios!F90</f>
        <v>11.2733653846154</v>
      </c>
      <c r="G34" s="35" t="n">
        <f aca="false">Quesería!$B$10*(F33-F32)*Escenarios!F90/Escenarios!G90</f>
        <v>11.2733653846154</v>
      </c>
      <c r="H34" s="35" t="n">
        <f aca="false">Quesería!$B$10*(G33-G32)*Escenarios!G90/Escenarios!H90</f>
        <v>11.2733653846154</v>
      </c>
      <c r="I34" s="35" t="n">
        <f aca="false">Quesería!$B$10*(H33-H32)*Escenarios!H90/Escenarios!I90</f>
        <v>11.2733653846154</v>
      </c>
      <c r="J34" s="35" t="n">
        <f aca="false">Quesería!$B$10*(I33-I32)*Escenarios!I90/Escenarios!J90</f>
        <v>11.2733653846154</v>
      </c>
      <c r="K34" s="35" t="n">
        <f aca="false">Quesería!$B$10*(J33-J32)*Escenarios!J90/Escenarios!K90</f>
        <v>11.2733653846154</v>
      </c>
      <c r="L34" s="35" t="n">
        <f aca="false">Quesería!$B$10*(K33-K32)*Escenarios!K90/Escenarios!L90+Quesería!$B$10*(L33-L32)</f>
        <v>22.9976653846154</v>
      </c>
    </row>
    <row r="35" customFormat="false" ht="15" hidden="false" customHeight="false" outlineLevel="0" collapsed="false">
      <c r="A35" s="5" t="s">
        <v>801</v>
      </c>
      <c r="B35" s="10" t="n">
        <f aca="false">B33-B32-B34</f>
        <v>-73.6100691219113</v>
      </c>
      <c r="C35" s="10" t="n">
        <f aca="false">C33-C32-C34</f>
        <v>49.6601897073038</v>
      </c>
      <c r="D35" s="10" t="n">
        <f aca="false">D33-D32-D34</f>
        <v>25.0834306220096</v>
      </c>
      <c r="E35" s="10" t="n">
        <f aca="false">E33-E32-E34</f>
        <v>22.2246346153846</v>
      </c>
      <c r="F35" s="10" t="n">
        <f aca="false">F33-F32-F34</f>
        <v>22.2246346153846</v>
      </c>
      <c r="G35" s="10" t="n">
        <f aca="false">G33-G32-G34</f>
        <v>22.2246346153846</v>
      </c>
      <c r="H35" s="10" t="n">
        <f aca="false">H33-H32-H34</f>
        <v>22.2246346153846</v>
      </c>
      <c r="I35" s="10" t="n">
        <f aca="false">I33-I32-I34</f>
        <v>22.2246346153846</v>
      </c>
      <c r="J35" s="10" t="n">
        <f aca="false">J33-J32-J34</f>
        <v>22.2246346153846</v>
      </c>
      <c r="K35" s="10" t="n">
        <f aca="false">K33-K32-K34</f>
        <v>22.2246346153846</v>
      </c>
      <c r="L35" s="10" t="n">
        <f aca="false">L33-L32-L34</f>
        <v>10.5003346153846</v>
      </c>
    </row>
    <row r="36" customFormat="false" ht="15" hidden="false" customHeight="false" outlineLevel="0" collapsed="false">
      <c r="A36" s="5" t="s">
        <v>802</v>
      </c>
      <c r="B36" s="40" t="n">
        <f aca="false">SUMPRODUCT(B35:L35,Escenarios!B114:L114)</f>
        <v>84.5687047164901</v>
      </c>
      <c r="G36" s="9" t="s">
        <v>803</v>
      </c>
    </row>
    <row r="37" customFormat="false" ht="15" hidden="false" customHeight="false" outlineLevel="0" collapsed="false">
      <c r="A37" s="5" t="s">
        <v>804</v>
      </c>
      <c r="B37" s="8" t="n">
        <f aca="false">IRR(B35:L35)</f>
        <v>0.405145210669311</v>
      </c>
    </row>
    <row r="38" customFormat="false" ht="15" hidden="false" customHeight="false" outlineLevel="0" collapsed="false">
      <c r="A38" s="6" t="s">
        <v>805</v>
      </c>
      <c r="B38" s="35" t="n">
        <f aca="false">(-SUMPRODUCT(B32:L32,Escenarios!B114:L114)+Quesería!$B$10*SUMPRODUCT(B32:K32*Escenarios!B90:K90/Escenarios!C90:L90,Escenarios!C114:L114))+(SUMPRODUCT(B33:L33,Escenarios!B114:L114)-Quesería!$B$10*SUMPRODUCT(B33:K33*Escenarios!B90:K90/Escenarios!C90:L90,Escenarios!C114:L114)-Quesería!$B$10*L33*Escenarios!L114)*Quesería!$J$92/(Quesería!$J$92+Quesería!$J$96)</f>
        <v>-15.4563484326004</v>
      </c>
      <c r="G38" s="9" t="s">
        <v>806</v>
      </c>
    </row>
    <row r="39" customFormat="false" ht="15" hidden="false" customHeight="false" outlineLevel="0" collapsed="false">
      <c r="A39" s="6" t="s">
        <v>807</v>
      </c>
      <c r="B39" s="35" t="n">
        <f aca="false">(-SUMPRODUCT(B32:L32,Escenarios!B114:L114)+Quesería!$B$10*SUMPRODUCT(B32:K32*Escenarios!B90:K90/Escenarios!C90:L90,Escenarios!C114:L114))+(SUMPRODUCT(B33:L33,Escenarios!B114:L114)-Quesería!$B$10*SUMPRODUCT(B33:K33*Escenarios!B90:K90/Escenarios!C90:L90,Escenarios!C114:L114)-Quesería!$B$10*L33*Escenarios!L114)*(Quesería!$J$92+0.5*Quesería!$J$96)/(Quesería!$J$92+Quesería!$J$96)</f>
        <v>34.5561781419448</v>
      </c>
      <c r="G39" s="9"/>
    </row>
    <row r="40" customFormat="false" ht="15" hidden="false" customHeight="false" outlineLevel="0" collapsed="false">
      <c r="A40" s="6" t="s">
        <v>808</v>
      </c>
      <c r="B40" s="35" t="n">
        <f aca="false">(-SUMPRODUCT(B32:L32,Escenarios!B114:L114)+Quesería!$B$10*SUMPRODUCT(B32:K32*Escenarios!B90:K90/Escenarios!C90:L90,Escenarios!C114:L114))+0.5*(SUMPRODUCT(B33:L33,Escenarios!B114:L114)-Quesería!$B$10*SUMPRODUCT(B33:K33*Escenarios!B90:K90/Escenarios!C90:L90,Escenarios!C114:L114)-Quesería!$B$10*L33*Escenarios!L114)</f>
        <v>16.6815333414145</v>
      </c>
      <c r="G40" s="9"/>
    </row>
    <row r="41" customFormat="false" ht="15" hidden="false" customHeight="false" outlineLevel="0" collapsed="false">
      <c r="A41" s="6" t="s">
        <v>809</v>
      </c>
      <c r="B41" s="22" t="n">
        <f aca="false">-(-SUMPRODUCT(B32:L32,Escenarios!B114:L114)+Quesería!$B$10*SUMPRODUCT(B32:K32*Escenarios!B90:K90/Escenarios!C90:L90,Escenarios!C114:L114))/(SUMPRODUCT(B33:L33,Escenarios!B114:L114)-Quesería!$B$10*SUMPRODUCT(B33:K33*Escenarios!B90:K90/Escenarios!C90:L90,Escenarios!C114:L114)-Quesería!$B$10*L33*Escenarios!L114)</f>
        <v>0.377137808193177</v>
      </c>
      <c r="G41" s="9" t="s">
        <v>810</v>
      </c>
    </row>
    <row r="42" customFormat="false" ht="15" hidden="false" customHeight="false" outlineLevel="0" collapsed="false">
      <c r="A42" s="6" t="s">
        <v>811</v>
      </c>
      <c r="B42" s="35" t="n">
        <f aca="false">(SUMPRODUCT(B33:L33,Escenarios!B114:L114)-Quesería!$B$10*SUMPRODUCT(B33:K33*Escenarios!B90:K90/Escenarios!C90:L90,Escenarios!C114:L114)-Quesería!$B$10*L33*Escenarios!L114)-SUMPRODUCT(B32:L32,Escenarios!B114:L114)</f>
        <v>62.16427362824</v>
      </c>
      <c r="G42" s="9" t="s">
        <v>812</v>
      </c>
    </row>
    <row r="44" customFormat="false" ht="15" hidden="false" customHeight="false" outlineLevel="0" collapsed="false">
      <c r="A44" s="3" t="s">
        <v>813</v>
      </c>
      <c r="B44" s="4"/>
      <c r="C44" s="4"/>
      <c r="D44" s="4"/>
      <c r="E44" s="4"/>
      <c r="F44" s="4"/>
      <c r="G44" s="4"/>
      <c r="H44" s="4"/>
      <c r="I44" s="4"/>
      <c r="J44" s="4"/>
      <c r="K44" s="4"/>
      <c r="L44" s="4"/>
    </row>
    <row r="45" customFormat="false" ht="23.85" hidden="false" customHeight="false" outlineLevel="0" collapsed="false">
      <c r="A45" s="17"/>
      <c r="B45" s="18" t="s">
        <v>758</v>
      </c>
      <c r="C45" s="18" t="s">
        <v>708</v>
      </c>
      <c r="D45" s="18"/>
      <c r="E45" s="18"/>
      <c r="F45" s="18"/>
      <c r="G45" s="18" t="s">
        <v>595</v>
      </c>
    </row>
    <row r="46" customFormat="false" ht="15" hidden="false" customHeight="false" outlineLevel="0" collapsed="false">
      <c r="A46" s="6" t="s">
        <v>649</v>
      </c>
      <c r="B46" s="35" t="n">
        <f aca="false">Escenarios!$Y$33</f>
        <v>230.729140457608</v>
      </c>
      <c r="C46" s="22" t="n">
        <f aca="false">Escenarios!$Y$31</f>
        <v>0.240102844004581</v>
      </c>
      <c r="G46" s="9" t="s">
        <v>814</v>
      </c>
    </row>
    <row r="47" customFormat="false" ht="15" hidden="false" customHeight="false" outlineLevel="0" collapsed="false">
      <c r="A47" s="5" t="s">
        <v>815</v>
      </c>
      <c r="B47" s="10" t="n">
        <f aca="false">Escenarios!$B$33-Escenarios!$Y$33</f>
        <v>136.690700652045</v>
      </c>
      <c r="C47" s="8" t="n">
        <f aca="false">IRR(B50:L50)</f>
        <v>0.190716663099211</v>
      </c>
      <c r="G47" s="9" t="s">
        <v>816</v>
      </c>
    </row>
    <row r="48" customFormat="false" ht="15" hidden="false" customHeight="false" outlineLevel="0" collapsed="false">
      <c r="A48" s="6" t="s">
        <v>817</v>
      </c>
      <c r="B48" s="35" t="n">
        <f aca="false">Escenarios!$B$33</f>
        <v>367.419841109654</v>
      </c>
      <c r="C48" s="22" t="n">
        <f aca="false">Escenarios!$B$31</f>
        <v>0.214213873656107</v>
      </c>
      <c r="G48" s="9"/>
    </row>
    <row r="49" customFormat="false" ht="15" hidden="false" customHeight="false" outlineLevel="0" collapsed="false">
      <c r="A49" s="17" t="s">
        <v>818</v>
      </c>
      <c r="B49" s="18" t="s">
        <v>269</v>
      </c>
      <c r="C49" s="18" t="s">
        <v>270</v>
      </c>
      <c r="D49" s="18" t="s">
        <v>271</v>
      </c>
      <c r="E49" s="18" t="s">
        <v>272</v>
      </c>
      <c r="F49" s="18" t="s">
        <v>273</v>
      </c>
      <c r="G49" s="18" t="s">
        <v>274</v>
      </c>
      <c r="H49" s="18" t="s">
        <v>275</v>
      </c>
      <c r="I49" s="18" t="s">
        <v>276</v>
      </c>
      <c r="J49" s="18" t="s">
        <v>277</v>
      </c>
      <c r="K49" s="18" t="s">
        <v>278</v>
      </c>
      <c r="L49" s="18" t="s">
        <v>279</v>
      </c>
    </row>
    <row r="50" customFormat="false" ht="15" hidden="false" customHeight="false" outlineLevel="0" collapsed="false">
      <c r="A50" s="6" t="s">
        <v>819</v>
      </c>
      <c r="B50" s="35" t="n">
        <f aca="false">Escenarios!B68-Escenarios!B1057</f>
        <v>0</v>
      </c>
      <c r="C50" s="35" t="n">
        <f aca="false">Escenarios!C68-Escenarios!C1057</f>
        <v>-848.665070036902</v>
      </c>
      <c r="D50" s="35" t="n">
        <f aca="false">Escenarios!D68-Escenarios!D1057</f>
        <v>266.414042585477</v>
      </c>
      <c r="E50" s="35" t="n">
        <f aca="false">Escenarios!E68-Escenarios!E1057</f>
        <v>165.130788749008</v>
      </c>
      <c r="F50" s="35" t="n">
        <f aca="false">Escenarios!F68-Escenarios!F1057</f>
        <v>174.184445449722</v>
      </c>
      <c r="G50" s="35" t="n">
        <f aca="false">Escenarios!G68-Escenarios!G1057</f>
        <v>180.518257801548</v>
      </c>
      <c r="H50" s="35" t="n">
        <f aca="false">Escenarios!H68-Escenarios!H1057</f>
        <v>187.122232273689</v>
      </c>
      <c r="I50" s="35" t="n">
        <f aca="false">Escenarios!I68-Escenarios!I1057</f>
        <v>194.007935146061</v>
      </c>
      <c r="J50" s="35" t="n">
        <f aca="false">Escenarios!J68-Escenarios!J1057</f>
        <v>201.187429692521</v>
      </c>
      <c r="K50" s="35" t="n">
        <f aca="false">Escenarios!K68-Escenarios!K1057</f>
        <v>208.673297612906</v>
      </c>
      <c r="L50" s="35" t="n">
        <f aca="false">Escenarios!L68-Escenarios!L1057</f>
        <v>280.496356864635</v>
      </c>
    </row>
    <row r="51" customFormat="false" ht="15" hidden="false" customHeight="false" outlineLevel="0" collapsed="false">
      <c r="A51" s="5" t="s">
        <v>820</v>
      </c>
    </row>
    <row r="52" customFormat="false" ht="15" hidden="false" customHeight="false" outlineLevel="0" collapsed="false">
      <c r="A52" s="9" t="s">
        <v>821</v>
      </c>
    </row>
    <row r="53" customFormat="false" ht="15" hidden="false" customHeight="false" outlineLevel="0" collapsed="false">
      <c r="A53" s="9" t="s">
        <v>822</v>
      </c>
    </row>
    <row r="54" customFormat="false" ht="15" hidden="false" customHeight="false" outlineLevel="0" collapsed="false">
      <c r="A54" s="9" t="s">
        <v>823</v>
      </c>
    </row>
    <row r="55" customFormat="false" ht="15" hidden="false" customHeight="false" outlineLevel="0" collapsed="false">
      <c r="A55" s="9" t="s">
        <v>824</v>
      </c>
    </row>
    <row r="56" customFormat="false" ht="15" hidden="false" customHeight="false" outlineLevel="0" collapsed="false">
      <c r="A56" s="9" t="s">
        <v>825</v>
      </c>
    </row>
    <row r="57" customFormat="false" ht="15" hidden="false" customHeight="false" outlineLevel="0" collapsed="false">
      <c r="A57" s="5" t="s">
        <v>826</v>
      </c>
    </row>
    <row r="58" customFormat="false" ht="15" hidden="false" customHeight="false" outlineLevel="0" collapsed="false">
      <c r="A58" s="9" t="s">
        <v>827</v>
      </c>
    </row>
    <row r="59" customFormat="false" ht="15" hidden="false" customHeight="false" outlineLevel="0" collapsed="false">
      <c r="A59" s="9" t="s">
        <v>828</v>
      </c>
    </row>
    <row r="60" customFormat="false" ht="15" hidden="false" customHeight="false" outlineLevel="0" collapsed="false">
      <c r="A60" s="9" t="s">
        <v>829</v>
      </c>
    </row>
    <row r="61" customFormat="false" ht="15" hidden="false" customHeight="false" outlineLevel="0" collapsed="false">
      <c r="A61" s="9" t="s">
        <v>830</v>
      </c>
    </row>
    <row r="62" customFormat="false" ht="15" hidden="false" customHeight="false" outlineLevel="0" collapsed="false">
      <c r="A62" s="9" t="s">
        <v>831</v>
      </c>
    </row>
    <row r="64" customFormat="false" ht="15" hidden="false" customHeight="false" outlineLevel="0" collapsed="false">
      <c r="A64" s="3" t="s">
        <v>832</v>
      </c>
      <c r="B64" s="4"/>
      <c r="C64" s="4"/>
      <c r="D64" s="4"/>
      <c r="E64" s="4"/>
      <c r="F64" s="4"/>
      <c r="G64" s="4"/>
      <c r="H64" s="4"/>
      <c r="I64" s="4"/>
      <c r="J64" s="4"/>
      <c r="K64" s="4"/>
      <c r="L64" s="4"/>
    </row>
    <row r="65" customFormat="false" ht="15" hidden="false" customHeight="false" outlineLevel="0" collapsed="false">
      <c r="A65" s="9" t="s">
        <v>833</v>
      </c>
    </row>
    <row r="66" customFormat="false" ht="15" hidden="false" customHeight="false" outlineLevel="0" collapsed="false">
      <c r="A66" s="9" t="s">
        <v>834</v>
      </c>
    </row>
    <row r="67" customFormat="false" ht="15" hidden="false" customHeight="false" outlineLevel="0" collapsed="false">
      <c r="A67" s="9" t="s">
        <v>835</v>
      </c>
    </row>
    <row r="68" customFormat="false" ht="15" hidden="false" customHeight="false" outlineLevel="0" collapsed="false">
      <c r="A68" s="9" t="s">
        <v>836</v>
      </c>
    </row>
    <row r="69" customFormat="false" ht="15" hidden="false" customHeight="false" outlineLevel="0" collapsed="false">
      <c r="A69" s="9" t="s">
        <v>837</v>
      </c>
    </row>
    <row r="70" customFormat="false" ht="15" hidden="false" customHeight="false" outlineLevel="0" collapsed="false">
      <c r="A70" s="9" t="s">
        <v>838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3" min="2" style="0" width="11"/>
  </cols>
  <sheetData>
    <row r="1" customFormat="false" ht="17.35" hidden="false" customHeight="false" outlineLevel="0" collapsed="false">
      <c r="A1" s="16" t="s">
        <v>839</v>
      </c>
    </row>
    <row r="2" customFormat="false" ht="15" hidden="false" customHeight="false" outlineLevel="0" collapsed="false">
      <c r="A2" s="9" t="s">
        <v>840</v>
      </c>
    </row>
    <row r="4" customFormat="false" ht="15" hidden="false" customHeight="false" outlineLevel="0" collapsed="false">
      <c r="A4" s="3" t="s">
        <v>841</v>
      </c>
      <c r="B4" s="4"/>
      <c r="C4" s="4"/>
      <c r="D4" s="4"/>
      <c r="E4" s="4"/>
      <c r="F4" s="4"/>
      <c r="G4" s="4"/>
      <c r="H4" s="4"/>
      <c r="I4" s="4"/>
      <c r="J4" s="4"/>
      <c r="K4" s="4"/>
      <c r="L4" s="4"/>
    </row>
    <row r="5" customFormat="false" ht="15" hidden="false" customHeight="false" outlineLevel="0" collapsed="false">
      <c r="A5" s="17" t="s">
        <v>842</v>
      </c>
      <c r="B5" s="18" t="s">
        <v>74</v>
      </c>
      <c r="C5" s="18" t="s">
        <v>577</v>
      </c>
    </row>
    <row r="6" customFormat="false" ht="15" hidden="false" customHeight="false" outlineLevel="0" collapsed="false">
      <c r="A6" s="6" t="s">
        <v>843</v>
      </c>
      <c r="B6" s="26" t="n">
        <v>30457</v>
      </c>
      <c r="C6" s="9" t="s">
        <v>844</v>
      </c>
    </row>
    <row r="7" customFormat="false" ht="15" hidden="false" customHeight="false" outlineLevel="0" collapsed="false">
      <c r="A7" s="6" t="s">
        <v>845</v>
      </c>
      <c r="B7" s="26" t="n">
        <v>1806</v>
      </c>
      <c r="C7" s="9" t="s">
        <v>844</v>
      </c>
    </row>
    <row r="8" customFormat="false" ht="15" hidden="false" customHeight="false" outlineLevel="0" collapsed="false">
      <c r="A8" s="6" t="s">
        <v>846</v>
      </c>
      <c r="B8" s="26" t="n">
        <v>600</v>
      </c>
      <c r="C8" s="9" t="s">
        <v>844</v>
      </c>
    </row>
    <row r="9" customFormat="false" ht="15" hidden="false" customHeight="false" outlineLevel="0" collapsed="false">
      <c r="A9" s="6" t="s">
        <v>308</v>
      </c>
      <c r="B9" s="26" t="n">
        <v>252</v>
      </c>
      <c r="C9" s="9" t="s">
        <v>844</v>
      </c>
    </row>
    <row r="10" customFormat="false" ht="15" hidden="false" customHeight="false" outlineLevel="0" collapsed="false">
      <c r="A10" s="6" t="s">
        <v>847</v>
      </c>
      <c r="B10" s="26" t="n">
        <v>620</v>
      </c>
      <c r="C10" s="9" t="s">
        <v>844</v>
      </c>
    </row>
    <row r="11" customFormat="false" ht="15" hidden="false" customHeight="false" outlineLevel="0" collapsed="false">
      <c r="A11" s="6" t="s">
        <v>848</v>
      </c>
      <c r="B11" s="26" t="n">
        <v>1400</v>
      </c>
      <c r="C11" s="9" t="s">
        <v>844</v>
      </c>
    </row>
    <row r="12" customFormat="false" ht="15" hidden="false" customHeight="false" outlineLevel="0" collapsed="false">
      <c r="A12" s="6" t="s">
        <v>849</v>
      </c>
      <c r="B12" s="26" t="n">
        <v>1000</v>
      </c>
      <c r="C12" s="9" t="s">
        <v>844</v>
      </c>
    </row>
    <row r="14" customFormat="false" ht="15" hidden="false" customHeight="false" outlineLevel="0" collapsed="false">
      <c r="A14" s="3" t="s">
        <v>850</v>
      </c>
      <c r="B14" s="4"/>
      <c r="C14" s="4"/>
      <c r="D14" s="4"/>
      <c r="E14" s="4"/>
      <c r="F14" s="4"/>
      <c r="G14" s="4"/>
      <c r="H14" s="4"/>
      <c r="I14" s="4"/>
      <c r="J14" s="4"/>
      <c r="K14" s="4"/>
      <c r="L14" s="4"/>
    </row>
    <row r="15" customFormat="false" ht="15" hidden="false" customHeight="false" outlineLevel="0" collapsed="false">
      <c r="A15" s="17" t="s">
        <v>189</v>
      </c>
      <c r="B15" s="18" t="s">
        <v>269</v>
      </c>
      <c r="C15" s="18" t="s">
        <v>270</v>
      </c>
      <c r="D15" s="18" t="s">
        <v>271</v>
      </c>
      <c r="E15" s="18" t="s">
        <v>272</v>
      </c>
      <c r="F15" s="18" t="s">
        <v>273</v>
      </c>
      <c r="G15" s="18" t="s">
        <v>274</v>
      </c>
      <c r="H15" s="18" t="s">
        <v>275</v>
      </c>
      <c r="I15" s="18" t="s">
        <v>276</v>
      </c>
      <c r="J15" s="18" t="s">
        <v>277</v>
      </c>
      <c r="K15" s="18" t="s">
        <v>278</v>
      </c>
      <c r="L15" s="18" t="s">
        <v>279</v>
      </c>
    </row>
    <row r="16" customFormat="false" ht="15" hidden="false" customHeight="false" outlineLevel="0" collapsed="false">
      <c r="A16" s="6" t="s">
        <v>851</v>
      </c>
      <c r="B16" s="35" t="n">
        <f aca="false">$B$6</f>
        <v>30457</v>
      </c>
      <c r="C16" s="35" t="n">
        <f aca="false">$B$6</f>
        <v>30457</v>
      </c>
      <c r="D16" s="35" t="n">
        <f aca="false">$B$6</f>
        <v>30457</v>
      </c>
      <c r="E16" s="35" t="n">
        <f aca="false">$B$6</f>
        <v>30457</v>
      </c>
      <c r="F16" s="35" t="n">
        <f aca="false">$B$6</f>
        <v>30457</v>
      </c>
      <c r="G16" s="35" t="n">
        <f aca="false">$B$6</f>
        <v>30457</v>
      </c>
      <c r="H16" s="35" t="n">
        <f aca="false">$B$6</f>
        <v>30457</v>
      </c>
      <c r="I16" s="35" t="n">
        <f aca="false">$B$6</f>
        <v>30457</v>
      </c>
      <c r="J16" s="35" t="n">
        <f aca="false">$B$6</f>
        <v>30457</v>
      </c>
      <c r="K16" s="35" t="n">
        <f aca="false">$B$6</f>
        <v>30457</v>
      </c>
      <c r="L16" s="35" t="n">
        <f aca="false">$B$6</f>
        <v>30457</v>
      </c>
    </row>
    <row r="17" customFormat="false" ht="15" hidden="false" customHeight="false" outlineLevel="0" collapsed="false">
      <c r="A17" s="6" t="s">
        <v>852</v>
      </c>
      <c r="B17" s="35" t="n">
        <f aca="false">Quesería!B135</f>
        <v>26.8516916045565</v>
      </c>
      <c r="C17" s="35" t="n">
        <f aca="false">Quesería!C135</f>
        <v>80.5550748136695</v>
      </c>
      <c r="D17" s="35" t="n">
        <f aca="false">Quesería!D135</f>
        <v>189.651223070959</v>
      </c>
      <c r="E17" s="35" t="n">
        <f aca="false">Quesería!E135</f>
        <v>217.066041955203</v>
      </c>
      <c r="F17" s="35" t="n">
        <f aca="false">Quesería!F135</f>
        <v>217.066041955203</v>
      </c>
      <c r="G17" s="35" t="n">
        <f aca="false">Quesería!G135</f>
        <v>217.066041955203</v>
      </c>
      <c r="H17" s="35" t="n">
        <f aca="false">Quesería!H135</f>
        <v>217.066041955203</v>
      </c>
      <c r="I17" s="35" t="n">
        <f aca="false">Quesería!I135</f>
        <v>217.066041955203</v>
      </c>
      <c r="J17" s="35" t="n">
        <f aca="false">Quesería!J135</f>
        <v>217.066041955203</v>
      </c>
      <c r="K17" s="35" t="n">
        <f aca="false">Quesería!K135</f>
        <v>217.066041955203</v>
      </c>
      <c r="L17" s="35" t="n">
        <f aca="false">Quesería!L135</f>
        <v>217.066041955203</v>
      </c>
    </row>
    <row r="18" customFormat="false" ht="15" hidden="false" customHeight="false" outlineLevel="0" collapsed="false">
      <c r="A18" s="5" t="s">
        <v>853</v>
      </c>
      <c r="B18" s="10" t="n">
        <f aca="false">B16+B17</f>
        <v>30483.8516916046</v>
      </c>
      <c r="C18" s="10" t="n">
        <f aca="false">C16+C17</f>
        <v>30537.5550748137</v>
      </c>
      <c r="D18" s="10" t="n">
        <f aca="false">D16+D17</f>
        <v>30646.651223071</v>
      </c>
      <c r="E18" s="10" t="n">
        <f aca="false">E16+E17</f>
        <v>30674.0660419552</v>
      </c>
      <c r="F18" s="10" t="n">
        <f aca="false">F16+F17</f>
        <v>30674.0660419552</v>
      </c>
      <c r="G18" s="10" t="n">
        <f aca="false">G16+G17</f>
        <v>30674.0660419552</v>
      </c>
      <c r="H18" s="10" t="n">
        <f aca="false">H16+H17</f>
        <v>30674.0660419552</v>
      </c>
      <c r="I18" s="10" t="n">
        <f aca="false">I16+I17</f>
        <v>30674.0660419552</v>
      </c>
      <c r="J18" s="10" t="n">
        <f aca="false">J16+J17</f>
        <v>30674.0660419552</v>
      </c>
      <c r="K18" s="10" t="n">
        <f aca="false">K16+K17</f>
        <v>30674.0660419552</v>
      </c>
      <c r="L18" s="10" t="n">
        <f aca="false">L16+L17</f>
        <v>30674.0660419552</v>
      </c>
    </row>
    <row r="19" customFormat="false" ht="15" hidden="false" customHeight="false" outlineLevel="0" collapsed="false">
      <c r="A19" s="6" t="s">
        <v>854</v>
      </c>
      <c r="B19" s="35" t="n">
        <f aca="false">$B$7</f>
        <v>1806</v>
      </c>
      <c r="C19" s="35" t="n">
        <f aca="false">$B$7</f>
        <v>1806</v>
      </c>
      <c r="D19" s="35" t="n">
        <f aca="false">$B$7</f>
        <v>1806</v>
      </c>
      <c r="E19" s="35" t="n">
        <f aca="false">$B$7</f>
        <v>1806</v>
      </c>
      <c r="F19" s="35" t="n">
        <f aca="false">$B$7</f>
        <v>1806</v>
      </c>
      <c r="G19" s="35" t="n">
        <f aca="false">$B$7</f>
        <v>1806</v>
      </c>
      <c r="H19" s="35" t="n">
        <f aca="false">$B$7</f>
        <v>1806</v>
      </c>
      <c r="I19" s="35" t="n">
        <f aca="false">$B$7</f>
        <v>1806</v>
      </c>
      <c r="J19" s="35" t="n">
        <f aca="false">$B$7</f>
        <v>1806</v>
      </c>
      <c r="K19" s="35" t="n">
        <f aca="false">$B$7</f>
        <v>1806</v>
      </c>
      <c r="L19" s="35" t="n">
        <f aca="false">$B$7</f>
        <v>1806</v>
      </c>
    </row>
    <row r="20" customFormat="false" ht="15" hidden="false" customHeight="false" outlineLevel="0" collapsed="false">
      <c r="A20" s="6" t="s">
        <v>855</v>
      </c>
      <c r="B20" s="35" t="n">
        <f aca="false">Quesería!B126-Quesería!B127-Quesería!B128</f>
        <v>45.6373732102639</v>
      </c>
      <c r="C20" s="35" t="n">
        <f aca="false">Quesería!C126-Quesería!C127-Quesería!C128</f>
        <v>81.7564747862429</v>
      </c>
      <c r="D20" s="35" t="n">
        <f aca="false">Quesería!D126-Quesería!D127-Quesería!D128</f>
        <v>291.978825672109</v>
      </c>
      <c r="E20" s="35" t="n">
        <f aca="false">Quesería!E126-Quesería!E127-Quesería!E128</f>
        <v>328.643750697937</v>
      </c>
      <c r="F20" s="35" t="n">
        <f aca="false">Quesería!F126-Quesería!F127-Quesería!F128</f>
        <v>329.139984537063</v>
      </c>
      <c r="G20" s="35" t="n">
        <f aca="false">Quesería!G126-Quesería!G127-Quesería!G128</f>
        <v>329.638699545386</v>
      </c>
      <c r="H20" s="35" t="n">
        <f aca="false">Quesería!H126-Quesería!H127-Quesería!H128</f>
        <v>330.13990812875</v>
      </c>
      <c r="I20" s="35" t="n">
        <f aca="false">Quesería!I126-Quesería!I127-Quesería!I128</f>
        <v>330.643622755031</v>
      </c>
      <c r="J20" s="35" t="n">
        <f aca="false">Quesería!J126-Quesería!J127-Quesería!J128</f>
        <v>331.149855954443</v>
      </c>
      <c r="K20" s="35" t="n">
        <f aca="false">Quesería!K126-Quesería!K127-Quesería!K128</f>
        <v>331.658620319853</v>
      </c>
      <c r="L20" s="35" t="n">
        <f aca="false">Quesería!L126-Quesería!L127-Quesería!L128</f>
        <v>332.169928507089</v>
      </c>
    </row>
    <row r="21" customFormat="false" ht="15" hidden="false" customHeight="false" outlineLevel="0" collapsed="false">
      <c r="A21" s="5" t="s">
        <v>856</v>
      </c>
      <c r="B21" s="10" t="n">
        <f aca="false">B19+B20</f>
        <v>1851.63737321026</v>
      </c>
      <c r="C21" s="10" t="n">
        <f aca="false">C19+C20</f>
        <v>1887.75647478624</v>
      </c>
      <c r="D21" s="10" t="n">
        <f aca="false">D19+D20</f>
        <v>2097.97882567211</v>
      </c>
      <c r="E21" s="10" t="n">
        <f aca="false">E19+E20</f>
        <v>2134.64375069794</v>
      </c>
      <c r="F21" s="10" t="n">
        <f aca="false">F19+F20</f>
        <v>2135.13998453706</v>
      </c>
      <c r="G21" s="10" t="n">
        <f aca="false">G19+G20</f>
        <v>2135.63869954539</v>
      </c>
      <c r="H21" s="10" t="n">
        <f aca="false">H19+H20</f>
        <v>2136.13990812875</v>
      </c>
      <c r="I21" s="10" t="n">
        <f aca="false">I19+I20</f>
        <v>2136.64362275503</v>
      </c>
      <c r="J21" s="10" t="n">
        <f aca="false">J19+J20</f>
        <v>2137.14985595444</v>
      </c>
      <c r="K21" s="10" t="n">
        <f aca="false">K19+K20</f>
        <v>2137.65862031985</v>
      </c>
      <c r="L21" s="10" t="n">
        <f aca="false">L19+L20</f>
        <v>2138.16992850709</v>
      </c>
    </row>
    <row r="22" customFormat="false" ht="15" hidden="false" customHeight="false" outlineLevel="0" collapsed="false">
      <c r="A22" s="6" t="s">
        <v>857</v>
      </c>
      <c r="B22" s="22" t="n">
        <f aca="false">B21/B18</f>
        <v>0.0607415818690725</v>
      </c>
      <c r="C22" s="22" t="n">
        <f aca="false">C21/C18</f>
        <v>0.0618175381153287</v>
      </c>
      <c r="D22" s="22" t="n">
        <f aca="false">D21/D18</f>
        <v>0.0684570333770347</v>
      </c>
      <c r="E22" s="22" t="n">
        <f aca="false">E21/E18</f>
        <v>0.0695911571611741</v>
      </c>
      <c r="F22" s="22" t="n">
        <f aca="false">F21/F18</f>
        <v>0.0696073347960024</v>
      </c>
      <c r="G22" s="22" t="n">
        <f aca="false">G21/G18</f>
        <v>0.0696235933190049</v>
      </c>
      <c r="H22" s="22" t="n">
        <f aca="false">H21/H18</f>
        <v>0.0696399331346223</v>
      </c>
      <c r="I22" s="22" t="n">
        <f aca="false">I21/I18</f>
        <v>0.0696563546493179</v>
      </c>
      <c r="J22" s="22" t="n">
        <f aca="false">J21/J18</f>
        <v>0.069672858271587</v>
      </c>
      <c r="K22" s="22" t="n">
        <f aca="false">K21/K18</f>
        <v>0.0696894444119674</v>
      </c>
      <c r="L22" s="22" t="n">
        <f aca="false">L21/L18</f>
        <v>0.0697061134830496</v>
      </c>
    </row>
    <row r="23" customFormat="false" ht="15" hidden="false" customHeight="false" outlineLevel="0" collapsed="false">
      <c r="A23" s="6" t="s">
        <v>846</v>
      </c>
      <c r="B23" s="35" t="n">
        <f aca="false">$B$8+Quesería!B130</f>
        <v>699.360069121911</v>
      </c>
      <c r="C23" s="35" t="n">
        <f aca="false">$B$8+Quesería!C130</f>
        <v>657.100021130205</v>
      </c>
      <c r="D23" s="35" t="n">
        <f aca="false">$B$8+Quesería!D130</f>
        <v>716.389502380926</v>
      </c>
      <c r="E23" s="35" t="n">
        <f aca="false">$B$8+Quesería!E130</f>
        <v>711.912983058583</v>
      </c>
      <c r="F23" s="35" t="n">
        <f aca="false">$B$8+Quesería!F130</f>
        <v>707.608637556329</v>
      </c>
      <c r="G23" s="35" t="n">
        <f aca="false">$B$8+Quesería!G130</f>
        <v>703.469843804163</v>
      </c>
      <c r="H23" s="35" t="n">
        <f aca="false">$B$8+Quesería!H130</f>
        <v>692.673123906354</v>
      </c>
      <c r="I23" s="35" t="n">
        <f aca="false">$B$8+Quesería!I130</f>
        <v>695.898110113161</v>
      </c>
      <c r="J23" s="35" t="n">
        <f aca="false">$B$8+Quesería!J130</f>
        <v>692.209721262655</v>
      </c>
      <c r="K23" s="35" t="n">
        <f aca="false">$B$8+Quesería!K130</f>
        <v>688.663193521784</v>
      </c>
      <c r="L23" s="35" t="n">
        <f aca="false">$B$8+Quesería!L130</f>
        <v>685.253070694023</v>
      </c>
    </row>
    <row r="24" customFormat="false" ht="15" hidden="false" customHeight="false" outlineLevel="0" collapsed="false">
      <c r="A24" s="6" t="s">
        <v>858</v>
      </c>
      <c r="B24" s="35" t="n">
        <f aca="false">$B$9+Quesería!B148+Quesería!B150+Quesería!B151+Quesería!B129</f>
        <v>258.902365999242</v>
      </c>
      <c r="C24" s="35" t="n">
        <f aca="false">$B$9+Quesería!C148+Quesería!C150+Quesería!C151+Quesería!C129</f>
        <v>314.017985125912</v>
      </c>
      <c r="D24" s="35" t="n">
        <f aca="false">$B$9+Quesería!D148+Quesería!D150+Quesería!D151+Quesería!D129</f>
        <v>370.005300069758</v>
      </c>
      <c r="E24" s="35" t="n">
        <f aca="false">$B$9+Quesería!E148+Quesería!E150+Quesería!E151+Quesería!E129</f>
        <v>356.751597055811</v>
      </c>
      <c r="F24" s="35" t="n">
        <f aca="false">$B$9+Quesería!F148+Quesería!F150+Quesería!F151+Quesería!F129</f>
        <v>334.648113865716</v>
      </c>
      <c r="G24" s="35" t="n">
        <f aca="false">$B$9+Quesería!G148+Quesería!G150+Quesería!G151+Quesería!G129</f>
        <v>314.217399445118</v>
      </c>
      <c r="H24" s="35" t="n">
        <f aca="false">$B$9+Quesería!H148+Quesería!H150+Quesería!H151+Quesería!H129</f>
        <v>295.160490508741</v>
      </c>
      <c r="I24" s="35" t="n">
        <f aca="false">$B$9+Quesería!I148+Quesería!I150+Quesería!I151+Quesería!I129</f>
        <v>277.272170108285</v>
      </c>
      <c r="J24" s="35" t="n">
        <f aca="false">$B$9+Quesería!J148+Quesería!J150+Quesería!J151+Quesería!J129</f>
        <v>260.642772523526</v>
      </c>
      <c r="K24" s="35" t="n">
        <f aca="false">$B$9+Quesería!K148+Quesería!K150+Quesería!K151+Quesería!K129</f>
        <v>252.355226017459</v>
      </c>
      <c r="L24" s="35" t="n">
        <f aca="false">$B$9+Quesería!L148+Quesería!L150+Quesería!L151+Quesería!L129</f>
        <v>252.355226017459</v>
      </c>
    </row>
    <row r="25" customFormat="false" ht="15" hidden="false" customHeight="false" outlineLevel="0" collapsed="false">
      <c r="A25" s="6" t="s">
        <v>859</v>
      </c>
      <c r="B25" s="35" t="n">
        <f aca="false">B21-B23-B24</f>
        <v>893.374938089111</v>
      </c>
      <c r="C25" s="35" t="n">
        <f aca="false">C21-C23-C24</f>
        <v>916.638468530125</v>
      </c>
      <c r="D25" s="35" t="n">
        <f aca="false">D21-D23-D24</f>
        <v>1011.58402322142</v>
      </c>
      <c r="E25" s="35" t="n">
        <f aca="false">E21-E23-E24</f>
        <v>1065.97917058354</v>
      </c>
      <c r="F25" s="35" t="n">
        <f aca="false">F21-F23-F24</f>
        <v>1092.88323311502</v>
      </c>
      <c r="G25" s="35" t="n">
        <f aca="false">G21-G23-G24</f>
        <v>1117.9514562961</v>
      </c>
      <c r="H25" s="35" t="n">
        <f aca="false">H21-H23-H24</f>
        <v>1148.30629371365</v>
      </c>
      <c r="I25" s="35" t="n">
        <f aca="false">I21-I23-I24</f>
        <v>1163.47334253358</v>
      </c>
      <c r="J25" s="35" t="n">
        <f aca="false">J21-J23-J24</f>
        <v>1184.29736216826</v>
      </c>
      <c r="K25" s="35" t="n">
        <f aca="false">K21-K23-K24</f>
        <v>1196.64020078061</v>
      </c>
      <c r="L25" s="35" t="n">
        <f aca="false">L21-L23-L24</f>
        <v>1200.56163179561</v>
      </c>
    </row>
    <row r="26" customFormat="false" ht="15" hidden="false" customHeight="false" outlineLevel="0" collapsed="false">
      <c r="A26" s="6" t="s">
        <v>860</v>
      </c>
      <c r="B26" s="35" t="n">
        <f aca="false">Quesería!$B$10*(B25+0.5*(Quesería!B129+Quesería!B151))</f>
        <v>313.189142381056</v>
      </c>
      <c r="C26" s="35" t="n">
        <f aca="false">Quesería!$B$10*(C25+0.5*(Quesería!C129+Quesería!C151))</f>
        <v>321.440703762475</v>
      </c>
      <c r="D26" s="35" t="n">
        <f aca="false">Quesería!$B$10*(D25+0.5*(Quesería!D129+Quesería!D151))</f>
        <v>354.244727768819</v>
      </c>
      <c r="E26" s="35" t="n">
        <f aca="false">Quesería!$B$10*(E25+0.5*(Quesería!E129+Quesería!E151))</f>
        <v>373.320309651165</v>
      </c>
      <c r="F26" s="35" t="n">
        <f aca="false">Quesería!$B$10*(F25+0.5*(Quesería!F129+Quesería!F151))</f>
        <v>382.717757315997</v>
      </c>
      <c r="G26" s="35" t="n">
        <f aca="false">Quesería!$B$10*(G25+0.5*(Quesería!G129+Quesería!G151))</f>
        <v>391.496089370089</v>
      </c>
      <c r="H26" s="35" t="n">
        <f aca="false">Quesería!$B$10*(H25+0.5*(Quesería!H129+Quesería!H151))</f>
        <v>402.110867881557</v>
      </c>
      <c r="I26" s="35" t="n">
        <f aca="false">Quesería!$B$10*(I25+0.5*(Quesería!I129+Quesería!I151))</f>
        <v>407.374403632554</v>
      </c>
      <c r="J26" s="35" t="n">
        <f aca="false">Quesería!$B$10*(J25+0.5*(Quesería!J129+Quesería!J151))</f>
        <v>414.611714529188</v>
      </c>
      <c r="K26" s="35" t="n">
        <f aca="false">Quesería!$B$10*(K25+0.5*(Quesería!K129+Quesería!K151))</f>
        <v>418.886234826269</v>
      </c>
      <c r="L26" s="35" t="n">
        <f aca="false">Quesería!$B$10*(L25+0.5*(Quesería!L129+Quesería!L151))</f>
        <v>420.258735681518</v>
      </c>
    </row>
    <row r="27" customFormat="false" ht="15" hidden="false" customHeight="false" outlineLevel="0" collapsed="false">
      <c r="A27" s="6" t="s">
        <v>861</v>
      </c>
      <c r="B27" s="35" t="n">
        <f aca="false">Quesería!B131+Quesería!B133</f>
        <v>0</v>
      </c>
      <c r="C27" s="35" t="n">
        <f aca="false">Quesería!C131+Quesería!C133</f>
        <v>114.617024274374</v>
      </c>
      <c r="D27" s="35" t="n">
        <f aca="false">Quesería!D131+Quesería!D133</f>
        <v>117.321834287022</v>
      </c>
      <c r="E27" s="35" t="n">
        <f aca="false">Quesería!E131+Quesería!E133</f>
        <v>0</v>
      </c>
      <c r="F27" s="35" t="n">
        <f aca="false">Quesería!F131+Quesería!F133</f>
        <v>0</v>
      </c>
      <c r="G27" s="35" t="n">
        <f aca="false">Quesería!G131+Quesería!G133</f>
        <v>0</v>
      </c>
      <c r="H27" s="35" t="n">
        <f aca="false">Quesería!H131+Quesería!H133</f>
        <v>4.87179487179487</v>
      </c>
      <c r="I27" s="35" t="n">
        <f aca="false">Quesería!I131+Quesería!I133</f>
        <v>6.44987026996795</v>
      </c>
      <c r="J27" s="35" t="n">
        <f aca="false">Quesería!J131+Quesería!J133</f>
        <v>0</v>
      </c>
      <c r="K27" s="35" t="n">
        <f aca="false">Quesería!K131+Quesería!K133</f>
        <v>0</v>
      </c>
      <c r="L27" s="35" t="n">
        <f aca="false">Quesería!L131+Quesería!L133</f>
        <v>0</v>
      </c>
    </row>
    <row r="28" customFormat="false" ht="15" hidden="false" customHeight="false" outlineLevel="0" collapsed="false">
      <c r="A28" s="6" t="s">
        <v>751</v>
      </c>
      <c r="B28" s="35" t="n">
        <f aca="false">Quesería!B132</f>
        <v>0</v>
      </c>
      <c r="C28" s="35" t="n">
        <f aca="false">Quesería!C132</f>
        <v>166.879881289715</v>
      </c>
      <c r="D28" s="35" t="n">
        <f aca="false">Quesería!D132</f>
        <v>0</v>
      </c>
      <c r="E28" s="35" t="n">
        <f aca="false">Quesería!E132</f>
        <v>0</v>
      </c>
      <c r="F28" s="35" t="n">
        <f aca="false">Quesería!F132</f>
        <v>0</v>
      </c>
      <c r="G28" s="35" t="n">
        <f aca="false">Quesería!G132</f>
        <v>0</v>
      </c>
      <c r="H28" s="35" t="n">
        <f aca="false">Quesería!H132</f>
        <v>0</v>
      </c>
      <c r="I28" s="35" t="n">
        <f aca="false">Quesería!I132</f>
        <v>0</v>
      </c>
      <c r="J28" s="35" t="n">
        <f aca="false">Quesería!J132</f>
        <v>0</v>
      </c>
      <c r="K28" s="35" t="n">
        <f aca="false">Quesería!K132</f>
        <v>0</v>
      </c>
      <c r="L28" s="35" t="n">
        <f aca="false">Quesería!L132</f>
        <v>0</v>
      </c>
    </row>
    <row r="29" customFormat="false" ht="15" hidden="false" customHeight="false" outlineLevel="0" collapsed="false">
      <c r="A29" s="6" t="s">
        <v>86</v>
      </c>
      <c r="B29" s="35" t="n">
        <f aca="false">B26-B27-B28</f>
        <v>313.189142381056</v>
      </c>
      <c r="C29" s="35" t="n">
        <f aca="false">C26-C27-C28</f>
        <v>39.9437981983853</v>
      </c>
      <c r="D29" s="35" t="n">
        <f aca="false">D26-D27-D28</f>
        <v>236.922893481796</v>
      </c>
      <c r="E29" s="35" t="n">
        <f aca="false">E26-E27-E28</f>
        <v>373.320309651165</v>
      </c>
      <c r="F29" s="35" t="n">
        <f aca="false">F26-F27-F28</f>
        <v>382.717757315997</v>
      </c>
      <c r="G29" s="35" t="n">
        <f aca="false">G26-G27-G28</f>
        <v>391.496089370089</v>
      </c>
      <c r="H29" s="35" t="n">
        <f aca="false">H26-H27-H28</f>
        <v>397.239073009763</v>
      </c>
      <c r="I29" s="35" t="n">
        <f aca="false">I26-I27-I28</f>
        <v>400.924533362586</v>
      </c>
      <c r="J29" s="35" t="n">
        <f aca="false">J26-J27-J28</f>
        <v>414.611714529188</v>
      </c>
      <c r="K29" s="35" t="n">
        <f aca="false">K26-K27-K28</f>
        <v>418.886234826269</v>
      </c>
      <c r="L29" s="35" t="n">
        <f aca="false">L26-L27-L28</f>
        <v>420.258735681518</v>
      </c>
    </row>
    <row r="30" customFormat="false" ht="15" hidden="false" customHeight="false" outlineLevel="0" collapsed="false">
      <c r="A30" s="5" t="s">
        <v>862</v>
      </c>
      <c r="B30" s="10" t="n">
        <f aca="false">B25-B29</f>
        <v>580.185795708055</v>
      </c>
      <c r="C30" s="10" t="n">
        <f aca="false">C25-C29</f>
        <v>876.69467033174</v>
      </c>
      <c r="D30" s="10" t="n">
        <f aca="false">D25-D29</f>
        <v>774.661129739628</v>
      </c>
      <c r="E30" s="10" t="n">
        <f aca="false">E25-E29</f>
        <v>692.658860932379</v>
      </c>
      <c r="F30" s="10" t="n">
        <f aca="false">F25-F29</f>
        <v>710.165475799021</v>
      </c>
      <c r="G30" s="10" t="n">
        <f aca="false">G25-G29</f>
        <v>726.455366926016</v>
      </c>
      <c r="H30" s="10" t="n">
        <f aca="false">H25-H29</f>
        <v>751.067220703892</v>
      </c>
      <c r="I30" s="10" t="n">
        <f aca="false">I25-I29</f>
        <v>762.548809170999</v>
      </c>
      <c r="J30" s="10" t="n">
        <f aca="false">J25-J29</f>
        <v>769.685647639075</v>
      </c>
      <c r="K30" s="10" t="n">
        <f aca="false">K25-K29</f>
        <v>777.753965954342</v>
      </c>
      <c r="L30" s="10" t="n">
        <f aca="false">L25-L29</f>
        <v>780.30289611409</v>
      </c>
    </row>
    <row r="31" customFormat="false" ht="15" hidden="false" customHeight="false" outlineLevel="0" collapsed="false">
      <c r="A31" s="6" t="s">
        <v>863</v>
      </c>
      <c r="B31" s="35" t="n">
        <f aca="false">B30-$B$10</f>
        <v>-39.8142042919454</v>
      </c>
      <c r="C31" s="35" t="n">
        <f aca="false">C30-$B$10</f>
        <v>256.69467033174</v>
      </c>
      <c r="D31" s="35" t="n">
        <f aca="false">D30-$B$10</f>
        <v>154.661129739628</v>
      </c>
      <c r="E31" s="35" t="n">
        <f aca="false">E30-$B$10</f>
        <v>72.6588609323787</v>
      </c>
      <c r="F31" s="35" t="n">
        <f aca="false">F30-$B$10</f>
        <v>90.165475799021</v>
      </c>
      <c r="G31" s="35" t="n">
        <f aca="false">G30-$B$10</f>
        <v>106.455366926016</v>
      </c>
      <c r="H31" s="35" t="n">
        <f aca="false">H30-$B$10</f>
        <v>131.067220703892</v>
      </c>
      <c r="I31" s="35" t="n">
        <f aca="false">I30-$B$10</f>
        <v>142.548809170999</v>
      </c>
      <c r="J31" s="35" t="n">
        <f aca="false">J30-$B$10</f>
        <v>149.685647639075</v>
      </c>
      <c r="K31" s="35" t="n">
        <f aca="false">K30-$B$10</f>
        <v>157.753965954342</v>
      </c>
      <c r="L31" s="35" t="n">
        <f aca="false">L30-$B$10</f>
        <v>160.30289611409</v>
      </c>
    </row>
    <row r="32" customFormat="false" ht="15" hidden="false" customHeight="false" outlineLevel="0" collapsed="false">
      <c r="A32" s="6" t="s">
        <v>864</v>
      </c>
      <c r="B32" s="35" t="n">
        <f aca="false">$B$11</f>
        <v>1400</v>
      </c>
      <c r="C32" s="35" t="n">
        <f aca="false">$B$11</f>
        <v>1400</v>
      </c>
      <c r="D32" s="35" t="n">
        <f aca="false">$B$11</f>
        <v>1400</v>
      </c>
      <c r="E32" s="35" t="n">
        <f aca="false">$B$11</f>
        <v>1400</v>
      </c>
      <c r="F32" s="35" t="n">
        <f aca="false">$B$11</f>
        <v>1400</v>
      </c>
      <c r="G32" s="35" t="n">
        <f aca="false">$B$11</f>
        <v>1400</v>
      </c>
      <c r="H32" s="35" t="n">
        <f aca="false">$B$11</f>
        <v>1400</v>
      </c>
      <c r="I32" s="35" t="n">
        <f aca="false">$B$11</f>
        <v>1400</v>
      </c>
      <c r="J32" s="35" t="n">
        <f aca="false">$B$11</f>
        <v>1400</v>
      </c>
      <c r="K32" s="35" t="n">
        <f aca="false">$B$11</f>
        <v>1400</v>
      </c>
      <c r="L32" s="35" t="n">
        <f aca="false">$B$11</f>
        <v>1400</v>
      </c>
    </row>
    <row r="33" customFormat="false" ht="15" hidden="false" customHeight="false" outlineLevel="0" collapsed="false">
      <c r="A33" s="6" t="s">
        <v>865</v>
      </c>
      <c r="B33" s="35" t="n">
        <f aca="false">Quesería!B146*Quesería!B120</f>
        <v>435.57053702568</v>
      </c>
      <c r="C33" s="35" t="n">
        <f aca="false">Quesería!C146*Quesería!C120</f>
        <v>866.518144886635</v>
      </c>
      <c r="D33" s="35" t="n">
        <f aca="false">Quesería!D146*Quesería!D120</f>
        <v>763.043028140066</v>
      </c>
      <c r="E33" s="35" t="n">
        <f aca="false">Quesería!E146*Quesería!E120</f>
        <v>600.809968340016</v>
      </c>
      <c r="F33" s="35" t="n">
        <f aca="false">Quesería!F146*Quesería!F120</f>
        <v>449.927612802485</v>
      </c>
      <c r="G33" s="35" t="n">
        <f aca="false">Quesería!G146*Quesería!G120</f>
        <v>309.762820163788</v>
      </c>
      <c r="H33" s="35" t="n">
        <f aca="false">Quesería!H146*Quesería!H120</f>
        <v>179.714361259424</v>
      </c>
      <c r="I33" s="35" t="n">
        <f aca="false">Quesería!I146*Quesería!I120</f>
        <v>59.2114009391776</v>
      </c>
      <c r="J33" s="35" t="n">
        <f aca="false">Quesería!J146*Quesería!J120</f>
        <v>0</v>
      </c>
      <c r="K33" s="35" t="n">
        <f aca="false">Quesería!K146*Quesería!K120</f>
        <v>0</v>
      </c>
      <c r="L33" s="35" t="n">
        <f aca="false">Quesería!L146*Quesería!L120</f>
        <v>0</v>
      </c>
    </row>
    <row r="34" customFormat="false" ht="15" hidden="false" customHeight="false" outlineLevel="0" collapsed="false">
      <c r="A34" s="5" t="s">
        <v>866</v>
      </c>
      <c r="B34" s="12" t="n">
        <f aca="false">(B32+B33)/B21</f>
        <v>0.991322903492314</v>
      </c>
      <c r="C34" s="12" t="n">
        <f aca="false">(C32+C33)/C21</f>
        <v>1.2006411712312</v>
      </c>
      <c r="D34" s="12" t="n">
        <f aca="false">(D32+D33)/D21</f>
        <v>1.03101280226082</v>
      </c>
      <c r="E34" s="12" t="n">
        <f aca="false">(E32+E33)/E21</f>
        <v>0.937303926093447</v>
      </c>
      <c r="F34" s="12" t="n">
        <f aca="false">(F32+F33)/F21</f>
        <v>0.866419825491481</v>
      </c>
      <c r="G34" s="12" t="n">
        <f aca="false">(G32+G33)/G21</f>
        <v>0.800586176176591</v>
      </c>
      <c r="H34" s="12" t="n">
        <f aca="false">(H32+H33)/H21</f>
        <v>0.73951821004236</v>
      </c>
      <c r="I34" s="12" t="n">
        <f aca="false">(I32+I33)/I21</f>
        <v>0.682945618725897</v>
      </c>
      <c r="J34" s="12" t="n">
        <f aca="false">(J32+J33)/J21</f>
        <v>0.65507806862461</v>
      </c>
      <c r="K34" s="12" t="n">
        <f aca="false">(K32+K33)/K21</f>
        <v>0.654922159549742</v>
      </c>
      <c r="L34" s="12" t="n">
        <f aca="false">(L32+L33)/L21</f>
        <v>0.6547655456821</v>
      </c>
    </row>
    <row r="35" customFormat="false" ht="15" hidden="false" customHeight="false" outlineLevel="0" collapsed="false">
      <c r="A35" s="6" t="s">
        <v>867</v>
      </c>
      <c r="B35" s="65" t="n">
        <f aca="false">B21/B24</f>
        <v>7.15187505553999</v>
      </c>
      <c r="C35" s="65" t="n">
        <f aca="false">C21/C24</f>
        <v>6.0116189651663</v>
      </c>
      <c r="D35" s="65" t="n">
        <f aca="false">D21/D24</f>
        <v>5.67013182048088</v>
      </c>
      <c r="E35" s="65" t="n">
        <f aca="false">E21/E24</f>
        <v>5.98355765836695</v>
      </c>
      <c r="F35" s="65" t="n">
        <f aca="false">F21/F24</f>
        <v>6.38025405215291</v>
      </c>
      <c r="G35" s="65" t="n">
        <f aca="false">G21/G24</f>
        <v>6.79669140956785</v>
      </c>
      <c r="H35" s="65" t="n">
        <f aca="false">H21/H24</f>
        <v>7.23721492821373</v>
      </c>
      <c r="I35" s="65" t="n">
        <f aca="false">I21/I24</f>
        <v>7.70594330444556</v>
      </c>
      <c r="J35" s="65" t="n">
        <f aca="false">J21/J24</f>
        <v>8.19953622831241</v>
      </c>
      <c r="K35" s="65" t="n">
        <f aca="false">K21/K24</f>
        <v>8.47083158948317</v>
      </c>
      <c r="L35" s="65" t="n">
        <f aca="false">L21/L24</f>
        <v>8.47285773411788</v>
      </c>
    </row>
    <row r="36" customFormat="false" ht="15" hidden="false" customHeight="false" outlineLevel="0" collapsed="false">
      <c r="A36" s="6" t="s">
        <v>868</v>
      </c>
      <c r="B36" s="35" t="n">
        <f aca="false">MAX(0,-Quesería!B153)</f>
        <v>229.083708047218</v>
      </c>
      <c r="C36" s="35" t="n">
        <f aca="false">MAX(0,-Quesería!C153)</f>
        <v>5.40069313882179</v>
      </c>
      <c r="D36" s="35" t="n">
        <f aca="false">MAX(0,-Quesería!D153)</f>
        <v>0</v>
      </c>
      <c r="E36" s="35" t="n">
        <f aca="false">MAX(0,-Quesería!E153)</f>
        <v>0</v>
      </c>
      <c r="F36" s="35" t="n">
        <f aca="false">MAX(0,-Quesería!F153)</f>
        <v>0</v>
      </c>
      <c r="G36" s="35" t="n">
        <f aca="false">MAX(0,-Quesería!G153)</f>
        <v>0</v>
      </c>
      <c r="H36" s="35" t="n">
        <f aca="false">MAX(0,-Quesería!H153)</f>
        <v>0</v>
      </c>
      <c r="I36" s="35" t="n">
        <f aca="false">MAX(0,-Quesería!I153)</f>
        <v>0</v>
      </c>
      <c r="J36" s="35" t="n">
        <f aca="false">MAX(0,-Quesería!J153)</f>
        <v>0</v>
      </c>
      <c r="K36" s="35" t="n">
        <f aca="false">MAX(0,-Quesería!K153)</f>
        <v>0</v>
      </c>
      <c r="L36" s="35" t="n">
        <f aca="false">MAX(0,-Quesería!L153)</f>
        <v>0</v>
      </c>
    </row>
    <row r="37" customFormat="false" ht="15" hidden="false" customHeight="false" outlineLevel="0" collapsed="false">
      <c r="A37" s="6" t="s">
        <v>869</v>
      </c>
      <c r="B37" s="22" t="n">
        <f aca="false">B36/$B$12</f>
        <v>0.229083708047218</v>
      </c>
      <c r="C37" s="22" t="n">
        <f aca="false">C36/$B$12</f>
        <v>0.00540069313882179</v>
      </c>
      <c r="D37" s="22" t="n">
        <f aca="false">D36/$B$12</f>
        <v>0</v>
      </c>
      <c r="E37" s="22" t="n">
        <f aca="false">E36/$B$12</f>
        <v>0</v>
      </c>
      <c r="F37" s="22" t="n">
        <f aca="false">F36/$B$12</f>
        <v>0</v>
      </c>
      <c r="G37" s="22" t="n">
        <f aca="false">G36/$B$12</f>
        <v>0</v>
      </c>
      <c r="H37" s="22" t="n">
        <f aca="false">H36/$B$12</f>
        <v>0</v>
      </c>
      <c r="I37" s="22" t="n">
        <f aca="false">I36/$B$12</f>
        <v>0</v>
      </c>
      <c r="J37" s="22" t="n">
        <f aca="false">J36/$B$12</f>
        <v>0</v>
      </c>
      <c r="K37" s="22" t="n">
        <f aca="false">K36/$B$12</f>
        <v>0</v>
      </c>
      <c r="L37" s="22" t="n">
        <f aca="false">L36/$B$12</f>
        <v>0</v>
      </c>
    </row>
    <row r="38" customFormat="false" ht="15" hidden="false" customHeight="false" outlineLevel="0" collapsed="false">
      <c r="A38" s="9" t="s">
        <v>870</v>
      </c>
    </row>
    <row r="40" customFormat="false" ht="15" hidden="false" customHeight="false" outlineLevel="0" collapsed="false">
      <c r="A40" s="3" t="s">
        <v>595</v>
      </c>
      <c r="B40" s="4"/>
      <c r="C40" s="4"/>
      <c r="D40" s="4"/>
      <c r="E40" s="4"/>
      <c r="F40" s="4"/>
      <c r="G40" s="4"/>
      <c r="H40" s="4"/>
      <c r="I40" s="4"/>
      <c r="J40" s="4"/>
      <c r="K40" s="4"/>
      <c r="L40" s="4"/>
    </row>
    <row r="41" customFormat="false" ht="15" hidden="false" customHeight="false" outlineLevel="0" collapsed="false">
      <c r="A41" s="5" t="s">
        <v>871</v>
      </c>
      <c r="B41" s="44" t="n">
        <f aca="false">MAX(B34:L34)</f>
        <v>1.2006411712312</v>
      </c>
    </row>
    <row r="42" customFormat="false" ht="15" hidden="false" customHeight="false" outlineLevel="0" collapsed="false">
      <c r="A42" s="5" t="s">
        <v>872</v>
      </c>
      <c r="B42" s="44" t="n">
        <f aca="false">$B$11/$B$7</f>
        <v>0.775193798449612</v>
      </c>
    </row>
    <row r="43" customFormat="false" ht="15" hidden="false" customHeight="false" outlineLevel="0" collapsed="false">
      <c r="A43" s="5" t="s">
        <v>873</v>
      </c>
      <c r="B43" s="44" t="n">
        <f aca="false">MIN(B35:L35)</f>
        <v>5.67013182048088</v>
      </c>
    </row>
    <row r="44" customFormat="false" ht="15" hidden="false" customHeight="false" outlineLevel="0" collapsed="false">
      <c r="A44" s="5" t="s">
        <v>874</v>
      </c>
      <c r="B44" s="39" t="n">
        <f aca="false">MAX(B37:L37)</f>
        <v>0.229083708047218</v>
      </c>
    </row>
    <row r="45" customFormat="false" ht="15" hidden="false" customHeight="false" outlineLevel="0" collapsed="false">
      <c r="A45" s="5" t="s">
        <v>875</v>
      </c>
      <c r="B45" s="40" t="n">
        <f aca="false">D31</f>
        <v>154.661129739628</v>
      </c>
    </row>
    <row r="46" customFormat="false" ht="15" hidden="false" customHeight="false" outlineLevel="0" collapsed="false">
      <c r="A46" s="5" t="s">
        <v>876</v>
      </c>
      <c r="B46" s="40" t="n">
        <f aca="false">G31</f>
        <v>106.455366926016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10" min="2" style="0" width="13"/>
  </cols>
  <sheetData>
    <row r="1" customFormat="false" ht="17.35" hidden="false" customHeight="false" outlineLevel="0" collapsed="false">
      <c r="A1" s="16" t="s">
        <v>877</v>
      </c>
    </row>
    <row r="2" customFormat="false" ht="15" hidden="false" customHeight="false" outlineLevel="0" collapsed="false">
      <c r="A2" s="9" t="s">
        <v>878</v>
      </c>
    </row>
    <row r="4" customFormat="false" ht="15" hidden="false" customHeight="false" outlineLevel="0" collapsed="false">
      <c r="A4" s="3" t="s">
        <v>72</v>
      </c>
      <c r="B4" s="4"/>
      <c r="C4" s="4"/>
      <c r="D4" s="4"/>
      <c r="E4" s="4"/>
      <c r="F4" s="4"/>
      <c r="G4" s="4"/>
      <c r="H4" s="4"/>
    </row>
    <row r="5" customFormat="false" ht="23.85" hidden="false" customHeight="false" outlineLevel="0" collapsed="false">
      <c r="A5" s="17" t="s">
        <v>73</v>
      </c>
      <c r="B5" s="18" t="s">
        <v>74</v>
      </c>
      <c r="C5" s="18" t="s">
        <v>75</v>
      </c>
      <c r="D5" s="18" t="s">
        <v>76</v>
      </c>
    </row>
    <row r="6" customFormat="false" ht="15" hidden="false" customHeight="false" outlineLevel="0" collapsed="false">
      <c r="A6" s="6" t="s">
        <v>879</v>
      </c>
      <c r="B6" s="69" t="n">
        <v>1.750905</v>
      </c>
      <c r="C6" s="9" t="s">
        <v>880</v>
      </c>
      <c r="D6" s="9" t="s">
        <v>881</v>
      </c>
    </row>
    <row r="7" customFormat="false" ht="15" hidden="false" customHeight="false" outlineLevel="0" collapsed="false">
      <c r="A7" s="6" t="s">
        <v>882</v>
      </c>
      <c r="B7" s="23" t="n">
        <v>182</v>
      </c>
      <c r="C7" s="9" t="s">
        <v>883</v>
      </c>
      <c r="D7" s="9" t="s">
        <v>884</v>
      </c>
    </row>
    <row r="8" customFormat="false" ht="15" hidden="false" customHeight="false" outlineLevel="0" collapsed="false">
      <c r="A8" s="6" t="s">
        <v>885</v>
      </c>
      <c r="B8" s="48" t="n">
        <v>3.6</v>
      </c>
      <c r="C8" s="9" t="s">
        <v>886</v>
      </c>
      <c r="D8" s="9" t="s">
        <v>887</v>
      </c>
    </row>
    <row r="9" customFormat="false" ht="15" hidden="false" customHeight="false" outlineLevel="0" collapsed="false">
      <c r="A9" s="6" t="s">
        <v>888</v>
      </c>
      <c r="B9" s="48" t="n">
        <v>4</v>
      </c>
      <c r="C9" s="9" t="s">
        <v>886</v>
      </c>
      <c r="D9" s="9" t="s">
        <v>889</v>
      </c>
    </row>
    <row r="10" customFormat="false" ht="15" hidden="false" customHeight="false" outlineLevel="0" collapsed="false">
      <c r="A10" s="6" t="s">
        <v>890</v>
      </c>
      <c r="B10" s="47" t="n">
        <v>1.38</v>
      </c>
      <c r="C10" s="9" t="s">
        <v>891</v>
      </c>
      <c r="D10" s="9" t="s">
        <v>892</v>
      </c>
    </row>
    <row r="11" customFormat="false" ht="15" hidden="false" customHeight="false" outlineLevel="0" collapsed="false">
      <c r="A11" s="6" t="s">
        <v>893</v>
      </c>
      <c r="B11" s="20" t="n">
        <v>0.3</v>
      </c>
      <c r="C11" s="9" t="s">
        <v>894</v>
      </c>
      <c r="D11" s="9" t="s">
        <v>895</v>
      </c>
    </row>
    <row r="12" customFormat="false" ht="15" hidden="false" customHeight="false" outlineLevel="0" collapsed="false">
      <c r="A12" s="6" t="s">
        <v>896</v>
      </c>
      <c r="B12" s="20" t="n">
        <v>0.05</v>
      </c>
      <c r="C12" s="9" t="s">
        <v>894</v>
      </c>
      <c r="D12" s="9" t="s">
        <v>897</v>
      </c>
    </row>
    <row r="13" customFormat="false" ht="15" hidden="false" customHeight="false" outlineLevel="0" collapsed="false">
      <c r="A13" s="6" t="s">
        <v>898</v>
      </c>
      <c r="B13" s="20" t="n">
        <v>0.1</v>
      </c>
      <c r="C13" s="9" t="s">
        <v>894</v>
      </c>
      <c r="D13" s="9" t="s">
        <v>899</v>
      </c>
    </row>
    <row r="14" customFormat="false" ht="15" hidden="false" customHeight="false" outlineLevel="0" collapsed="false">
      <c r="A14" s="6" t="s">
        <v>900</v>
      </c>
      <c r="B14" s="20" t="n">
        <v>0.19</v>
      </c>
      <c r="C14" s="9" t="s">
        <v>81</v>
      </c>
      <c r="D14" s="9" t="s">
        <v>901</v>
      </c>
    </row>
    <row r="15" customFormat="false" ht="15" hidden="false" customHeight="false" outlineLevel="0" collapsed="false">
      <c r="A15" s="6" t="s">
        <v>902</v>
      </c>
      <c r="B15" s="20" t="n">
        <v>0.35</v>
      </c>
      <c r="C15" s="9" t="s">
        <v>81</v>
      </c>
      <c r="D15" s="9" t="s">
        <v>903</v>
      </c>
    </row>
    <row r="16" customFormat="false" ht="15" hidden="false" customHeight="false" outlineLevel="0" collapsed="false">
      <c r="A16" s="6" t="s">
        <v>904</v>
      </c>
      <c r="B16" s="20" t="n">
        <v>0.116088</v>
      </c>
      <c r="C16" s="9" t="s">
        <v>905</v>
      </c>
      <c r="D16" s="9" t="s">
        <v>906</v>
      </c>
    </row>
    <row r="17" customFormat="false" ht="15" hidden="false" customHeight="false" outlineLevel="0" collapsed="false">
      <c r="A17" s="6" t="s">
        <v>907</v>
      </c>
      <c r="B17" s="25" t="n">
        <v>0.35</v>
      </c>
      <c r="C17" s="9" t="s">
        <v>908</v>
      </c>
      <c r="D17" s="9" t="s">
        <v>909</v>
      </c>
    </row>
    <row r="18" customFormat="false" ht="15" hidden="false" customHeight="false" outlineLevel="0" collapsed="false">
      <c r="A18" s="6" t="s">
        <v>910</v>
      </c>
      <c r="B18" s="23" t="n">
        <v>6</v>
      </c>
      <c r="C18" s="9" t="s">
        <v>439</v>
      </c>
      <c r="D18" s="9" t="s">
        <v>911</v>
      </c>
    </row>
    <row r="20" customFormat="false" ht="15" hidden="false" customHeight="false" outlineLevel="0" collapsed="false">
      <c r="A20" s="3" t="s">
        <v>912</v>
      </c>
      <c r="B20" s="4"/>
      <c r="C20" s="4"/>
      <c r="D20" s="4"/>
      <c r="E20" s="4"/>
      <c r="F20" s="4"/>
      <c r="G20" s="4"/>
      <c r="H20" s="4"/>
    </row>
    <row r="21" customFormat="false" ht="23.85" hidden="false" customHeight="false" outlineLevel="0" collapsed="false">
      <c r="A21" s="17" t="s">
        <v>913</v>
      </c>
      <c r="B21" s="18" t="s">
        <v>914</v>
      </c>
      <c r="C21" s="18" t="s">
        <v>915</v>
      </c>
      <c r="D21" s="18" t="s">
        <v>916</v>
      </c>
      <c r="E21" s="18" t="s">
        <v>917</v>
      </c>
    </row>
    <row r="22" customFormat="false" ht="15" hidden="false" customHeight="false" outlineLevel="0" collapsed="false">
      <c r="A22" s="6" t="s">
        <v>918</v>
      </c>
      <c r="B22" s="6" t="s">
        <v>919</v>
      </c>
      <c r="C22" s="29" t="n">
        <f aca="false">$B$9*$B$6</f>
        <v>7.00362</v>
      </c>
      <c r="D22" s="29" t="n">
        <f aca="false">C22*$B$10</f>
        <v>9.6649956</v>
      </c>
      <c r="E22" s="52" t="n">
        <f aca="false">D22/$B$7*1000000</f>
        <v>53104.3714285714</v>
      </c>
    </row>
    <row r="23" customFormat="false" ht="15" hidden="false" customHeight="false" outlineLevel="0" collapsed="false">
      <c r="A23" s="6" t="s">
        <v>920</v>
      </c>
      <c r="B23" s="6" t="s">
        <v>921</v>
      </c>
      <c r="C23" s="29" t="n">
        <f aca="false">$B$8*$B$6</f>
        <v>6.303258</v>
      </c>
      <c r="D23" s="29" t="n">
        <f aca="false">C23</f>
        <v>6.303258</v>
      </c>
      <c r="E23" s="52" t="n">
        <f aca="false">D23/$B$7*1000000</f>
        <v>34633.2857142857</v>
      </c>
    </row>
    <row r="24" customFormat="false" ht="15" hidden="false" customHeight="false" outlineLevel="0" collapsed="false">
      <c r="A24" s="6" t="s">
        <v>922</v>
      </c>
      <c r="B24" s="6" t="s">
        <v>921</v>
      </c>
      <c r="C24" s="29" t="n">
        <f aca="false">$B$8*$B$6</f>
        <v>6.303258</v>
      </c>
      <c r="D24" s="29" t="n">
        <f aca="false">C24</f>
        <v>6.303258</v>
      </c>
      <c r="E24" s="52" t="n">
        <f aca="false">D24/$B$7*1000000</f>
        <v>34633.2857142857</v>
      </c>
    </row>
    <row r="25" customFormat="false" ht="15" hidden="false" customHeight="false" outlineLevel="0" collapsed="false">
      <c r="A25" s="6" t="s">
        <v>923</v>
      </c>
      <c r="B25" s="6" t="s">
        <v>921</v>
      </c>
      <c r="C25" s="29" t="n">
        <f aca="false">$B$8*$B$6</f>
        <v>6.303258</v>
      </c>
      <c r="D25" s="29" t="n">
        <f aca="false">C25</f>
        <v>6.303258</v>
      </c>
      <c r="E25" s="52" t="n">
        <f aca="false">D25/$B$7*1000000</f>
        <v>34633.2857142857</v>
      </c>
    </row>
    <row r="26" customFormat="false" ht="15" hidden="false" customHeight="false" outlineLevel="0" collapsed="false">
      <c r="A26" s="6" t="s">
        <v>924</v>
      </c>
      <c r="B26" s="6" t="s">
        <v>921</v>
      </c>
      <c r="C26" s="29" t="n">
        <f aca="false">$B$8*$B$6</f>
        <v>6.303258</v>
      </c>
      <c r="D26" s="29" t="n">
        <f aca="false">C26</f>
        <v>6.303258</v>
      </c>
      <c r="E26" s="52" t="n">
        <f aca="false">D26/$B$7*1000000</f>
        <v>34633.2857142857</v>
      </c>
    </row>
    <row r="27" customFormat="false" ht="15" hidden="false" customHeight="false" outlineLevel="0" collapsed="false">
      <c r="A27" s="9" t="s">
        <v>925</v>
      </c>
    </row>
    <row r="29" customFormat="false" ht="15" hidden="false" customHeight="false" outlineLevel="0" collapsed="false">
      <c r="A29" s="3" t="s">
        <v>926</v>
      </c>
      <c r="B29" s="4"/>
      <c r="C29" s="4"/>
      <c r="D29" s="4"/>
      <c r="E29" s="4"/>
      <c r="F29" s="4"/>
      <c r="G29" s="4"/>
      <c r="H29" s="4"/>
    </row>
    <row r="30" customFormat="false" ht="15" hidden="false" customHeight="false" outlineLevel="0" collapsed="false">
      <c r="A30" s="17" t="s">
        <v>913</v>
      </c>
      <c r="B30" s="18" t="s">
        <v>927</v>
      </c>
      <c r="C30" s="18" t="s">
        <v>928</v>
      </c>
      <c r="D30" s="18" t="s">
        <v>929</v>
      </c>
      <c r="E30" s="18" t="s">
        <v>930</v>
      </c>
      <c r="F30" s="18" t="s">
        <v>931</v>
      </c>
    </row>
    <row r="31" customFormat="false" ht="15" hidden="false" customHeight="false" outlineLevel="0" collapsed="false">
      <c r="A31" s="6" t="s">
        <v>918</v>
      </c>
      <c r="B31" s="23" t="n">
        <v>1</v>
      </c>
      <c r="C31" s="20" t="n">
        <v>0.45</v>
      </c>
      <c r="D31" s="23" t="n">
        <v>4</v>
      </c>
      <c r="E31" s="52" t="n">
        <f aca="false">B31*C31*D31*$B$7</f>
        <v>327.6</v>
      </c>
      <c r="F31" s="29" t="n">
        <f aca="false">E31*$E$22/1000000</f>
        <v>17.39699208</v>
      </c>
    </row>
    <row r="32" customFormat="false" ht="15" hidden="false" customHeight="false" outlineLevel="0" collapsed="false">
      <c r="A32" s="6" t="s">
        <v>920</v>
      </c>
      <c r="B32" s="23" t="n">
        <v>1</v>
      </c>
      <c r="C32" s="20" t="n">
        <v>0.45</v>
      </c>
      <c r="D32" s="23" t="n">
        <v>4</v>
      </c>
      <c r="E32" s="52" t="n">
        <f aca="false">B32*C32*D32*$B$7</f>
        <v>327.6</v>
      </c>
      <c r="F32" s="29" t="n">
        <f aca="false">E32*$E$23/1000000</f>
        <v>11.3458644</v>
      </c>
    </row>
    <row r="33" customFormat="false" ht="15" hidden="false" customHeight="false" outlineLevel="0" collapsed="false">
      <c r="A33" s="6" t="s">
        <v>922</v>
      </c>
      <c r="B33" s="23" t="n">
        <v>2</v>
      </c>
      <c r="C33" s="20" t="n">
        <v>0.45</v>
      </c>
      <c r="D33" s="23" t="n">
        <v>4</v>
      </c>
      <c r="E33" s="52" t="n">
        <f aca="false">B33*C33*D33*$B$7</f>
        <v>655.2</v>
      </c>
      <c r="F33" s="29" t="n">
        <f aca="false">E33*$E$24/1000000</f>
        <v>22.6917288</v>
      </c>
    </row>
    <row r="34" customFormat="false" ht="15" hidden="false" customHeight="false" outlineLevel="0" collapsed="false">
      <c r="A34" s="6" t="s">
        <v>923</v>
      </c>
      <c r="B34" s="23" t="n">
        <v>1</v>
      </c>
      <c r="C34" s="20" t="n">
        <v>0.45</v>
      </c>
      <c r="D34" s="23" t="n">
        <v>4</v>
      </c>
      <c r="E34" s="52" t="n">
        <f aca="false">B34*C34*D34*$B$7</f>
        <v>327.6</v>
      </c>
      <c r="F34" s="29" t="n">
        <f aca="false">E34*$E$25/1000000</f>
        <v>11.3458644</v>
      </c>
    </row>
    <row r="35" customFormat="false" ht="15" hidden="false" customHeight="false" outlineLevel="0" collapsed="false">
      <c r="A35" s="6" t="s">
        <v>924</v>
      </c>
      <c r="B35" s="23" t="n">
        <v>1</v>
      </c>
      <c r="C35" s="20" t="n">
        <v>0.45</v>
      </c>
      <c r="D35" s="23" t="n">
        <v>4</v>
      </c>
      <c r="E35" s="52" t="n">
        <f aca="false">B35*C35*D35*$B$7</f>
        <v>327.6</v>
      </c>
      <c r="F35" s="29" t="n">
        <f aca="false">E35*$E$26/1000000</f>
        <v>11.3458644</v>
      </c>
    </row>
    <row r="36" customFormat="false" ht="15" hidden="false" customHeight="false" outlineLevel="0" collapsed="false">
      <c r="A36" s="6" t="s">
        <v>932</v>
      </c>
      <c r="F36" s="52" t="n">
        <f aca="false">SUM(E31:E35)</f>
        <v>1965.6</v>
      </c>
    </row>
    <row r="37" customFormat="false" ht="15" hidden="false" customHeight="false" outlineLevel="0" collapsed="false">
      <c r="A37" s="6" t="s">
        <v>933</v>
      </c>
      <c r="F37" s="29" t="n">
        <f aca="false">SUM(F31:F35)</f>
        <v>74.12631408</v>
      </c>
    </row>
    <row r="38" customFormat="false" ht="15" hidden="false" customHeight="false" outlineLevel="0" collapsed="false">
      <c r="A38" s="6" t="s">
        <v>934</v>
      </c>
      <c r="F38" s="29" t="n">
        <f aca="false">16*$B$17</f>
        <v>5.6</v>
      </c>
    </row>
    <row r="39" customFormat="false" ht="15" hidden="false" customHeight="false" outlineLevel="0" collapsed="false">
      <c r="A39" s="6" t="s">
        <v>935</v>
      </c>
      <c r="F39" s="29" t="n">
        <v>10</v>
      </c>
    </row>
    <row r="40" customFormat="false" ht="15" hidden="false" customHeight="false" outlineLevel="0" collapsed="false">
      <c r="A40" s="5" t="s">
        <v>936</v>
      </c>
      <c r="F40" s="30" t="n">
        <f aca="false">$F$37+$F$38+$F$39</f>
        <v>89.72631408</v>
      </c>
    </row>
    <row r="41" customFormat="false" ht="15" hidden="false" customHeight="false" outlineLevel="0" collapsed="false">
      <c r="A41" s="6" t="s">
        <v>937</v>
      </c>
      <c r="F41" s="29" t="n">
        <f aca="false">$B$11*$F$40</f>
        <v>26.917894224</v>
      </c>
    </row>
    <row r="42" customFormat="false" ht="15" hidden="false" customHeight="false" outlineLevel="0" collapsed="false">
      <c r="A42" s="6" t="s">
        <v>938</v>
      </c>
      <c r="F42" s="29" t="n">
        <f aca="false">$B$12*$F$40</f>
        <v>4.486315704</v>
      </c>
    </row>
    <row r="43" customFormat="false" ht="15" hidden="false" customHeight="false" outlineLevel="0" collapsed="false">
      <c r="A43" s="6" t="s">
        <v>939</v>
      </c>
      <c r="F43" s="29" t="n">
        <f aca="false">$B$13*$F$40</f>
        <v>8.972631408</v>
      </c>
    </row>
    <row r="44" customFormat="false" ht="15" hidden="false" customHeight="false" outlineLevel="0" collapsed="false">
      <c r="A44" s="5" t="s">
        <v>940</v>
      </c>
      <c r="F44" s="31" t="n">
        <f aca="false">$F$40+$F$41+$F$42+$F$43</f>
        <v>130.103155416</v>
      </c>
    </row>
    <row r="45" customFormat="false" ht="15" hidden="false" customHeight="false" outlineLevel="0" collapsed="false">
      <c r="A45" s="6" t="s">
        <v>941</v>
      </c>
      <c r="F45" s="29" t="n">
        <f aca="false">$B$14*$F$44</f>
        <v>24.71959952904</v>
      </c>
    </row>
    <row r="46" customFormat="false" ht="15" hidden="false" customHeight="false" outlineLevel="0" collapsed="false">
      <c r="A46" s="5" t="s">
        <v>942</v>
      </c>
      <c r="F46" s="30" t="n">
        <f aca="false">$F$44+$F$45</f>
        <v>154.82275494504</v>
      </c>
    </row>
    <row r="47" customFormat="false" ht="15" hidden="false" customHeight="false" outlineLevel="0" collapsed="false">
      <c r="A47" s="9" t="s">
        <v>943</v>
      </c>
    </row>
    <row r="49" customFormat="false" ht="15" hidden="false" customHeight="false" outlineLevel="0" collapsed="false">
      <c r="A49" s="3" t="s">
        <v>944</v>
      </c>
      <c r="B49" s="4"/>
      <c r="C49" s="4"/>
      <c r="D49" s="4"/>
      <c r="E49" s="4"/>
      <c r="F49" s="4"/>
      <c r="G49" s="4"/>
      <c r="H49" s="4"/>
    </row>
    <row r="50" customFormat="false" ht="15" hidden="false" customHeight="false" outlineLevel="0" collapsed="false">
      <c r="A50" s="17" t="s">
        <v>913</v>
      </c>
      <c r="B50" s="18" t="s">
        <v>927</v>
      </c>
      <c r="C50" s="18" t="s">
        <v>928</v>
      </c>
      <c r="D50" s="18" t="s">
        <v>929</v>
      </c>
      <c r="E50" s="18" t="s">
        <v>930</v>
      </c>
      <c r="F50" s="18" t="s">
        <v>931</v>
      </c>
    </row>
    <row r="51" customFormat="false" ht="15" hidden="false" customHeight="false" outlineLevel="0" collapsed="false">
      <c r="A51" s="6" t="s">
        <v>918</v>
      </c>
      <c r="B51" s="23" t="n">
        <v>1</v>
      </c>
      <c r="C51" s="20" t="n">
        <v>0.25</v>
      </c>
      <c r="D51" s="23" t="n">
        <v>2</v>
      </c>
      <c r="E51" s="52" t="n">
        <f aca="false">B51*C51*D51*$B$7</f>
        <v>91</v>
      </c>
      <c r="F51" s="29" t="n">
        <f aca="false">E51*$E$22/1000000</f>
        <v>4.8324978</v>
      </c>
    </row>
    <row r="52" customFormat="false" ht="15" hidden="false" customHeight="false" outlineLevel="0" collapsed="false">
      <c r="A52" s="6" t="s">
        <v>920</v>
      </c>
      <c r="B52" s="23" t="n">
        <v>1</v>
      </c>
      <c r="C52" s="20" t="n">
        <v>0.5</v>
      </c>
      <c r="D52" s="23" t="n">
        <v>2</v>
      </c>
      <c r="E52" s="52" t="n">
        <f aca="false">B52*C52*D52*$B$7</f>
        <v>182</v>
      </c>
      <c r="F52" s="29" t="n">
        <f aca="false">E52*$E$23/1000000</f>
        <v>6.303258</v>
      </c>
    </row>
    <row r="53" customFormat="false" ht="15" hidden="false" customHeight="false" outlineLevel="0" collapsed="false">
      <c r="A53" s="6" t="s">
        <v>922</v>
      </c>
      <c r="B53" s="23" t="n">
        <v>2</v>
      </c>
      <c r="C53" s="20" t="n">
        <v>0.5</v>
      </c>
      <c r="D53" s="23" t="n">
        <v>2</v>
      </c>
      <c r="E53" s="52" t="n">
        <f aca="false">B53*C53*D53*$B$7</f>
        <v>364</v>
      </c>
      <c r="F53" s="29" t="n">
        <f aca="false">E53*$E$24/1000000</f>
        <v>12.606516</v>
      </c>
    </row>
    <row r="54" customFormat="false" ht="15" hidden="false" customHeight="false" outlineLevel="0" collapsed="false">
      <c r="A54" s="6" t="s">
        <v>923</v>
      </c>
      <c r="B54" s="23" t="n">
        <v>1</v>
      </c>
      <c r="C54" s="20" t="n">
        <v>0.25</v>
      </c>
      <c r="D54" s="23" t="n">
        <v>2</v>
      </c>
      <c r="E54" s="52" t="n">
        <f aca="false">B54*C54*D54*$B$7</f>
        <v>91</v>
      </c>
      <c r="F54" s="29" t="n">
        <f aca="false">E54*$E$25/1000000</f>
        <v>3.151629</v>
      </c>
    </row>
    <row r="55" customFormat="false" ht="15" hidden="false" customHeight="false" outlineLevel="0" collapsed="false">
      <c r="A55" s="6" t="s">
        <v>924</v>
      </c>
      <c r="B55" s="23" t="n">
        <v>1</v>
      </c>
      <c r="C55" s="20" t="n">
        <v>0.1</v>
      </c>
      <c r="D55" s="23" t="n">
        <v>2</v>
      </c>
      <c r="E55" s="52" t="n">
        <f aca="false">B55*C55*D55*$B$7</f>
        <v>36.4</v>
      </c>
      <c r="F55" s="29" t="n">
        <f aca="false">E55*$E$26/1000000</f>
        <v>1.2606516</v>
      </c>
    </row>
    <row r="56" customFormat="false" ht="15" hidden="false" customHeight="false" outlineLevel="0" collapsed="false">
      <c r="A56" s="6" t="s">
        <v>932</v>
      </c>
      <c r="F56" s="52" t="n">
        <f aca="false">SUM(E51:E55)</f>
        <v>764.4</v>
      </c>
    </row>
    <row r="57" customFormat="false" ht="15" hidden="false" customHeight="false" outlineLevel="0" collapsed="false">
      <c r="A57" s="6" t="s">
        <v>933</v>
      </c>
      <c r="F57" s="29" t="n">
        <f aca="false">SUM(F51:F55)</f>
        <v>28.1545524</v>
      </c>
    </row>
    <row r="58" customFormat="false" ht="15" hidden="false" customHeight="false" outlineLevel="0" collapsed="false">
      <c r="A58" s="6" t="s">
        <v>934</v>
      </c>
      <c r="F58" s="29" t="n">
        <f aca="false">8*$B$17</f>
        <v>2.8</v>
      </c>
    </row>
    <row r="59" customFormat="false" ht="15" hidden="false" customHeight="false" outlineLevel="0" collapsed="false">
      <c r="A59" s="6" t="s">
        <v>935</v>
      </c>
      <c r="F59" s="29" t="n">
        <v>2</v>
      </c>
    </row>
    <row r="60" customFormat="false" ht="15" hidden="false" customHeight="false" outlineLevel="0" collapsed="false">
      <c r="A60" s="5" t="s">
        <v>936</v>
      </c>
      <c r="F60" s="30" t="n">
        <f aca="false">$F$57+$F$58+$F$59</f>
        <v>32.9545524</v>
      </c>
    </row>
    <row r="61" customFormat="false" ht="15" hidden="false" customHeight="false" outlineLevel="0" collapsed="false">
      <c r="A61" s="6" t="s">
        <v>937</v>
      </c>
      <c r="F61" s="29" t="n">
        <f aca="false">$B$11*$F$60</f>
        <v>9.88636572</v>
      </c>
    </row>
    <row r="62" customFormat="false" ht="15" hidden="false" customHeight="false" outlineLevel="0" collapsed="false">
      <c r="A62" s="6" t="s">
        <v>938</v>
      </c>
      <c r="F62" s="29" t="n">
        <f aca="false">$B$12*$F$60</f>
        <v>1.64772762</v>
      </c>
    </row>
    <row r="63" customFormat="false" ht="15" hidden="false" customHeight="false" outlineLevel="0" collapsed="false">
      <c r="A63" s="6" t="s">
        <v>939</v>
      </c>
      <c r="F63" s="29" t="n">
        <f aca="false">$B$13*$F$60</f>
        <v>3.29545524</v>
      </c>
    </row>
    <row r="64" customFormat="false" ht="15" hidden="false" customHeight="false" outlineLevel="0" collapsed="false">
      <c r="A64" s="5" t="s">
        <v>940</v>
      </c>
      <c r="F64" s="31" t="n">
        <f aca="false">$F$60+$F$61+$F$62+$F$63</f>
        <v>47.78410098</v>
      </c>
    </row>
    <row r="65" customFormat="false" ht="15" hidden="false" customHeight="false" outlineLevel="0" collapsed="false">
      <c r="A65" s="6" t="s">
        <v>941</v>
      </c>
      <c r="F65" s="29" t="n">
        <f aca="false">$B$14*$F$64</f>
        <v>9.0789791862</v>
      </c>
    </row>
    <row r="66" customFormat="false" ht="15" hidden="false" customHeight="false" outlineLevel="0" collapsed="false">
      <c r="A66" s="5" t="s">
        <v>942</v>
      </c>
      <c r="F66" s="30" t="n">
        <f aca="false">$F$64+$F$65</f>
        <v>56.8630801662</v>
      </c>
    </row>
    <row r="67" customFormat="false" ht="15" hidden="false" customHeight="false" outlineLevel="0" collapsed="false">
      <c r="A67" s="9" t="s">
        <v>945</v>
      </c>
    </row>
    <row r="69" customFormat="false" ht="15" hidden="false" customHeight="false" outlineLevel="0" collapsed="false">
      <c r="A69" s="3" t="s">
        <v>946</v>
      </c>
      <c r="B69" s="4"/>
      <c r="C69" s="4"/>
      <c r="D69" s="4"/>
      <c r="E69" s="4"/>
      <c r="F69" s="4"/>
      <c r="G69" s="4"/>
      <c r="H69" s="4"/>
    </row>
    <row r="70" customFormat="false" ht="15" hidden="false" customHeight="false" outlineLevel="0" collapsed="false">
      <c r="A70" s="17" t="s">
        <v>842</v>
      </c>
      <c r="B70" s="18" t="s">
        <v>947</v>
      </c>
      <c r="C70" s="18" t="s">
        <v>948</v>
      </c>
      <c r="D70" s="18" t="s">
        <v>476</v>
      </c>
    </row>
    <row r="71" customFormat="false" ht="15" hidden="false" customHeight="false" outlineLevel="0" collapsed="false">
      <c r="A71" s="6" t="s">
        <v>949</v>
      </c>
      <c r="B71" s="29" t="n">
        <f aca="false">$F$44</f>
        <v>130.103155416</v>
      </c>
      <c r="C71" s="29" t="n">
        <f aca="false">$F$64</f>
        <v>47.78410098</v>
      </c>
      <c r="D71" s="29" t="n">
        <f aca="false">B71+C71</f>
        <v>177.887256396</v>
      </c>
    </row>
    <row r="72" customFormat="false" ht="15" hidden="false" customHeight="false" outlineLevel="0" collapsed="false">
      <c r="A72" s="6" t="s">
        <v>950</v>
      </c>
      <c r="B72" s="29" t="n">
        <f aca="false">-($F$32+$F$33+$F$34+$F$35)</f>
        <v>-56.729322</v>
      </c>
      <c r="C72" s="29" t="n">
        <f aca="false">-($F$52+$F$53+$F$54+$F$55)</f>
        <v>-23.3220546</v>
      </c>
      <c r="D72" s="29" t="n">
        <f aca="false">B72+C72</f>
        <v>-80.0513766</v>
      </c>
    </row>
    <row r="73" customFormat="false" ht="15" hidden="false" customHeight="false" outlineLevel="0" collapsed="false">
      <c r="A73" s="6" t="s">
        <v>951</v>
      </c>
      <c r="B73" s="29" t="n">
        <f aca="false">-$F$31</f>
        <v>-17.39699208</v>
      </c>
      <c r="C73" s="29" t="n">
        <f aca="false">-$F$51</f>
        <v>-4.8324978</v>
      </c>
      <c r="D73" s="29" t="n">
        <f aca="false">B73+C73</f>
        <v>-22.22948988</v>
      </c>
    </row>
    <row r="74" customFormat="false" ht="15" hidden="false" customHeight="false" outlineLevel="0" collapsed="false">
      <c r="A74" s="6" t="s">
        <v>952</v>
      </c>
      <c r="B74" s="29" t="n">
        <f aca="false">-$F$38</f>
        <v>-5.6</v>
      </c>
      <c r="C74" s="29" t="n">
        <f aca="false">-$F$58</f>
        <v>-2.8</v>
      </c>
      <c r="D74" s="29" t="n">
        <f aca="false">B74+C74</f>
        <v>-8.4</v>
      </c>
    </row>
    <row r="75" customFormat="false" ht="15" hidden="false" customHeight="false" outlineLevel="0" collapsed="false">
      <c r="A75" s="6" t="s">
        <v>953</v>
      </c>
      <c r="B75" s="29" t="n">
        <f aca="false">-$F$39</f>
        <v>-10</v>
      </c>
      <c r="C75" s="29" t="n">
        <f aca="false">-$F$59</f>
        <v>-2</v>
      </c>
      <c r="D75" s="29" t="n">
        <f aca="false">B75+C75</f>
        <v>-12</v>
      </c>
    </row>
    <row r="76" customFormat="false" ht="15" hidden="false" customHeight="false" outlineLevel="0" collapsed="false">
      <c r="A76" s="6" t="s">
        <v>954</v>
      </c>
      <c r="B76" s="29" t="n">
        <f aca="false">-$F$41</f>
        <v>-26.917894224</v>
      </c>
      <c r="C76" s="29" t="n">
        <f aca="false">-$F$61</f>
        <v>-9.88636572</v>
      </c>
      <c r="D76" s="29" t="n">
        <f aca="false">B76+C76</f>
        <v>-36.804259944</v>
      </c>
    </row>
    <row r="77" customFormat="false" ht="15" hidden="false" customHeight="false" outlineLevel="0" collapsed="false">
      <c r="A77" s="6" t="s">
        <v>955</v>
      </c>
      <c r="B77" s="29" t="n">
        <f aca="false">-$F$42</f>
        <v>-4.486315704</v>
      </c>
      <c r="C77" s="29" t="n">
        <f aca="false">-$F$62</f>
        <v>-1.64772762</v>
      </c>
      <c r="D77" s="29" t="n">
        <f aca="false">B77+C77</f>
        <v>-6.134043324</v>
      </c>
    </row>
    <row r="78" customFormat="false" ht="15" hidden="false" customHeight="false" outlineLevel="0" collapsed="false">
      <c r="A78" s="5" t="s">
        <v>859</v>
      </c>
      <c r="B78" s="30" t="n">
        <f aca="false">SUM(B71:B77)</f>
        <v>8.97263140800001</v>
      </c>
      <c r="C78" s="30" t="n">
        <f aca="false">SUM(C71:C77)</f>
        <v>3.29545524000001</v>
      </c>
      <c r="D78" s="30" t="n">
        <f aca="false">B78+C78</f>
        <v>12.268086648</v>
      </c>
    </row>
    <row r="79" customFormat="false" ht="15" hidden="false" customHeight="false" outlineLevel="0" collapsed="false">
      <c r="A79" s="6" t="s">
        <v>956</v>
      </c>
      <c r="B79" s="29" t="n">
        <f aca="false">-$B$15*B78</f>
        <v>-3.1404209928</v>
      </c>
      <c r="C79" s="29" t="n">
        <f aca="false">-$B$15*C78</f>
        <v>-1.153409334</v>
      </c>
      <c r="D79" s="29" t="n">
        <f aca="false">B79+C79</f>
        <v>-4.29383032680001</v>
      </c>
    </row>
    <row r="80" customFormat="false" ht="15" hidden="false" customHeight="false" outlineLevel="0" collapsed="false">
      <c r="A80" s="5" t="s">
        <v>957</v>
      </c>
      <c r="B80" s="30" t="n">
        <f aca="false">B78+B79</f>
        <v>5.83221041520001</v>
      </c>
      <c r="C80" s="30" t="n">
        <f aca="false">C78+C79</f>
        <v>2.142045906</v>
      </c>
      <c r="D80" s="30" t="n">
        <f aca="false">B80+C80</f>
        <v>7.97425632120001</v>
      </c>
    </row>
    <row r="81" customFormat="false" ht="15" hidden="false" customHeight="false" outlineLevel="0" collapsed="false">
      <c r="A81" s="6" t="s">
        <v>958</v>
      </c>
      <c r="B81" s="29" t="n">
        <f aca="false">B80/$B$18</f>
        <v>0.972035069200002</v>
      </c>
      <c r="C81" s="29" t="n">
        <f aca="false">C80/$B$18</f>
        <v>0.357007651000001</v>
      </c>
      <c r="D81" s="29" t="n">
        <f aca="false">B81+C81</f>
        <v>1.3290427202</v>
      </c>
    </row>
    <row r="82" customFormat="false" ht="15" hidden="false" customHeight="false" outlineLevel="0" collapsed="false">
      <c r="A82" s="9" t="s">
        <v>959</v>
      </c>
    </row>
    <row r="84" customFormat="false" ht="15" hidden="false" customHeight="false" outlineLevel="0" collapsed="false">
      <c r="A84" s="3" t="s">
        <v>960</v>
      </c>
      <c r="B84" s="4"/>
      <c r="C84" s="4"/>
      <c r="D84" s="4"/>
      <c r="E84" s="4"/>
      <c r="F84" s="4"/>
      <c r="G84" s="4"/>
      <c r="H84" s="4"/>
    </row>
    <row r="85" customFormat="false" ht="23.85" hidden="false" customHeight="false" outlineLevel="0" collapsed="false">
      <c r="A85" s="17" t="s">
        <v>961</v>
      </c>
      <c r="B85" s="18" t="s">
        <v>930</v>
      </c>
      <c r="C85" s="18" t="s">
        <v>962</v>
      </c>
      <c r="D85" s="18" t="s">
        <v>963</v>
      </c>
      <c r="E85" s="18" t="s">
        <v>964</v>
      </c>
      <c r="F85" s="18" t="s">
        <v>965</v>
      </c>
    </row>
    <row r="86" customFormat="false" ht="15" hidden="false" customHeight="false" outlineLevel="0" collapsed="false">
      <c r="A86" s="6" t="s">
        <v>918</v>
      </c>
      <c r="B86" s="52" t="n">
        <f aca="false">(E31+E51)/1</f>
        <v>418.6</v>
      </c>
      <c r="C86" s="29" t="n">
        <f aca="false">B86*$B$9*$B$6/$B$7</f>
        <v>16.108326</v>
      </c>
      <c r="D86" s="29" t="n">
        <v>0</v>
      </c>
      <c r="E86" s="29" t="n">
        <f aca="false">$D$81</f>
        <v>1.3290427202</v>
      </c>
      <c r="F86" s="30" t="n">
        <f aca="false">C86+D86+E86</f>
        <v>17.4373687202</v>
      </c>
    </row>
    <row r="87" customFormat="false" ht="15" hidden="false" customHeight="false" outlineLevel="0" collapsed="false">
      <c r="A87" s="6" t="s">
        <v>920</v>
      </c>
      <c r="B87" s="52" t="n">
        <f aca="false">(E32+E52)/1</f>
        <v>509.6</v>
      </c>
      <c r="C87" s="29" t="n">
        <f aca="false">(F32+F52)/1</f>
        <v>17.6491224</v>
      </c>
      <c r="D87" s="29" t="n">
        <f aca="false">-$B$16*C87</f>
        <v>-2.0488513211712</v>
      </c>
      <c r="E87" s="29" t="n">
        <f aca="false">$D$81</f>
        <v>1.3290427202</v>
      </c>
      <c r="F87" s="30" t="n">
        <f aca="false">C87+D87+E87</f>
        <v>16.9293137990288</v>
      </c>
    </row>
    <row r="88" customFormat="false" ht="15" hidden="false" customHeight="false" outlineLevel="0" collapsed="false">
      <c r="A88" s="6" t="s">
        <v>966</v>
      </c>
      <c r="B88" s="52" t="n">
        <f aca="false">(E33+E53)/2</f>
        <v>509.6</v>
      </c>
      <c r="C88" s="29" t="n">
        <f aca="false">(F33+F53)/2</f>
        <v>17.6491224</v>
      </c>
      <c r="D88" s="29" t="n">
        <f aca="false">-$B$16*C88</f>
        <v>-2.0488513211712</v>
      </c>
      <c r="E88" s="29" t="n">
        <f aca="false">$D$81</f>
        <v>1.3290427202</v>
      </c>
      <c r="F88" s="30" t="n">
        <f aca="false">C88+D88+E88</f>
        <v>16.9293137990288</v>
      </c>
    </row>
    <row r="89" customFormat="false" ht="15" hidden="false" customHeight="false" outlineLevel="0" collapsed="false">
      <c r="A89" s="6" t="s">
        <v>923</v>
      </c>
      <c r="B89" s="52" t="n">
        <f aca="false">(E34+E54)/1</f>
        <v>418.6</v>
      </c>
      <c r="C89" s="29" t="n">
        <f aca="false">(F34+F54)/1</f>
        <v>14.4974934</v>
      </c>
      <c r="D89" s="29" t="n">
        <f aca="false">-$B$16*C89</f>
        <v>-1.6829850138192</v>
      </c>
      <c r="E89" s="29" t="n">
        <f aca="false">$D$81</f>
        <v>1.3290427202</v>
      </c>
      <c r="F89" s="30" t="n">
        <f aca="false">C89+D89+E89</f>
        <v>14.1435511063808</v>
      </c>
    </row>
    <row r="90" customFormat="false" ht="15" hidden="false" customHeight="false" outlineLevel="0" collapsed="false">
      <c r="A90" s="6" t="s">
        <v>924</v>
      </c>
      <c r="B90" s="52" t="n">
        <f aca="false">(E35+E55)/1</f>
        <v>364</v>
      </c>
      <c r="C90" s="29" t="n">
        <f aca="false">(F35+F55)/1</f>
        <v>12.606516</v>
      </c>
      <c r="D90" s="29" t="n">
        <f aca="false">-$B$16*C90</f>
        <v>-1.463465229408</v>
      </c>
      <c r="E90" s="29" t="n">
        <f aca="false">$D$81</f>
        <v>1.3290427202</v>
      </c>
      <c r="F90" s="30" t="n">
        <f aca="false">C90+D90+E90</f>
        <v>12.472093490792</v>
      </c>
    </row>
    <row r="91" customFormat="false" ht="15" hidden="false" customHeight="false" outlineLevel="0" collapsed="false">
      <c r="A91" s="9" t="s">
        <v>967</v>
      </c>
    </row>
    <row r="93" customFormat="false" ht="15" hidden="false" customHeight="false" outlineLevel="0" collapsed="false">
      <c r="A93" s="3" t="s">
        <v>968</v>
      </c>
      <c r="B93" s="4"/>
      <c r="C93" s="4"/>
      <c r="D93" s="4"/>
      <c r="E93" s="4"/>
      <c r="F93" s="4"/>
      <c r="G93" s="4"/>
      <c r="H93" s="4"/>
    </row>
    <row r="94" customFormat="false" ht="15" hidden="false" customHeight="false" outlineLevel="0" collapsed="false">
      <c r="A94" s="17" t="s">
        <v>969</v>
      </c>
      <c r="B94" s="18" t="s">
        <v>970</v>
      </c>
      <c r="C94" s="18" t="s">
        <v>971</v>
      </c>
      <c r="D94" s="18" t="s">
        <v>972</v>
      </c>
      <c r="E94" s="18" t="s">
        <v>973</v>
      </c>
    </row>
    <row r="95" customFormat="false" ht="15" hidden="false" customHeight="false" outlineLevel="0" collapsed="false">
      <c r="A95" s="6" t="s">
        <v>974</v>
      </c>
      <c r="B95" s="20" t="n">
        <v>0.3</v>
      </c>
      <c r="C95" s="29" t="n">
        <f aca="false">B95*$F$44</f>
        <v>39.0309466248</v>
      </c>
      <c r="D95" s="29" t="n">
        <f aca="false">B95*$F$46</f>
        <v>46.446826483512</v>
      </c>
      <c r="E95" s="9" t="s">
        <v>975</v>
      </c>
    </row>
    <row r="96" customFormat="false" ht="15" hidden="false" customHeight="false" outlineLevel="0" collapsed="false">
      <c r="A96" s="6" t="s">
        <v>976</v>
      </c>
      <c r="B96" s="20" t="n">
        <v>0.4</v>
      </c>
      <c r="C96" s="29" t="n">
        <f aca="false">B96*$F$44</f>
        <v>52.0412621664</v>
      </c>
      <c r="D96" s="29" t="n">
        <f aca="false">B96*$F$46</f>
        <v>61.929101978016</v>
      </c>
      <c r="E96" s="9" t="s">
        <v>977</v>
      </c>
    </row>
    <row r="97" customFormat="false" ht="15" hidden="false" customHeight="false" outlineLevel="0" collapsed="false">
      <c r="A97" s="6" t="s">
        <v>978</v>
      </c>
      <c r="B97" s="20" t="n">
        <v>0.3</v>
      </c>
      <c r="C97" s="29" t="n">
        <f aca="false">B97*$F$44</f>
        <v>39.0309466248</v>
      </c>
      <c r="D97" s="29" t="n">
        <f aca="false">B97*$F$46</f>
        <v>46.446826483512</v>
      </c>
      <c r="E97" s="9" t="s">
        <v>979</v>
      </c>
    </row>
    <row r="98" customFormat="false" ht="15" hidden="false" customHeight="false" outlineLevel="0" collapsed="false">
      <c r="A98" s="6" t="s">
        <v>980</v>
      </c>
      <c r="B98" s="20" t="n">
        <v>0.5</v>
      </c>
      <c r="C98" s="29" t="n">
        <f aca="false">B98*$F$64</f>
        <v>23.89205049</v>
      </c>
      <c r="D98" s="29" t="n">
        <f aca="false">B98*$F$66</f>
        <v>28.4315400831</v>
      </c>
      <c r="E98" s="9" t="s">
        <v>270</v>
      </c>
    </row>
    <row r="99" customFormat="false" ht="15" hidden="false" customHeight="false" outlineLevel="0" collapsed="false">
      <c r="A99" s="6" t="s">
        <v>981</v>
      </c>
      <c r="B99" s="20" t="n">
        <v>0.5</v>
      </c>
      <c r="C99" s="29" t="n">
        <f aca="false">B99*$F$64</f>
        <v>23.89205049</v>
      </c>
      <c r="D99" s="29" t="n">
        <f aca="false">B99*$F$66</f>
        <v>28.4315400831</v>
      </c>
      <c r="E99" s="9" t="s">
        <v>270</v>
      </c>
    </row>
    <row r="101" customFormat="false" ht="15" hidden="false" customHeight="false" outlineLevel="0" collapsed="false">
      <c r="A101" s="3" t="s">
        <v>982</v>
      </c>
      <c r="B101" s="4"/>
      <c r="C101" s="4"/>
      <c r="D101" s="4"/>
      <c r="E101" s="4"/>
      <c r="F101" s="4"/>
      <c r="G101" s="4"/>
      <c r="H101" s="4"/>
    </row>
    <row r="102" customFormat="false" ht="15" hidden="false" customHeight="false" outlineLevel="0" collapsed="false">
      <c r="A102" s="9" t="s">
        <v>983</v>
      </c>
    </row>
    <row r="103" customFormat="false" ht="15" hidden="false" customHeight="false" outlineLevel="0" collapsed="false">
      <c r="A103" s="9" t="str">
        <f aca="false">"• Comprobación: la hora facturada, en promedio $"&amp;FIXED(B156,0)&amp;" sin IVA, es "&amp;FIXED(B156/E23,1)&amp;" veces el honorario por hora de un socio. Las firmas de consultoría cobran de 2,4 a 2,8 veces el salario, que incluye prestaciones; los socios por prestación de servicios no las reciben y la empresa trabaja con oficina virtual."</f>
        <v>• Comprobación: la hora facturada, en promedio $65,160 sin IVA, es 1.9 veces el honorario por hora de un socio. Las firmas de consultoría cobran de 2,4 a 2,8 veces el salario, que incluye prestaciones; los socios por prestación de servicios no las reciben y la empresa trabaja con oficina virtual.</v>
      </c>
    </row>
    <row r="104" customFormat="false" ht="15" hidden="false" customHeight="false" outlineLevel="0" collapsed="false">
      <c r="A104" s="9" t="s">
        <v>984</v>
      </c>
    </row>
    <row r="105" customFormat="false" ht="15" hidden="false" customHeight="false" outlineLevel="0" collapsed="false">
      <c r="A105" s="9" t="s">
        <v>985</v>
      </c>
    </row>
    <row r="107" customFormat="false" ht="15" hidden="false" customHeight="false" outlineLevel="0" collapsed="false">
      <c r="A107" s="3" t="s">
        <v>986</v>
      </c>
      <c r="B107" s="4"/>
      <c r="C107" s="4"/>
      <c r="D107" s="4"/>
      <c r="E107" s="4"/>
      <c r="F107" s="4"/>
      <c r="G107" s="4"/>
      <c r="H107" s="4"/>
    </row>
    <row r="108" customFormat="false" ht="15" hidden="false" customHeight="false" outlineLevel="0" collapsed="false">
      <c r="A108" s="9" t="s">
        <v>987</v>
      </c>
    </row>
    <row r="109" customFormat="false" ht="23.85" hidden="false" customHeight="false" outlineLevel="0" collapsed="false">
      <c r="A109" s="17" t="s">
        <v>988</v>
      </c>
      <c r="B109" s="18" t="s">
        <v>880</v>
      </c>
      <c r="C109" s="18" t="s">
        <v>76</v>
      </c>
    </row>
    <row r="110" customFormat="false" ht="30" hidden="false" customHeight="true" outlineLevel="0" collapsed="false">
      <c r="A110" s="55" t="s">
        <v>989</v>
      </c>
      <c r="B110" s="70" t="n">
        <v>0.295</v>
      </c>
      <c r="C110" s="57" t="s">
        <v>990</v>
      </c>
    </row>
    <row r="111" customFormat="false" ht="30" hidden="false" customHeight="true" outlineLevel="0" collapsed="false">
      <c r="A111" s="55" t="s">
        <v>991</v>
      </c>
      <c r="B111" s="70" t="n">
        <v>1.365</v>
      </c>
      <c r="C111" s="57" t="s">
        <v>992</v>
      </c>
    </row>
    <row r="112" customFormat="false" ht="30" hidden="false" customHeight="true" outlineLevel="0" collapsed="false">
      <c r="A112" s="55" t="s">
        <v>993</v>
      </c>
      <c r="B112" s="70" t="n">
        <v>1.2</v>
      </c>
      <c r="C112" s="57" t="s">
        <v>994</v>
      </c>
    </row>
    <row r="113" customFormat="false" ht="30" hidden="false" customHeight="true" outlineLevel="0" collapsed="false">
      <c r="A113" s="55" t="s">
        <v>995</v>
      </c>
      <c r="B113" s="70" t="n">
        <v>0.191</v>
      </c>
      <c r="C113" s="57" t="s">
        <v>996</v>
      </c>
    </row>
    <row r="114" customFormat="false" ht="30" hidden="false" customHeight="true" outlineLevel="0" collapsed="false">
      <c r="A114" s="55" t="s">
        <v>997</v>
      </c>
      <c r="B114" s="71" t="n">
        <f aca="false">6*14*Cotizaciones!$B$6/1000000</f>
        <v>0.26631864</v>
      </c>
      <c r="C114" s="57" t="s">
        <v>998</v>
      </c>
    </row>
    <row r="115" customFormat="false" ht="30" hidden="false" customHeight="true" outlineLevel="0" collapsed="false">
      <c r="A115" s="55" t="s">
        <v>999</v>
      </c>
      <c r="B115" s="71" t="n">
        <f aca="false">6*44900/1000000</f>
        <v>0.2694</v>
      </c>
      <c r="C115" s="57" t="s">
        <v>1000</v>
      </c>
    </row>
    <row r="116" customFormat="false" ht="30" hidden="false" customHeight="true" outlineLevel="0" collapsed="false">
      <c r="A116" s="55" t="s">
        <v>1001</v>
      </c>
      <c r="B116" s="71" t="n">
        <f aca="false">6*4.5/60</f>
        <v>0.45</v>
      </c>
      <c r="C116" s="57" t="s">
        <v>1002</v>
      </c>
    </row>
    <row r="117" customFormat="false" ht="30" hidden="false" customHeight="true" outlineLevel="0" collapsed="false">
      <c r="A117" s="55" t="s">
        <v>1003</v>
      </c>
      <c r="B117" s="70" t="n">
        <v>0.25</v>
      </c>
      <c r="C117" s="57" t="s">
        <v>1004</v>
      </c>
    </row>
    <row r="118" customFormat="false" ht="30" hidden="false" customHeight="true" outlineLevel="0" collapsed="false">
      <c r="A118" s="55" t="s">
        <v>1005</v>
      </c>
      <c r="B118" s="70" t="n">
        <v>0.3</v>
      </c>
      <c r="C118" s="57" t="s">
        <v>1006</v>
      </c>
    </row>
    <row r="119" customFormat="false" ht="30" hidden="false" customHeight="true" outlineLevel="0" collapsed="false">
      <c r="A119" s="55" t="s">
        <v>1007</v>
      </c>
      <c r="B119" s="70" t="n">
        <v>0.1</v>
      </c>
      <c r="C119" s="57" t="s">
        <v>1008</v>
      </c>
    </row>
    <row r="120" customFormat="false" ht="15" hidden="false" customHeight="false" outlineLevel="0" collapsed="false">
      <c r="A120" s="5" t="s">
        <v>1009</v>
      </c>
      <c r="B120" s="72" t="n">
        <f aca="false">SUM(B110:B119)</f>
        <v>4.68671864</v>
      </c>
    </row>
    <row r="121" customFormat="false" ht="53.7" hidden="false" customHeight="false" outlineLevel="0" collapsed="false">
      <c r="A121" s="6" t="s">
        <v>1010</v>
      </c>
      <c r="B121" s="20" t="n">
        <v>0.5</v>
      </c>
      <c r="C121" s="57" t="s">
        <v>1011</v>
      </c>
    </row>
    <row r="123" customFormat="false" ht="15" hidden="false" customHeight="false" outlineLevel="0" collapsed="false">
      <c r="A123" s="17" t="s">
        <v>1012</v>
      </c>
      <c r="B123" s="18"/>
      <c r="C123" s="18"/>
      <c r="D123" s="18" t="s">
        <v>189</v>
      </c>
    </row>
    <row r="124" customFormat="false" ht="15" hidden="false" customHeight="false" outlineLevel="0" collapsed="false">
      <c r="A124" s="6" t="s">
        <v>1013</v>
      </c>
      <c r="D124" s="71" t="n">
        <f aca="false">$B$120*6</f>
        <v>28.12031184</v>
      </c>
    </row>
    <row r="125" customFormat="false" ht="15" hidden="false" customHeight="false" outlineLevel="0" collapsed="false">
      <c r="A125" s="6" t="s">
        <v>1014</v>
      </c>
      <c r="D125" s="71" t="n">
        <f aca="false">$D$22*$B$121*6+$D$73</f>
        <v>6.76549692</v>
      </c>
    </row>
    <row r="126" customFormat="false" ht="15" hidden="false" customHeight="false" outlineLevel="0" collapsed="false">
      <c r="A126" s="6" t="s">
        <v>1015</v>
      </c>
      <c r="D126" s="71" t="n">
        <f aca="false">0.00966*($F$44+$F$64)</f>
        <v>1.71839089678536</v>
      </c>
    </row>
    <row r="127" customFormat="false" ht="15" hidden="false" customHeight="false" outlineLevel="0" collapsed="false">
      <c r="A127" s="5" t="s">
        <v>476</v>
      </c>
      <c r="D127" s="72" t="n">
        <f aca="false">D124+D125+D126</f>
        <v>36.6041996567854</v>
      </c>
    </row>
    <row r="128" customFormat="false" ht="15" hidden="false" customHeight="false" outlineLevel="0" collapsed="false">
      <c r="A128" s="6" t="s">
        <v>1016</v>
      </c>
      <c r="D128" s="71" t="n">
        <f aca="false">$F$41+$F$61</f>
        <v>36.804259944</v>
      </c>
    </row>
    <row r="129" customFormat="false" ht="15" hidden="false" customHeight="false" outlineLevel="0" collapsed="false">
      <c r="A129" s="5" t="s">
        <v>1017</v>
      </c>
      <c r="D129" s="73" t="n">
        <f aca="false">D128-D127</f>
        <v>0.200060287214633</v>
      </c>
    </row>
    <row r="130" customFormat="false" ht="15" hidden="false" customHeight="false" outlineLevel="0" collapsed="false">
      <c r="A130" s="5" t="s">
        <v>1018</v>
      </c>
      <c r="D130" s="73" t="n">
        <f aca="false">$D$78+D128-D127</f>
        <v>12.4681469352147</v>
      </c>
    </row>
    <row r="131" customFormat="false" ht="30" hidden="false" customHeight="true" outlineLevel="0" collapsed="false">
      <c r="A131" s="57" t="s">
        <v>1019</v>
      </c>
    </row>
    <row r="133" customFormat="false" ht="15" hidden="false" customHeight="false" outlineLevel="0" collapsed="false">
      <c r="A133" s="3" t="s">
        <v>1020</v>
      </c>
      <c r="B133" s="4"/>
      <c r="C133" s="4"/>
      <c r="D133" s="4"/>
      <c r="E133" s="4"/>
      <c r="F133" s="4"/>
      <c r="G133" s="4"/>
      <c r="H133" s="4"/>
    </row>
    <row r="134" customFormat="false" ht="30" hidden="false" customHeight="true" outlineLevel="0" collapsed="false">
      <c r="A134" s="57" t="s">
        <v>1021</v>
      </c>
    </row>
    <row r="135" customFormat="false" ht="35.05" hidden="false" customHeight="false" outlineLevel="0" collapsed="false">
      <c r="A135" s="17" t="s">
        <v>1022</v>
      </c>
      <c r="B135" s="18" t="s">
        <v>1023</v>
      </c>
      <c r="C135" s="18" t="s">
        <v>914</v>
      </c>
      <c r="D135" s="18" t="s">
        <v>1024</v>
      </c>
      <c r="E135" s="18" t="s">
        <v>1025</v>
      </c>
      <c r="F135" s="18" t="s">
        <v>1026</v>
      </c>
      <c r="G135" s="18" t="s">
        <v>1027</v>
      </c>
    </row>
    <row r="136" customFormat="false" ht="42" hidden="false" customHeight="true" outlineLevel="0" collapsed="false">
      <c r="A136" s="55" t="s">
        <v>918</v>
      </c>
      <c r="B136" s="57" t="s">
        <v>1028</v>
      </c>
      <c r="C136" s="55" t="s">
        <v>919</v>
      </c>
      <c r="D136" s="71" t="n">
        <f aca="false">$F$31</f>
        <v>17.39699208</v>
      </c>
      <c r="E136" s="71" t="n">
        <f aca="false">D136*0.3</f>
        <v>5.219097624</v>
      </c>
      <c r="F136" s="71" t="n">
        <f aca="false">D136*0.4</f>
        <v>6.958796832</v>
      </c>
      <c r="G136" s="71" t="n">
        <f aca="false">D136*0.3</f>
        <v>5.219097624</v>
      </c>
    </row>
    <row r="137" customFormat="false" ht="42" hidden="false" customHeight="true" outlineLevel="0" collapsed="false">
      <c r="A137" s="55" t="s">
        <v>920</v>
      </c>
      <c r="B137" s="57" t="s">
        <v>1029</v>
      </c>
      <c r="C137" s="55" t="s">
        <v>1030</v>
      </c>
      <c r="D137" s="71" t="n">
        <f aca="false">$F$32</f>
        <v>11.3458644</v>
      </c>
      <c r="E137" s="71" t="n">
        <f aca="false">D137*0.3</f>
        <v>3.40375932</v>
      </c>
      <c r="F137" s="71" t="n">
        <f aca="false">D137*0.4</f>
        <v>4.53834576</v>
      </c>
      <c r="G137" s="71" t="n">
        <f aca="false">D137*0.3</f>
        <v>3.40375932</v>
      </c>
    </row>
    <row r="138" customFormat="false" ht="42" hidden="false" customHeight="true" outlineLevel="0" collapsed="false">
      <c r="A138" s="55" t="s">
        <v>922</v>
      </c>
      <c r="B138" s="57" t="s">
        <v>1031</v>
      </c>
      <c r="C138" s="55" t="s">
        <v>1030</v>
      </c>
      <c r="D138" s="71" t="n">
        <f aca="false">$F$33</f>
        <v>22.6917288</v>
      </c>
      <c r="E138" s="71" t="n">
        <f aca="false">D138*0.3</f>
        <v>6.80751864</v>
      </c>
      <c r="F138" s="71" t="n">
        <f aca="false">D138*0.4</f>
        <v>9.07669152</v>
      </c>
      <c r="G138" s="71" t="n">
        <f aca="false">D138*0.3</f>
        <v>6.80751864</v>
      </c>
    </row>
    <row r="139" customFormat="false" ht="42" hidden="false" customHeight="true" outlineLevel="0" collapsed="false">
      <c r="A139" s="55" t="s">
        <v>923</v>
      </c>
      <c r="B139" s="57" t="s">
        <v>1032</v>
      </c>
      <c r="C139" s="55" t="s">
        <v>1030</v>
      </c>
      <c r="D139" s="71" t="n">
        <f aca="false">$F$34</f>
        <v>11.3458644</v>
      </c>
      <c r="E139" s="71" t="n">
        <f aca="false">D139*0.3</f>
        <v>3.40375932</v>
      </c>
      <c r="F139" s="71" t="n">
        <f aca="false">D139*0.4</f>
        <v>4.53834576</v>
      </c>
      <c r="G139" s="71" t="n">
        <f aca="false">D139*0.3</f>
        <v>3.40375932</v>
      </c>
    </row>
    <row r="140" customFormat="false" ht="42" hidden="false" customHeight="true" outlineLevel="0" collapsed="false">
      <c r="A140" s="55" t="s">
        <v>924</v>
      </c>
      <c r="B140" s="57" t="s">
        <v>1033</v>
      </c>
      <c r="C140" s="55" t="s">
        <v>1030</v>
      </c>
      <c r="D140" s="71" t="n">
        <f aca="false">$F$35</f>
        <v>11.3458644</v>
      </c>
      <c r="E140" s="71" t="n">
        <f aca="false">D140*0.3</f>
        <v>3.40375932</v>
      </c>
      <c r="F140" s="71" t="n">
        <f aca="false">D140*0.4</f>
        <v>4.53834576</v>
      </c>
      <c r="G140" s="71" t="n">
        <f aca="false">D140*0.3</f>
        <v>3.40375932</v>
      </c>
    </row>
    <row r="142" customFormat="false" ht="35.05" hidden="false" customHeight="false" outlineLevel="0" collapsed="false">
      <c r="A142" s="17" t="s">
        <v>1034</v>
      </c>
      <c r="B142" s="18" t="s">
        <v>1023</v>
      </c>
      <c r="C142" s="18" t="s">
        <v>914</v>
      </c>
      <c r="D142" s="18" t="s">
        <v>1024</v>
      </c>
      <c r="E142" s="18" t="s">
        <v>1035</v>
      </c>
      <c r="F142" s="18" t="s">
        <v>1036</v>
      </c>
    </row>
    <row r="143" customFormat="false" ht="42" hidden="false" customHeight="true" outlineLevel="0" collapsed="false">
      <c r="A143" s="55" t="s">
        <v>918</v>
      </c>
      <c r="B143" s="57" t="s">
        <v>1037</v>
      </c>
      <c r="C143" s="55" t="s">
        <v>919</v>
      </c>
      <c r="D143" s="71" t="n">
        <f aca="false">$F$51</f>
        <v>4.8324978</v>
      </c>
      <c r="E143" s="71" t="n">
        <f aca="false">D143*0.5</f>
        <v>2.4162489</v>
      </c>
      <c r="F143" s="71" t="n">
        <f aca="false">D143*0.5</f>
        <v>2.4162489</v>
      </c>
    </row>
    <row r="144" customFormat="false" ht="42" hidden="false" customHeight="true" outlineLevel="0" collapsed="false">
      <c r="A144" s="55" t="s">
        <v>920</v>
      </c>
      <c r="B144" s="57" t="s">
        <v>1038</v>
      </c>
      <c r="C144" s="55" t="s">
        <v>1030</v>
      </c>
      <c r="D144" s="71" t="n">
        <f aca="false">$F$52</f>
        <v>6.303258</v>
      </c>
      <c r="E144" s="71" t="n">
        <f aca="false">D144*0.5</f>
        <v>3.151629</v>
      </c>
      <c r="F144" s="71" t="n">
        <f aca="false">D144*0.5</f>
        <v>3.151629</v>
      </c>
    </row>
    <row r="145" customFormat="false" ht="42" hidden="false" customHeight="true" outlineLevel="0" collapsed="false">
      <c r="A145" s="55" t="s">
        <v>922</v>
      </c>
      <c r="B145" s="57" t="s">
        <v>1039</v>
      </c>
      <c r="C145" s="55" t="s">
        <v>1030</v>
      </c>
      <c r="D145" s="71" t="n">
        <f aca="false">$F$53</f>
        <v>12.606516</v>
      </c>
      <c r="E145" s="71" t="n">
        <f aca="false">D145*0.5</f>
        <v>6.303258</v>
      </c>
      <c r="F145" s="71" t="n">
        <f aca="false">D145*0.5</f>
        <v>6.303258</v>
      </c>
    </row>
    <row r="146" customFormat="false" ht="42" hidden="false" customHeight="true" outlineLevel="0" collapsed="false">
      <c r="A146" s="55" t="s">
        <v>923</v>
      </c>
      <c r="B146" s="57" t="s">
        <v>1040</v>
      </c>
      <c r="C146" s="55" t="s">
        <v>1030</v>
      </c>
      <c r="D146" s="71" t="n">
        <f aca="false">$F$54</f>
        <v>3.151629</v>
      </c>
      <c r="E146" s="71" t="n">
        <f aca="false">D146*0.5</f>
        <v>1.5758145</v>
      </c>
      <c r="F146" s="71" t="n">
        <f aca="false">D146*0.5</f>
        <v>1.5758145</v>
      </c>
    </row>
    <row r="147" customFormat="false" ht="42" hidden="false" customHeight="true" outlineLevel="0" collapsed="false">
      <c r="A147" s="55" t="s">
        <v>924</v>
      </c>
      <c r="B147" s="57" t="s">
        <v>1041</v>
      </c>
      <c r="C147" s="55" t="s">
        <v>1030</v>
      </c>
      <c r="D147" s="71" t="n">
        <f aca="false">$F$55</f>
        <v>1.2606516</v>
      </c>
      <c r="E147" s="71" t="n">
        <f aca="false">D147*0.5</f>
        <v>0.6303258</v>
      </c>
      <c r="F147" s="71" t="n">
        <f aca="false">D147*0.5</f>
        <v>0.6303258</v>
      </c>
    </row>
    <row r="149" customFormat="false" ht="15" hidden="false" customHeight="false" outlineLevel="0" collapsed="false">
      <c r="A149" s="3" t="s">
        <v>1042</v>
      </c>
      <c r="B149" s="4"/>
      <c r="C149" s="4"/>
      <c r="D149" s="4"/>
      <c r="E149" s="4"/>
      <c r="F149" s="4"/>
      <c r="G149" s="4"/>
      <c r="H149" s="4"/>
    </row>
    <row r="150" customFormat="false" ht="30" hidden="false" customHeight="true" outlineLevel="0" collapsed="false">
      <c r="A150" s="57" t="s">
        <v>1043</v>
      </c>
    </row>
    <row r="151" customFormat="false" ht="23.85" hidden="false" customHeight="false" outlineLevel="0" collapsed="false">
      <c r="A151" s="17" t="s">
        <v>576</v>
      </c>
      <c r="B151" s="18" t="s">
        <v>74</v>
      </c>
      <c r="C151" s="18" t="s">
        <v>75</v>
      </c>
      <c r="D151" s="18" t="s">
        <v>1044</v>
      </c>
    </row>
    <row r="152" customFormat="false" ht="15" hidden="false" customHeight="false" outlineLevel="0" collapsed="false">
      <c r="A152" s="6" t="s">
        <v>1045</v>
      </c>
      <c r="B152" s="20" t="n">
        <v>0.7</v>
      </c>
      <c r="C152" s="6" t="s">
        <v>1046</v>
      </c>
      <c r="D152" s="9" t="s">
        <v>1047</v>
      </c>
    </row>
    <row r="153" customFormat="false" ht="15" hidden="false" customHeight="false" outlineLevel="0" collapsed="false">
      <c r="A153" s="6" t="s">
        <v>1048</v>
      </c>
      <c r="B153" s="52" t="n">
        <f aca="false">6*$B$7*12</f>
        <v>13104</v>
      </c>
      <c r="C153" s="6" t="s">
        <v>1049</v>
      </c>
      <c r="D153" s="9" t="s">
        <v>1050</v>
      </c>
    </row>
    <row r="154" customFormat="false" ht="15" hidden="false" customHeight="false" outlineLevel="0" collapsed="false">
      <c r="A154" s="6" t="s">
        <v>1051</v>
      </c>
      <c r="B154" s="52" t="n">
        <f aca="false">$B$153*$B$152</f>
        <v>9172.8</v>
      </c>
      <c r="C154" s="6" t="s">
        <v>1049</v>
      </c>
    </row>
    <row r="155" customFormat="false" ht="15" hidden="false" customHeight="false" outlineLevel="0" collapsed="false">
      <c r="A155" s="6" t="s">
        <v>1052</v>
      </c>
      <c r="B155" s="42" t="n">
        <f aca="false">$B$154/($F$36+$F$56)</f>
        <v>3.36</v>
      </c>
      <c r="C155" s="6" t="s">
        <v>1053</v>
      </c>
      <c r="D155" s="9" t="s">
        <v>1054</v>
      </c>
    </row>
    <row r="156" customFormat="false" ht="15" hidden="false" customHeight="false" outlineLevel="0" collapsed="false">
      <c r="A156" s="6" t="s">
        <v>1055</v>
      </c>
      <c r="B156" s="74" t="n">
        <f aca="false">($F$44+$F$64)*1000000/($F$36+$F$56)</f>
        <v>65160.167178022</v>
      </c>
      <c r="C156" s="6" t="s">
        <v>442</v>
      </c>
      <c r="D156" s="9" t="s">
        <v>1056</v>
      </c>
    </row>
    <row r="157" customFormat="false" ht="15" hidden="false" customHeight="false" outlineLevel="0" collapsed="false">
      <c r="A157" s="6" t="s">
        <v>1057</v>
      </c>
      <c r="B157" s="74" t="n">
        <f aca="false">($F$40+$F$60)*1000000/($F$36+$F$56)</f>
        <v>44938.0463296703</v>
      </c>
      <c r="C157" s="6" t="s">
        <v>442</v>
      </c>
      <c r="D157" s="9" t="s">
        <v>1058</v>
      </c>
    </row>
    <row r="159" customFormat="false" ht="23.85" hidden="false" customHeight="false" outlineLevel="0" collapsed="false">
      <c r="A159" s="17" t="s">
        <v>1059</v>
      </c>
      <c r="B159" s="18" t="s">
        <v>74</v>
      </c>
      <c r="C159" s="18"/>
      <c r="D159" s="18" t="s">
        <v>1044</v>
      </c>
    </row>
    <row r="160" customFormat="false" ht="15" hidden="false" customHeight="false" outlineLevel="0" collapsed="false">
      <c r="A160" s="6" t="s">
        <v>1060</v>
      </c>
      <c r="B160" s="29" t="n">
        <f aca="false">$B$154*$B$156/1000000</f>
        <v>597.70118149056</v>
      </c>
      <c r="D160" s="9" t="s">
        <v>1061</v>
      </c>
    </row>
    <row r="161" customFormat="false" ht="15" hidden="false" customHeight="false" outlineLevel="0" collapsed="false">
      <c r="A161" s="6" t="s">
        <v>1062</v>
      </c>
      <c r="B161" s="29" t="n">
        <f aca="false">-$B$154*$B$157/1000000</f>
        <v>-412.2077113728</v>
      </c>
    </row>
    <row r="162" customFormat="false" ht="15" hidden="false" customHeight="false" outlineLevel="0" collapsed="false">
      <c r="A162" s="6" t="s">
        <v>1063</v>
      </c>
      <c r="B162" s="29" t="n">
        <f aca="false">-($B$154*$B$157/1000000)*IntegraMotion!$B$12</f>
        <v>-20.61038556864</v>
      </c>
    </row>
    <row r="163" customFormat="false" ht="15" hidden="false" customHeight="false" outlineLevel="0" collapsed="false">
      <c r="A163" s="6" t="s">
        <v>1064</v>
      </c>
      <c r="B163" s="29" t="n">
        <f aca="false">-$B$120*12</f>
        <v>-56.24062368</v>
      </c>
      <c r="D163" s="9" t="s">
        <v>1065</v>
      </c>
    </row>
    <row r="164" customFormat="false" ht="95.5" hidden="false" customHeight="false" outlineLevel="0" collapsed="false">
      <c r="A164" s="6" t="s">
        <v>1066</v>
      </c>
      <c r="B164" s="29" t="n">
        <f aca="false">-$D$22*12*(1-$B$152)</f>
        <v>-34.79398416</v>
      </c>
      <c r="D164" s="57" t="s">
        <v>1067</v>
      </c>
    </row>
    <row r="165" customFormat="false" ht="15" hidden="false" customHeight="false" outlineLevel="0" collapsed="false">
      <c r="A165" s="6" t="s">
        <v>1068</v>
      </c>
      <c r="B165" s="29" t="n">
        <f aca="false">-0.00966*B160</f>
        <v>-5.77379341319881</v>
      </c>
    </row>
    <row r="166" customFormat="false" ht="15" hidden="false" customHeight="false" outlineLevel="0" collapsed="false">
      <c r="A166" s="5" t="s">
        <v>859</v>
      </c>
      <c r="B166" s="30" t="n">
        <f aca="false">SUM(B160:B165)</f>
        <v>68.0746832959213</v>
      </c>
    </row>
    <row r="167" customFormat="false" ht="15" hidden="false" customHeight="false" outlineLevel="0" collapsed="false">
      <c r="A167" s="6" t="s">
        <v>1069</v>
      </c>
      <c r="B167" s="29" t="n">
        <f aca="false">-MAX(0,B166)*$B$15</f>
        <v>-23.8261391535724</v>
      </c>
    </row>
    <row r="168" customFormat="false" ht="15" hidden="false" customHeight="false" outlineLevel="0" collapsed="false">
      <c r="A168" s="5" t="s">
        <v>1070</v>
      </c>
      <c r="B168" s="31" t="n">
        <f aca="false">B166+B167</f>
        <v>44.2485441423488</v>
      </c>
    </row>
    <row r="169" customFormat="false" ht="15" hidden="false" customHeight="false" outlineLevel="0" collapsed="false">
      <c r="A169" s="6" t="s">
        <v>1071</v>
      </c>
      <c r="B169" s="31" t="n">
        <f aca="false">B168/6</f>
        <v>7.37475735705814</v>
      </c>
    </row>
    <row r="170" customFormat="false" ht="53.7" hidden="false" customHeight="false" outlineLevel="0" collapsed="false">
      <c r="A170" s="6" t="s">
        <v>1072</v>
      </c>
      <c r="B170" s="29" t="n">
        <f aca="false">$C$23*12*$B$152</f>
        <v>52.9473672</v>
      </c>
      <c r="D170" s="57" t="s">
        <v>1073</v>
      </c>
    </row>
    <row r="171" customFormat="false" ht="15" hidden="false" customHeight="false" outlineLevel="0" collapsed="false">
      <c r="A171" s="5" t="s">
        <v>1074</v>
      </c>
      <c r="B171" s="39" t="n">
        <f aca="false">($B$120*12+$D$22*12)/($B$153*($B$156-$B$157*(1+IntegraMotion!$B$12)-0.00966*$B$156)/1000000+$D$22*12)</f>
        <v>0.501692803003682</v>
      </c>
      <c r="D171" s="9" t="s">
        <v>1075</v>
      </c>
    </row>
    <row r="172" customFormat="false" ht="30" hidden="false" customHeight="true" outlineLevel="0" collapsed="false">
      <c r="A172" s="57" t="s">
        <v>1076</v>
      </c>
    </row>
    <row r="174" customFormat="false" ht="15" hidden="false" customHeight="false" outlineLevel="0" collapsed="false">
      <c r="A174" s="3" t="s">
        <v>1077</v>
      </c>
      <c r="B174" s="4"/>
      <c r="C174" s="4"/>
      <c r="D174" s="4"/>
      <c r="E174" s="4"/>
      <c r="F174" s="4"/>
      <c r="G174" s="4"/>
      <c r="H174" s="4"/>
    </row>
    <row r="175" customFormat="false" ht="15" hidden="false" customHeight="false" outlineLevel="0" collapsed="false">
      <c r="A175" s="66" t="s">
        <v>576</v>
      </c>
      <c r="B175" s="66" t="s">
        <v>1078</v>
      </c>
      <c r="C175" s="66" t="s">
        <v>1079</v>
      </c>
      <c r="D175" s="66" t="s">
        <v>1080</v>
      </c>
      <c r="E175" s="66" t="s">
        <v>1044</v>
      </c>
    </row>
    <row r="176" customFormat="false" ht="15" hidden="false" customHeight="false" outlineLevel="0" collapsed="false">
      <c r="A176" s="6" t="s">
        <v>1081</v>
      </c>
      <c r="B176" s="75" t="n">
        <f aca="false">$B$6</f>
        <v>1.750905</v>
      </c>
      <c r="C176" s="75" t="n">
        <f aca="false">B176*(1+Entorno!$B$12)</f>
        <v>1.899731925</v>
      </c>
      <c r="D176" s="75" t="n">
        <f aca="false">C176*(1+Entorno!$C$7)*(1+Entorno!$B$13)</f>
        <v>2.00469211385625</v>
      </c>
      <c r="E176" s="9" t="s">
        <v>1082</v>
      </c>
    </row>
    <row r="177" customFormat="false" ht="15" hidden="false" customHeight="false" outlineLevel="0" collapsed="false">
      <c r="A177" s="6" t="s">
        <v>1083</v>
      </c>
      <c r="B177" s="76" t="n">
        <f aca="false">$C$23</f>
        <v>6.303258</v>
      </c>
      <c r="C177" s="76" t="n">
        <f aca="false">B177*C$176/B$176</f>
        <v>6.83903493</v>
      </c>
      <c r="D177" s="76" t="n">
        <f aca="false">B177*D$176/B$176</f>
        <v>7.2168916098825</v>
      </c>
      <c r="E177" s="9" t="s">
        <v>1084</v>
      </c>
    </row>
    <row r="178" customFormat="false" ht="15" hidden="false" customHeight="false" outlineLevel="0" collapsed="false">
      <c r="A178" s="6" t="s">
        <v>1085</v>
      </c>
      <c r="B178" s="52" t="n">
        <f aca="false">$B$156</f>
        <v>65160.167178022</v>
      </c>
      <c r="C178" s="52" t="n">
        <f aca="false">B178*C$176/B$176</f>
        <v>70698.7813881538</v>
      </c>
      <c r="D178" s="52" t="n">
        <f aca="false">B178*D$176/B$176</f>
        <v>74604.8890598493</v>
      </c>
      <c r="E178" s="9" t="s">
        <v>1086</v>
      </c>
    </row>
    <row r="179" customFormat="false" ht="15" hidden="false" customHeight="false" outlineLevel="0" collapsed="false">
      <c r="A179" s="6" t="s">
        <v>1087</v>
      </c>
      <c r="B179" s="35" t="n">
        <f aca="false">$F$44</f>
        <v>130.103155416</v>
      </c>
      <c r="C179" s="35" t="n">
        <f aca="false">B179*C$176/B$176</f>
        <v>141.16192362636</v>
      </c>
      <c r="D179" s="35" t="n">
        <f aca="false">B179*D$176/B$176</f>
        <v>148.961119906716</v>
      </c>
      <c r="E179" s="9" t="s">
        <v>1088</v>
      </c>
    </row>
    <row r="180" customFormat="false" ht="15" hidden="false" customHeight="false" outlineLevel="0" collapsed="false">
      <c r="A180" s="6" t="s">
        <v>1089</v>
      </c>
      <c r="B180" s="35" t="n">
        <f aca="false">$F$64</f>
        <v>47.78410098</v>
      </c>
      <c r="C180" s="35" t="n">
        <f aca="false">B180*C$176/B$176</f>
        <v>51.8457495633</v>
      </c>
      <c r="D180" s="35" t="n">
        <f aca="false">B180*D$176/B$176</f>
        <v>54.7102272266723</v>
      </c>
      <c r="E180" s="9" t="s">
        <v>1090</v>
      </c>
    </row>
    <row r="181" customFormat="false" ht="15" hidden="false" customHeight="false" outlineLevel="0" collapsed="false">
      <c r="A181" s="5" t="s">
        <v>1091</v>
      </c>
      <c r="C181" s="40" t="n">
        <f aca="false">C179</f>
        <v>141.16192362636</v>
      </c>
      <c r="D181" s="40" t="n">
        <f aca="false">D180</f>
        <v>54.7102272266723</v>
      </c>
    </row>
    <row r="182" customFormat="false" ht="57.75" hidden="false" customHeight="true" outlineLevel="0" collapsed="false">
      <c r="A182" s="68" t="s">
        <v>1092</v>
      </c>
      <c r="B182" s="68"/>
      <c r="C182" s="68"/>
      <c r="D182" s="68"/>
      <c r="E182" s="68"/>
      <c r="F182" s="68"/>
      <c r="G182" s="68"/>
      <c r="H182" s="68"/>
    </row>
  </sheetData>
  <mergeCells count="1">
    <mergeCell ref="A182:H1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3" min="3" style="0" width="14"/>
    <col collapsed="false" customWidth="true" hidden="false" outlineLevel="0" max="6" min="4" style="0" width="16"/>
    <col collapsed="false" customWidth="true" hidden="false" outlineLevel="0" max="7" min="7" style="0" width="50"/>
  </cols>
  <sheetData>
    <row r="1" customFormat="false" ht="17.35" hidden="false" customHeight="false" outlineLevel="0" collapsed="false">
      <c r="A1" s="16" t="s">
        <v>1093</v>
      </c>
    </row>
    <row r="2" customFormat="false" ht="15" hidden="false" customHeight="false" outlineLevel="0" collapsed="false">
      <c r="A2" s="9" t="s">
        <v>1094</v>
      </c>
    </row>
    <row r="4" customFormat="false" ht="15" hidden="false" customHeight="false" outlineLevel="0" collapsed="false">
      <c r="A4" s="3" t="s">
        <v>1095</v>
      </c>
      <c r="B4" s="4"/>
      <c r="C4" s="4"/>
      <c r="D4" s="4"/>
      <c r="E4" s="4"/>
      <c r="F4" s="4"/>
      <c r="G4" s="4"/>
    </row>
    <row r="5" customFormat="false" ht="15" hidden="false" customHeight="false" outlineLevel="0" collapsed="false">
      <c r="A5" s="5" t="s">
        <v>1096</v>
      </c>
    </row>
    <row r="6" customFormat="false" ht="23.85" hidden="false" customHeight="false" outlineLevel="0" collapsed="false">
      <c r="A6" s="17" t="s">
        <v>913</v>
      </c>
      <c r="B6" s="18" t="s">
        <v>75</v>
      </c>
      <c r="C6" s="18" t="s">
        <v>1097</v>
      </c>
      <c r="D6" s="18" t="s">
        <v>1098</v>
      </c>
      <c r="E6" s="18" t="s">
        <v>1099</v>
      </c>
      <c r="F6" s="18" t="s">
        <v>1100</v>
      </c>
      <c r="G6" s="18" t="s">
        <v>1044</v>
      </c>
    </row>
    <row r="7" customFormat="false" ht="43.25" hidden="false" customHeight="false" outlineLevel="0" collapsed="false">
      <c r="A7" s="6" t="s">
        <v>918</v>
      </c>
      <c r="B7" s="77" t="s">
        <v>1101</v>
      </c>
      <c r="C7" s="74" t="n">
        <f aca="false">IntegraMotion!$E$22</f>
        <v>53104.3714285714</v>
      </c>
      <c r="D7" s="74" t="n">
        <f aca="false">IntegraMotion!$F$39*1000000/IntegraMotion!$F$36</f>
        <v>5087.50508750509</v>
      </c>
      <c r="E7" s="74" t="n">
        <f aca="false">IntegraMotion!$F$38*1000000/IntegraMotion!$F$36</f>
        <v>2849.00284900285</v>
      </c>
      <c r="F7" s="78" t="n">
        <f aca="false">C7+D7+E7</f>
        <v>61040.8793650794</v>
      </c>
      <c r="G7" s="57" t="s">
        <v>1102</v>
      </c>
    </row>
    <row r="8" customFormat="false" ht="15" hidden="false" customHeight="false" outlineLevel="0" collapsed="false">
      <c r="A8" s="6" t="s">
        <v>920</v>
      </c>
      <c r="B8" s="77" t="s">
        <v>1101</v>
      </c>
      <c r="C8" s="74" t="n">
        <f aca="false">IntegraMotion!$E$23</f>
        <v>34633.2857142857</v>
      </c>
      <c r="D8" s="74" t="n">
        <f aca="false">IntegraMotion!$F$39*1000000/IntegraMotion!$F$36</f>
        <v>5087.50508750509</v>
      </c>
      <c r="E8" s="74" t="n">
        <f aca="false">IntegraMotion!$F$38*1000000/IntegraMotion!$F$36</f>
        <v>2849.00284900285</v>
      </c>
      <c r="F8" s="78" t="n">
        <f aca="false">C8+D8+E8</f>
        <v>42569.7936507937</v>
      </c>
    </row>
    <row r="9" customFormat="false" ht="15" hidden="false" customHeight="false" outlineLevel="0" collapsed="false">
      <c r="A9" s="6" t="s">
        <v>922</v>
      </c>
      <c r="B9" s="77" t="s">
        <v>1101</v>
      </c>
      <c r="C9" s="74" t="n">
        <f aca="false">IntegraMotion!$E$24</f>
        <v>34633.2857142857</v>
      </c>
      <c r="D9" s="74" t="n">
        <f aca="false">IntegraMotion!$F$39*1000000/IntegraMotion!$F$36</f>
        <v>5087.50508750509</v>
      </c>
      <c r="E9" s="74" t="n">
        <f aca="false">IntegraMotion!$F$38*1000000/IntegraMotion!$F$36</f>
        <v>2849.00284900285</v>
      </c>
      <c r="F9" s="78" t="n">
        <f aca="false">C9+D9+E9</f>
        <v>42569.7936507937</v>
      </c>
    </row>
    <row r="10" customFormat="false" ht="15" hidden="false" customHeight="false" outlineLevel="0" collapsed="false">
      <c r="A10" s="6" t="s">
        <v>923</v>
      </c>
      <c r="B10" s="77" t="s">
        <v>1101</v>
      </c>
      <c r="C10" s="74" t="n">
        <f aca="false">IntegraMotion!$E$25</f>
        <v>34633.2857142857</v>
      </c>
      <c r="D10" s="74" t="n">
        <f aca="false">IntegraMotion!$F$39*1000000/IntegraMotion!$F$36</f>
        <v>5087.50508750509</v>
      </c>
      <c r="E10" s="74" t="n">
        <f aca="false">IntegraMotion!$F$38*1000000/IntegraMotion!$F$36</f>
        <v>2849.00284900285</v>
      </c>
      <c r="F10" s="78" t="n">
        <f aca="false">C10+D10+E10</f>
        <v>42569.7936507937</v>
      </c>
    </row>
    <row r="11" customFormat="false" ht="15" hidden="false" customHeight="false" outlineLevel="0" collapsed="false">
      <c r="A11" s="6" t="s">
        <v>924</v>
      </c>
      <c r="B11" s="77" t="s">
        <v>1101</v>
      </c>
      <c r="C11" s="74" t="n">
        <f aca="false">IntegraMotion!$E$26</f>
        <v>34633.2857142857</v>
      </c>
      <c r="D11" s="74" t="n">
        <f aca="false">IntegraMotion!$F$39*1000000/IntegraMotion!$F$36</f>
        <v>5087.50508750509</v>
      </c>
      <c r="E11" s="74" t="n">
        <f aca="false">IntegraMotion!$F$38*1000000/IntegraMotion!$F$36</f>
        <v>2849.00284900285</v>
      </c>
      <c r="F11" s="78" t="n">
        <f aca="false">C11+D11+E11</f>
        <v>42569.7936507937</v>
      </c>
    </row>
    <row r="13" customFormat="false" ht="15" hidden="false" customHeight="false" outlineLevel="0" collapsed="false">
      <c r="A13" s="5" t="s">
        <v>1103</v>
      </c>
    </row>
    <row r="14" customFormat="false" ht="15" hidden="false" customHeight="false" outlineLevel="0" collapsed="false">
      <c r="A14" s="17" t="s">
        <v>1104</v>
      </c>
      <c r="B14" s="18" t="s">
        <v>75</v>
      </c>
      <c r="C14" s="18" t="s">
        <v>1105</v>
      </c>
      <c r="D14" s="18" t="s">
        <v>1106</v>
      </c>
      <c r="E14" s="18" t="s">
        <v>1107</v>
      </c>
    </row>
    <row r="15" customFormat="false" ht="15" hidden="false" customHeight="false" outlineLevel="0" collapsed="false">
      <c r="A15" s="6" t="s">
        <v>918</v>
      </c>
      <c r="B15" s="77" t="s">
        <v>1108</v>
      </c>
      <c r="C15" s="79" t="n">
        <f aca="false">IntegraMotion!$E$31</f>
        <v>327.6</v>
      </c>
      <c r="D15" s="74" t="n">
        <f aca="false">F7</f>
        <v>61040.8793650794</v>
      </c>
      <c r="E15" s="71" t="n">
        <f aca="false">C15*D15/1000000</f>
        <v>19.99699208</v>
      </c>
    </row>
    <row r="16" customFormat="false" ht="15" hidden="false" customHeight="false" outlineLevel="0" collapsed="false">
      <c r="A16" s="6" t="s">
        <v>920</v>
      </c>
      <c r="B16" s="77" t="s">
        <v>1108</v>
      </c>
      <c r="C16" s="79" t="n">
        <f aca="false">IntegraMotion!$E$32</f>
        <v>327.6</v>
      </c>
      <c r="D16" s="74" t="n">
        <f aca="false">F8</f>
        <v>42569.7936507937</v>
      </c>
      <c r="E16" s="71" t="n">
        <f aca="false">C16*D16/1000000</f>
        <v>13.9458644</v>
      </c>
    </row>
    <row r="17" customFormat="false" ht="15" hidden="false" customHeight="false" outlineLevel="0" collapsed="false">
      <c r="A17" s="6" t="s">
        <v>922</v>
      </c>
      <c r="B17" s="77" t="s">
        <v>1108</v>
      </c>
      <c r="C17" s="79" t="n">
        <f aca="false">IntegraMotion!$E$33</f>
        <v>655.2</v>
      </c>
      <c r="D17" s="74" t="n">
        <f aca="false">F9</f>
        <v>42569.7936507937</v>
      </c>
      <c r="E17" s="71" t="n">
        <f aca="false">C17*D17/1000000</f>
        <v>27.8917288</v>
      </c>
    </row>
    <row r="18" customFormat="false" ht="15" hidden="false" customHeight="false" outlineLevel="0" collapsed="false">
      <c r="A18" s="6" t="s">
        <v>923</v>
      </c>
      <c r="B18" s="77" t="s">
        <v>1108</v>
      </c>
      <c r="C18" s="79" t="n">
        <f aca="false">IntegraMotion!$E$34</f>
        <v>327.6</v>
      </c>
      <c r="D18" s="74" t="n">
        <f aca="false">F10</f>
        <v>42569.7936507937</v>
      </c>
      <c r="E18" s="71" t="n">
        <f aca="false">C18*D18/1000000</f>
        <v>13.9458644</v>
      </c>
    </row>
    <row r="19" customFormat="false" ht="15" hidden="false" customHeight="false" outlineLevel="0" collapsed="false">
      <c r="A19" s="6" t="s">
        <v>924</v>
      </c>
      <c r="B19" s="77" t="s">
        <v>1108</v>
      </c>
      <c r="C19" s="79" t="n">
        <f aca="false">IntegraMotion!$E$35</f>
        <v>327.6</v>
      </c>
      <c r="D19" s="74" t="n">
        <f aca="false">F11</f>
        <v>42569.7936507937</v>
      </c>
      <c r="E19" s="71" t="n">
        <f aca="false">C19*D19/1000000</f>
        <v>13.9458644</v>
      </c>
    </row>
    <row r="20" customFormat="false" ht="15" hidden="false" customHeight="false" outlineLevel="0" collapsed="false">
      <c r="A20" s="5" t="s">
        <v>936</v>
      </c>
      <c r="E20" s="72" t="n">
        <f aca="false">SUM(E15:E19)</f>
        <v>89.72631408</v>
      </c>
    </row>
    <row r="21" customFormat="false" ht="15" hidden="false" customHeight="false" outlineLevel="0" collapsed="false">
      <c r="A21" s="6" t="s">
        <v>937</v>
      </c>
      <c r="E21" s="71" t="n">
        <f aca="false">E20*IntegraMotion!$B$11</f>
        <v>26.917894224</v>
      </c>
    </row>
    <row r="22" customFormat="false" ht="15" hidden="false" customHeight="false" outlineLevel="0" collapsed="false">
      <c r="A22" s="6" t="s">
        <v>938</v>
      </c>
      <c r="E22" s="71" t="n">
        <f aca="false">E20*IntegraMotion!$B$12</f>
        <v>4.486315704</v>
      </c>
    </row>
    <row r="23" customFormat="false" ht="15" hidden="false" customHeight="false" outlineLevel="0" collapsed="false">
      <c r="A23" s="6" t="s">
        <v>939</v>
      </c>
      <c r="E23" s="71" t="n">
        <f aca="false">E20*IntegraMotion!$B$13</f>
        <v>8.972631408</v>
      </c>
    </row>
    <row r="24" customFormat="false" ht="15" hidden="false" customHeight="false" outlineLevel="0" collapsed="false">
      <c r="A24" s="5" t="s">
        <v>1109</v>
      </c>
      <c r="E24" s="73" t="n">
        <f aca="false">E20+E21+E22+E23</f>
        <v>130.103155416</v>
      </c>
    </row>
    <row r="25" customFormat="false" ht="15" hidden="false" customHeight="false" outlineLevel="0" collapsed="false">
      <c r="A25" s="6" t="s">
        <v>941</v>
      </c>
      <c r="E25" s="71" t="n">
        <f aca="false">E24*IntegraMotion!$B$14</f>
        <v>24.71959952904</v>
      </c>
    </row>
    <row r="26" customFormat="false" ht="15" hidden="false" customHeight="false" outlineLevel="0" collapsed="false">
      <c r="A26" s="5" t="s">
        <v>1110</v>
      </c>
      <c r="E26" s="72" t="n">
        <f aca="false">E24+E25</f>
        <v>154.82275494504</v>
      </c>
    </row>
    <row r="27" customFormat="false" ht="15" hidden="false" customHeight="false" outlineLevel="0" collapsed="false">
      <c r="A27" s="6" t="s">
        <v>1111</v>
      </c>
      <c r="E27" s="71" t="n">
        <f aca="false">E24-IntegraMotion!$F$44</f>
        <v>0</v>
      </c>
    </row>
    <row r="29" customFormat="false" ht="15" hidden="false" customHeight="false" outlineLevel="0" collapsed="false">
      <c r="A29" s="3" t="s">
        <v>1112</v>
      </c>
      <c r="B29" s="4"/>
      <c r="C29" s="4"/>
      <c r="D29" s="4"/>
      <c r="E29" s="4"/>
      <c r="F29" s="4"/>
      <c r="G29" s="4"/>
    </row>
    <row r="30" customFormat="false" ht="15" hidden="false" customHeight="false" outlineLevel="0" collapsed="false">
      <c r="A30" s="5" t="s">
        <v>1096</v>
      </c>
    </row>
    <row r="31" customFormat="false" ht="23.85" hidden="false" customHeight="false" outlineLevel="0" collapsed="false">
      <c r="A31" s="17" t="s">
        <v>913</v>
      </c>
      <c r="B31" s="18" t="s">
        <v>75</v>
      </c>
      <c r="C31" s="18" t="s">
        <v>1097</v>
      </c>
      <c r="D31" s="18" t="s">
        <v>1098</v>
      </c>
      <c r="E31" s="18" t="s">
        <v>1099</v>
      </c>
      <c r="F31" s="18" t="s">
        <v>1100</v>
      </c>
      <c r="G31" s="18" t="s">
        <v>1044</v>
      </c>
    </row>
    <row r="32" customFormat="false" ht="43.25" hidden="false" customHeight="false" outlineLevel="0" collapsed="false">
      <c r="A32" s="6" t="s">
        <v>918</v>
      </c>
      <c r="B32" s="77" t="s">
        <v>1101</v>
      </c>
      <c r="C32" s="74" t="n">
        <f aca="false">IntegraMotion!$E$22</f>
        <v>53104.3714285714</v>
      </c>
      <c r="D32" s="74" t="n">
        <f aca="false">IntegraMotion!$F$59*1000000/IntegraMotion!$F$56</f>
        <v>2616.43118785976</v>
      </c>
      <c r="E32" s="74" t="n">
        <f aca="false">IntegraMotion!$F$58*1000000/IntegraMotion!$F$56</f>
        <v>3663.00366300366</v>
      </c>
      <c r="F32" s="78" t="n">
        <f aca="false">C32+D32+E32</f>
        <v>59383.8062794348</v>
      </c>
      <c r="G32" s="57" t="s">
        <v>1102</v>
      </c>
    </row>
    <row r="33" customFormat="false" ht="15" hidden="false" customHeight="false" outlineLevel="0" collapsed="false">
      <c r="A33" s="6" t="s">
        <v>920</v>
      </c>
      <c r="B33" s="77" t="s">
        <v>1101</v>
      </c>
      <c r="C33" s="74" t="n">
        <f aca="false">IntegraMotion!$E$23</f>
        <v>34633.2857142857</v>
      </c>
      <c r="D33" s="74" t="n">
        <f aca="false">IntegraMotion!$F$59*1000000/IntegraMotion!$F$56</f>
        <v>2616.43118785976</v>
      </c>
      <c r="E33" s="74" t="n">
        <f aca="false">IntegraMotion!$F$58*1000000/IntegraMotion!$F$56</f>
        <v>3663.00366300366</v>
      </c>
      <c r="F33" s="78" t="n">
        <f aca="false">C33+D33+E33</f>
        <v>40912.7205651491</v>
      </c>
    </row>
    <row r="34" customFormat="false" ht="15" hidden="false" customHeight="false" outlineLevel="0" collapsed="false">
      <c r="A34" s="6" t="s">
        <v>922</v>
      </c>
      <c r="B34" s="77" t="s">
        <v>1101</v>
      </c>
      <c r="C34" s="74" t="n">
        <f aca="false">IntegraMotion!$E$24</f>
        <v>34633.2857142857</v>
      </c>
      <c r="D34" s="74" t="n">
        <f aca="false">IntegraMotion!$F$59*1000000/IntegraMotion!$F$56</f>
        <v>2616.43118785976</v>
      </c>
      <c r="E34" s="74" t="n">
        <f aca="false">IntegraMotion!$F$58*1000000/IntegraMotion!$F$56</f>
        <v>3663.00366300366</v>
      </c>
      <c r="F34" s="78" t="n">
        <f aca="false">C34+D34+E34</f>
        <v>40912.7205651491</v>
      </c>
    </row>
    <row r="35" customFormat="false" ht="15" hidden="false" customHeight="false" outlineLevel="0" collapsed="false">
      <c r="A35" s="6" t="s">
        <v>923</v>
      </c>
      <c r="B35" s="77" t="s">
        <v>1101</v>
      </c>
      <c r="C35" s="74" t="n">
        <f aca="false">IntegraMotion!$E$25</f>
        <v>34633.2857142857</v>
      </c>
      <c r="D35" s="74" t="n">
        <f aca="false">IntegraMotion!$F$59*1000000/IntegraMotion!$F$56</f>
        <v>2616.43118785976</v>
      </c>
      <c r="E35" s="74" t="n">
        <f aca="false">IntegraMotion!$F$58*1000000/IntegraMotion!$F$56</f>
        <v>3663.00366300366</v>
      </c>
      <c r="F35" s="78" t="n">
        <f aca="false">C35+D35+E35</f>
        <v>40912.7205651491</v>
      </c>
    </row>
    <row r="36" customFormat="false" ht="15" hidden="false" customHeight="false" outlineLevel="0" collapsed="false">
      <c r="A36" s="6" t="s">
        <v>924</v>
      </c>
      <c r="B36" s="77" t="s">
        <v>1101</v>
      </c>
      <c r="C36" s="74" t="n">
        <f aca="false">IntegraMotion!$E$26</f>
        <v>34633.2857142857</v>
      </c>
      <c r="D36" s="74" t="n">
        <f aca="false">IntegraMotion!$F$59*1000000/IntegraMotion!$F$56</f>
        <v>2616.43118785976</v>
      </c>
      <c r="E36" s="74" t="n">
        <f aca="false">IntegraMotion!$F$58*1000000/IntegraMotion!$F$56</f>
        <v>3663.00366300366</v>
      </c>
      <c r="F36" s="78" t="n">
        <f aca="false">C36+D36+E36</f>
        <v>40912.7205651491</v>
      </c>
    </row>
    <row r="38" customFormat="false" ht="15" hidden="false" customHeight="false" outlineLevel="0" collapsed="false">
      <c r="A38" s="5" t="s">
        <v>1103</v>
      </c>
    </row>
    <row r="39" customFormat="false" ht="15" hidden="false" customHeight="false" outlineLevel="0" collapsed="false">
      <c r="A39" s="17" t="s">
        <v>1104</v>
      </c>
      <c r="B39" s="18" t="s">
        <v>75</v>
      </c>
      <c r="C39" s="18" t="s">
        <v>1105</v>
      </c>
      <c r="D39" s="18" t="s">
        <v>1106</v>
      </c>
      <c r="E39" s="18" t="s">
        <v>1107</v>
      </c>
    </row>
    <row r="40" customFormat="false" ht="15" hidden="false" customHeight="false" outlineLevel="0" collapsed="false">
      <c r="A40" s="6" t="s">
        <v>918</v>
      </c>
      <c r="B40" s="77" t="s">
        <v>1108</v>
      </c>
      <c r="C40" s="79" t="n">
        <f aca="false">IntegraMotion!$E$51</f>
        <v>91</v>
      </c>
      <c r="D40" s="74" t="n">
        <f aca="false">F32</f>
        <v>59383.8062794348</v>
      </c>
      <c r="E40" s="71" t="n">
        <f aca="false">C40*D40/1000000</f>
        <v>5.40392637142857</v>
      </c>
    </row>
    <row r="41" customFormat="false" ht="15" hidden="false" customHeight="false" outlineLevel="0" collapsed="false">
      <c r="A41" s="6" t="s">
        <v>920</v>
      </c>
      <c r="B41" s="77" t="s">
        <v>1108</v>
      </c>
      <c r="C41" s="79" t="n">
        <f aca="false">IntegraMotion!$E$52</f>
        <v>182</v>
      </c>
      <c r="D41" s="74" t="n">
        <f aca="false">F33</f>
        <v>40912.7205651491</v>
      </c>
      <c r="E41" s="71" t="n">
        <f aca="false">C41*D41/1000000</f>
        <v>7.44611514285714</v>
      </c>
    </row>
    <row r="42" customFormat="false" ht="15" hidden="false" customHeight="false" outlineLevel="0" collapsed="false">
      <c r="A42" s="6" t="s">
        <v>922</v>
      </c>
      <c r="B42" s="77" t="s">
        <v>1108</v>
      </c>
      <c r="C42" s="79" t="n">
        <f aca="false">IntegraMotion!$E$53</f>
        <v>364</v>
      </c>
      <c r="D42" s="74" t="n">
        <f aca="false">F34</f>
        <v>40912.7205651491</v>
      </c>
      <c r="E42" s="71" t="n">
        <f aca="false">C42*D42/1000000</f>
        <v>14.8922302857143</v>
      </c>
    </row>
    <row r="43" customFormat="false" ht="15" hidden="false" customHeight="false" outlineLevel="0" collapsed="false">
      <c r="A43" s="6" t="s">
        <v>923</v>
      </c>
      <c r="B43" s="77" t="s">
        <v>1108</v>
      </c>
      <c r="C43" s="79" t="n">
        <f aca="false">IntegraMotion!$E$54</f>
        <v>91</v>
      </c>
      <c r="D43" s="74" t="n">
        <f aca="false">F35</f>
        <v>40912.7205651491</v>
      </c>
      <c r="E43" s="71" t="n">
        <f aca="false">C43*D43/1000000</f>
        <v>3.72305757142857</v>
      </c>
    </row>
    <row r="44" customFormat="false" ht="15" hidden="false" customHeight="false" outlineLevel="0" collapsed="false">
      <c r="A44" s="6" t="s">
        <v>924</v>
      </c>
      <c r="B44" s="77" t="s">
        <v>1108</v>
      </c>
      <c r="C44" s="79" t="n">
        <f aca="false">IntegraMotion!$E$55</f>
        <v>36.4</v>
      </c>
      <c r="D44" s="74" t="n">
        <f aca="false">F36</f>
        <v>40912.7205651491</v>
      </c>
      <c r="E44" s="71" t="n">
        <f aca="false">C44*D44/1000000</f>
        <v>1.48922302857143</v>
      </c>
    </row>
    <row r="45" customFormat="false" ht="15" hidden="false" customHeight="false" outlineLevel="0" collapsed="false">
      <c r="A45" s="5" t="s">
        <v>936</v>
      </c>
      <c r="E45" s="72" t="n">
        <f aca="false">SUM(E40:E44)</f>
        <v>32.9545524</v>
      </c>
    </row>
    <row r="46" customFormat="false" ht="15" hidden="false" customHeight="false" outlineLevel="0" collapsed="false">
      <c r="A46" s="6" t="s">
        <v>937</v>
      </c>
      <c r="E46" s="71" t="n">
        <f aca="false">E45*IntegraMotion!$B$11</f>
        <v>9.88636572</v>
      </c>
    </row>
    <row r="47" customFormat="false" ht="15" hidden="false" customHeight="false" outlineLevel="0" collapsed="false">
      <c r="A47" s="6" t="s">
        <v>938</v>
      </c>
      <c r="E47" s="71" t="n">
        <f aca="false">E45*IntegraMotion!$B$12</f>
        <v>1.64772762</v>
      </c>
    </row>
    <row r="48" customFormat="false" ht="15" hidden="false" customHeight="false" outlineLevel="0" collapsed="false">
      <c r="A48" s="6" t="s">
        <v>939</v>
      </c>
      <c r="E48" s="71" t="n">
        <f aca="false">E45*IntegraMotion!$B$13</f>
        <v>3.29545524</v>
      </c>
    </row>
    <row r="49" customFormat="false" ht="15" hidden="false" customHeight="false" outlineLevel="0" collapsed="false">
      <c r="A49" s="5" t="s">
        <v>1109</v>
      </c>
      <c r="E49" s="73" t="n">
        <f aca="false">E45+E46+E47+E48</f>
        <v>47.78410098</v>
      </c>
    </row>
    <row r="50" customFormat="false" ht="15" hidden="false" customHeight="false" outlineLevel="0" collapsed="false">
      <c r="A50" s="6" t="s">
        <v>941</v>
      </c>
      <c r="E50" s="71" t="n">
        <f aca="false">E49*IntegraMotion!$B$14</f>
        <v>9.0789791862</v>
      </c>
    </row>
    <row r="51" customFormat="false" ht="15" hidden="false" customHeight="false" outlineLevel="0" collapsed="false">
      <c r="A51" s="5" t="s">
        <v>1110</v>
      </c>
      <c r="E51" s="72" t="n">
        <f aca="false">E49+E50</f>
        <v>56.8630801662</v>
      </c>
    </row>
    <row r="52" customFormat="false" ht="15" hidden="false" customHeight="false" outlineLevel="0" collapsed="false">
      <c r="A52" s="6" t="s">
        <v>1111</v>
      </c>
      <c r="E52" s="71" t="n">
        <f aca="false">E49-IntegraMotion!$F$64</f>
        <v>0</v>
      </c>
    </row>
    <row r="54" customFormat="false" ht="15" hidden="false" customHeight="false" outlineLevel="0" collapsed="false">
      <c r="A54" s="9" t="s">
        <v>1113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4"/>
    <col collapsed="false" customWidth="true" hidden="false" outlineLevel="0" max="3" min="3" style="0" width="12"/>
    <col collapsed="false" customWidth="true" hidden="false" outlineLevel="0" max="4" min="4" style="0" width="60"/>
  </cols>
  <sheetData>
    <row r="1" customFormat="false" ht="17.35" hidden="false" customHeight="false" outlineLevel="0" collapsed="false">
      <c r="A1" s="16" t="s">
        <v>1114</v>
      </c>
    </row>
    <row r="2" customFormat="false" ht="15" hidden="false" customHeight="false" outlineLevel="0" collapsed="false">
      <c r="A2" s="9" t="s">
        <v>1115</v>
      </c>
    </row>
    <row r="4" customFormat="false" ht="15" hidden="false" customHeight="false" outlineLevel="0" collapsed="false">
      <c r="A4" s="3" t="s">
        <v>61</v>
      </c>
      <c r="B4" s="4"/>
      <c r="C4" s="4"/>
      <c r="D4" s="4"/>
    </row>
    <row r="5" customFormat="false" ht="15" hidden="false" customHeight="false" outlineLevel="0" collapsed="false">
      <c r="A5" s="17" t="s">
        <v>1116</v>
      </c>
      <c r="B5" s="18" t="s">
        <v>1117</v>
      </c>
      <c r="C5" s="18" t="s">
        <v>594</v>
      </c>
      <c r="D5" s="18" t="s">
        <v>1118</v>
      </c>
    </row>
    <row r="6" customFormat="false" ht="15" hidden="false" customHeight="false" outlineLevel="0" collapsed="false">
      <c r="A6" s="6" t="s">
        <v>1119</v>
      </c>
      <c r="B6" s="80" t="n">
        <f aca="false">SUMPRODUCT((Empresa!B27:L27+Empresa!B28:L28&gt;Empresa!B26:L26)*1)</f>
        <v>0</v>
      </c>
      <c r="C6" s="81" t="str">
        <f aca="false">IF(ABS(B6)&lt;0.001,"OK","Revisar")</f>
        <v>OK</v>
      </c>
      <c r="D6" s="9" t="s">
        <v>1120</v>
      </c>
    </row>
    <row r="7" customFormat="false" ht="15" hidden="false" customHeight="false" outlineLevel="0" collapsed="false">
      <c r="A7" s="6" t="s">
        <v>1121</v>
      </c>
      <c r="B7" s="80" t="n">
        <f aca="false">SUM(Quesería!F62:F77)-Quesería!$F$85</f>
        <v>0</v>
      </c>
      <c r="C7" s="81" t="str">
        <f aca="false">IF(ABS(B7)&lt;0.001,"OK","Revisar")</f>
        <v>OK</v>
      </c>
      <c r="D7" s="9" t="s">
        <v>1122</v>
      </c>
    </row>
    <row r="8" customFormat="false" ht="15" hidden="false" customHeight="false" outlineLevel="0" collapsed="false">
      <c r="A8" s="6" t="s">
        <v>1123</v>
      </c>
      <c r="B8" s="80" t="n">
        <f aca="false">SUM(Quesería!E92:E102)-Quesería!$E$111</f>
        <v>0</v>
      </c>
      <c r="C8" s="81" t="str">
        <f aca="false">IF(ABS(B8)&lt;0.001,"OK","Revisar")</f>
        <v>OK</v>
      </c>
      <c r="D8" s="9" t="s">
        <v>1124</v>
      </c>
    </row>
    <row r="9" customFormat="false" ht="15" hidden="false" customHeight="false" outlineLevel="0" collapsed="false">
      <c r="A9" s="6" t="s">
        <v>1125</v>
      </c>
      <c r="B9" s="80" t="n">
        <f aca="false">SUM(Quesería!C92:C102)-SUM('Beneficios y costos'!C73:C83)</f>
        <v>0</v>
      </c>
      <c r="C9" s="81" t="str">
        <f aca="false">IF(ABS(B9)&lt;0.001,"OK","Revisar")</f>
        <v>OK</v>
      </c>
      <c r="D9" s="9" t="s">
        <v>1126</v>
      </c>
    </row>
    <row r="10" customFormat="false" ht="15" hidden="false" customHeight="false" outlineLevel="0" collapsed="false">
      <c r="A10" s="6" t="s">
        <v>1127</v>
      </c>
      <c r="B10" s="80" t="n">
        <f aca="false">SUM(Quesería!B138:L138)-(SUM(Quesería!B126:L126)+-SUM(Quesería!B127:L127)+-SUM(Quesería!B128:L128)+-SUM(Quesería!B129:L129)+-SUM(Quesería!B134:L134)+-SUM(Quesería!B121:L121)+-SUM(Quesería!B122:L122)+-SUM(Quesería!B123:L123)+-SUM(Quesería!B136:L136)+SUM(Quesería!B137:L137))</f>
        <v>0</v>
      </c>
      <c r="C10" s="81" t="str">
        <f aca="false">IF(ABS(B10)&lt;0.001,"OK","Revisar")</f>
        <v>OK</v>
      </c>
      <c r="D10" s="9" t="s">
        <v>1128</v>
      </c>
    </row>
    <row r="11" customFormat="false" ht="15" hidden="false" customHeight="false" outlineLevel="0" collapsed="false">
      <c r="A11" s="6" t="s">
        <v>1129</v>
      </c>
      <c r="B11" s="80" t="n">
        <f aca="false">Quesería!J146</f>
        <v>0</v>
      </c>
      <c r="C11" s="81" t="str">
        <f aca="false">IF(ABS(B11)&lt;0.001,"OK","Revisar")</f>
        <v>OK</v>
      </c>
      <c r="D11" s="9" t="s">
        <v>1130</v>
      </c>
    </row>
    <row r="12" customFormat="false" ht="15" hidden="false" customHeight="false" outlineLevel="0" collapsed="false">
      <c r="A12" s="6" t="s">
        <v>1131</v>
      </c>
      <c r="B12" s="80" t="n">
        <f aca="false">SUMPRODUCT(Quesería!B149:L149/Quesería!B120:L120)-(Quesería!$B$40*Quesería!B121*Quesería!B118+Quesería!$B$40*Quesería!C121*Quesería!C118)</f>
        <v>0</v>
      </c>
      <c r="C12" s="81" t="str">
        <f aca="false">IF(ABS(B12)&lt;0.001,"OK","Revisar")</f>
        <v>OK</v>
      </c>
      <c r="D12" s="9" t="s">
        <v>1132</v>
      </c>
    </row>
    <row r="13" customFormat="false" ht="15" hidden="false" customHeight="false" outlineLevel="0" collapsed="false">
      <c r="A13" s="6" t="s">
        <v>1133</v>
      </c>
      <c r="B13" s="80" t="n">
        <f aca="false">Escenarios!$B$32-Quesería!B163</f>
        <v>0</v>
      </c>
      <c r="C13" s="81" t="str">
        <f aca="false">IF(ABS(B13)&lt;0.001,"OK","Revisar")</f>
        <v>OK</v>
      </c>
      <c r="D13" s="9" t="s">
        <v>1134</v>
      </c>
    </row>
    <row r="14" customFormat="false" ht="15" hidden="false" customHeight="false" outlineLevel="0" collapsed="false">
      <c r="A14" s="6" t="s">
        <v>1135</v>
      </c>
      <c r="B14" s="80" t="n">
        <f aca="false">Escenarios!$B$33-Quesería!B165</f>
        <v>0</v>
      </c>
      <c r="C14" s="81" t="str">
        <f aca="false">IF(ABS(B14)&lt;0.001,"OK","Revisar")</f>
        <v>OK</v>
      </c>
      <c r="D14" s="9"/>
    </row>
    <row r="15" customFormat="false" ht="15" hidden="false" customHeight="false" outlineLevel="0" collapsed="false">
      <c r="A15" s="6" t="s">
        <v>1136</v>
      </c>
      <c r="B15" s="80" t="n">
        <f aca="false">Escenarios!$B$39-Quesería!B172</f>
        <v>0</v>
      </c>
      <c r="C15" s="81" t="str">
        <f aca="false">IF(ABS(B15)&lt;0.001,"OK","Revisar")</f>
        <v>OK</v>
      </c>
      <c r="D15" s="9"/>
    </row>
    <row r="16" customFormat="false" ht="15" hidden="false" customHeight="false" outlineLevel="0" collapsed="false">
      <c r="A16" s="6" t="s">
        <v>1137</v>
      </c>
      <c r="B16" s="80" t="n">
        <f aca="false">SUMPRODUCT(Escenarios!B1048:L1048,Escenarios!B1036:L1036)-Quesería!$F$80*Escenarios!B1036-Escenarios!G1040*Escenarios!G1036-Escenarios!H1040*Escenarios!H1036*4/5</f>
        <v>0</v>
      </c>
      <c r="C16" s="81" t="str">
        <f aca="false">IF(ABS(B16)&lt;0.001,"OK","Revisar")</f>
        <v>OK</v>
      </c>
      <c r="D16" s="9" t="s">
        <v>1138</v>
      </c>
    </row>
    <row r="17" customFormat="false" ht="15" hidden="false" customHeight="false" outlineLevel="0" collapsed="false">
      <c r="A17" s="6" t="s">
        <v>1139</v>
      </c>
      <c r="B17" s="80" t="n">
        <f aca="false">SUM('Beneficios y costos'!B64:D64)</f>
        <v>0</v>
      </c>
      <c r="C17" s="81" t="str">
        <f aca="false">IF(ABS(B17)&lt;0.001,"OK","Revisar")</f>
        <v>OK</v>
      </c>
      <c r="D17" s="9" t="s">
        <v>1140</v>
      </c>
    </row>
    <row r="18" customFormat="false" ht="15" hidden="false" customHeight="false" outlineLevel="0" collapsed="false">
      <c r="A18" s="6" t="s">
        <v>1141</v>
      </c>
      <c r="B18" s="80" t="n">
        <f aca="false">Quesería!$B$28-(SUM('Beneficios y costos'!B44:B51)+'Beneficios y costos'!B38)</f>
        <v>0</v>
      </c>
      <c r="C18" s="81" t="str">
        <f aca="false">IF(ABS(B18)&lt;0.001,"OK","Revisar")</f>
        <v>OK</v>
      </c>
      <c r="D18" s="9" t="s">
        <v>1142</v>
      </c>
    </row>
    <row r="19" customFormat="false" ht="15" hidden="false" customHeight="false" outlineLevel="0" collapsed="false">
      <c r="A19" s="6" t="s">
        <v>1143</v>
      </c>
      <c r="B19" s="80" t="n">
        <f aca="false">Quesería!$B$27-SUM('Beneficios y costos'!B37:B39)</f>
        <v>0</v>
      </c>
      <c r="C19" s="81" t="str">
        <f aca="false">IF(ABS(B19)&lt;0.001,"OK","Revisar")</f>
        <v>OK</v>
      </c>
      <c r="D19" s="9"/>
    </row>
    <row r="20" customFormat="false" ht="15" hidden="false" customHeight="false" outlineLevel="0" collapsed="false">
      <c r="A20" s="6" t="s">
        <v>1144</v>
      </c>
      <c r="B20" s="80" t="n">
        <f aca="false">'Beneficios y costos'!$D$118-(SUM('Beneficios y costos'!$J$99:$J$105)+SUM('Beneficios y costos'!$E$110:$E$114))</f>
        <v>0</v>
      </c>
      <c r="C20" s="81" t="str">
        <f aca="false">IF(ABS(B20)&lt;0.001,"OK","Revisar")</f>
        <v>OK</v>
      </c>
      <c r="D20" s="9" t="s">
        <v>1145</v>
      </c>
    </row>
    <row r="21" customFormat="false" ht="15" hidden="false" customHeight="false" outlineLevel="0" collapsed="false">
      <c r="A21" s="6" t="s">
        <v>1146</v>
      </c>
      <c r="B21" s="80" t="n">
        <f aca="false">ROUND((Empresa!$B$7-Empresa!$B$8-Empresa!$B$9)*(1-Quesería!$B$10),0)-Empresa!$B$10</f>
        <v>0</v>
      </c>
      <c r="C21" s="81" t="str">
        <f aca="false">IF(ABS(B21)&lt;0.001,"OK","Revisar")</f>
        <v>OK</v>
      </c>
      <c r="D21" s="9" t="s">
        <v>1147</v>
      </c>
    </row>
    <row r="22" customFormat="false" ht="15" hidden="false" customHeight="false" outlineLevel="0" collapsed="false">
      <c r="A22" s="6" t="s">
        <v>1148</v>
      </c>
      <c r="B22" s="80" t="n">
        <f aca="false">SUM(Empresa!B20:L20)-SUM(Quesería!B126:L126)+SUM(Quesería!B127:L127)+SUM(Quesería!B128:L128)</f>
        <v>-1.49213974509621E-013</v>
      </c>
      <c r="C22" s="81" t="str">
        <f aca="false">IF(ABS(B22)&lt;0.001,"OK","Revisar")</f>
        <v>OK</v>
      </c>
      <c r="D22" s="9" t="s">
        <v>1149</v>
      </c>
    </row>
    <row r="23" customFormat="false" ht="15" hidden="false" customHeight="false" outlineLevel="0" collapsed="false">
      <c r="A23" s="6" t="s">
        <v>1150</v>
      </c>
      <c r="B23" s="80" t="n">
        <f aca="false">ABS(Cotizaciones!F14-Quesería!D73)+ABS(Cotizaciones!F15-Quesería!D74)+ABS(Cotizaciones!F16-Quesería!D67)+ABS(Cotizaciones!F18-Quesería!D63)+ABS(Cotizaciones!F19-Quesería!D64)+ABS(Cotizaciones!F20-Quesería!D66)+ABS(Cotizaciones!F21-Quesería!D75)+ABS(Cotizaciones!F13-Quesería!D65)</f>
        <v>0</v>
      </c>
      <c r="C23" s="81" t="str">
        <f aca="false">IF(ABS(B23)&lt;0.001,"OK","Revisar")</f>
        <v>OK</v>
      </c>
      <c r="D23" s="9" t="s">
        <v>1151</v>
      </c>
    </row>
    <row r="24" customFormat="false" ht="15" hidden="false" customHeight="false" outlineLevel="0" collapsed="false">
      <c r="A24" s="6" t="s">
        <v>1152</v>
      </c>
      <c r="B24" s="80" t="n">
        <f aca="false">APU!E27</f>
        <v>0</v>
      </c>
      <c r="C24" s="81" t="str">
        <f aca="false">IF(ABS(B24)&lt;0.001,"OK","Revisar")</f>
        <v>OK</v>
      </c>
      <c r="D24" s="9" t="s">
        <v>1153</v>
      </c>
    </row>
    <row r="25" customFormat="false" ht="15" hidden="false" customHeight="false" outlineLevel="0" collapsed="false">
      <c r="A25" s="6" t="s">
        <v>1154</v>
      </c>
      <c r="B25" s="80" t="n">
        <f aca="false">APU!E52</f>
        <v>0</v>
      </c>
      <c r="C25" s="81" t="str">
        <f aca="false">IF(ABS(B25)&lt;0.001,"OK","Revisar")</f>
        <v>OK</v>
      </c>
      <c r="D25" s="9" t="s">
        <v>1153</v>
      </c>
    </row>
    <row r="26" customFormat="false" ht="15" hidden="false" customHeight="false" outlineLevel="0" collapsed="false">
      <c r="A26" s="6" t="s">
        <v>1155</v>
      </c>
      <c r="B26" s="80" t="n">
        <f aca="false">Quesería!D68+Quesería!D69-IntegraMotion!$F$44*Entorno!$B$14</f>
        <v>0</v>
      </c>
      <c r="C26" s="81" t="str">
        <f aca="false">IF(ABS(B26)&lt;0.001,"OK","Revisar")</f>
        <v>OK</v>
      </c>
      <c r="D26" s="9" t="s">
        <v>1156</v>
      </c>
    </row>
    <row r="27" customFormat="false" ht="15" hidden="false" customHeight="false" outlineLevel="0" collapsed="false">
      <c r="A27" s="6" t="s">
        <v>1157</v>
      </c>
      <c r="B27" s="80" t="n">
        <f aca="false">Quesería!D76-IntegraMotion!$F$64*Entorno!$B$15</f>
        <v>0</v>
      </c>
      <c r="C27" s="81" t="str">
        <f aca="false">IF(ABS(B27)&lt;0.001,"OK","Revisar")</f>
        <v>OK</v>
      </c>
      <c r="D27" s="9" t="s">
        <v>1156</v>
      </c>
    </row>
    <row r="29" customFormat="false" ht="15" hidden="false" customHeight="false" outlineLevel="0" collapsed="false">
      <c r="A29" s="5" t="s">
        <v>1158</v>
      </c>
      <c r="B29" s="81" t="str">
        <f aca="false">COUNTIF(C6:C27,"OK")&amp;" de "&amp;ROWS(C6:C27)</f>
        <v>22 de 22</v>
      </c>
      <c r="C29" s="82" t="str">
        <f aca="false">IF(COUNTIF(C6:C27,"Revisar")=0,"OK","Revisar")</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2026-10-21T18:17:41Z</dcterms:created>
  <dc:creator>openpyxl</dc:creator>
  <dc:description/>
  <dc:language>en-US</dc:language>
  <cp:lastModifiedBy/>
  <dcterms:modified xsi:type="dcterms:W3CDTF">2026-10-21T13:17:45Z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